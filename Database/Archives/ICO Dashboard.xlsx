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https://etgworld.sharepoint.com/sites/SoftsDatabase/Shared Documents/Database/Hardmine/Fundamental/SnD/Database/archives/"/>
    </mc:Choice>
  </mc:AlternateContent>
  <xr:revisionPtr revIDLastSave="1" documentId="8_{B2EB5712-19F6-4D18-A629-8E9222C6C484}" xr6:coauthVersionLast="47" xr6:coauthVersionMax="47" xr10:uidLastSave="{42B97AB7-0D26-4943-8275-6318E408782C}"/>
  <bookViews>
    <workbookView xWindow="57480" yWindow="-120" windowWidth="29040" windowHeight="15720" activeTab="1" xr2:uid="{00000000-000D-0000-FFFF-FFFF00000000}"/>
  </bookViews>
  <sheets>
    <sheet name="Pivot" sheetId="3" r:id="rId1"/>
    <sheet name="Monthly Exports" sheetId="2" r:id="rId2"/>
    <sheet name="Sheet1" sheetId="5" r:id="rId3"/>
    <sheet name="Exports Dashboard" sheetId="4" r:id="rId4"/>
  </sheets>
  <definedNames>
    <definedName name="ExternalData_1" localSheetId="1" hidden="1">'Monthly Exports'!$A$1:$F$7254</definedName>
    <definedName name="Slicer_Origin">#N/A</definedName>
  </definedNames>
  <calcPr calcId="191029"/>
  <pivotCaches>
    <pivotCache cacheId="2"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7" i="4" l="1"/>
  <c r="B97" i="4"/>
  <c r="C96" i="4"/>
  <c r="B96" i="4"/>
  <c r="C95" i="4"/>
  <c r="B95" i="4"/>
  <c r="C94" i="4"/>
  <c r="B94" i="4"/>
  <c r="D93" i="4"/>
  <c r="C93" i="4"/>
  <c r="B93" i="4"/>
  <c r="C92" i="4"/>
  <c r="B92" i="4"/>
  <c r="C91" i="4"/>
  <c r="B91" i="4"/>
  <c r="C90" i="4"/>
  <c r="B90" i="4"/>
  <c r="C89" i="4"/>
  <c r="B89" i="4"/>
  <c r="C88" i="4"/>
  <c r="B88" i="4"/>
  <c r="C87" i="4"/>
  <c r="B87" i="4"/>
  <c r="C86" i="4"/>
  <c r="B86" i="4"/>
  <c r="F85" i="4"/>
  <c r="G85" i="4" s="1"/>
  <c r="H85" i="4" s="1"/>
  <c r="E85" i="4"/>
  <c r="D85" i="4"/>
  <c r="N88" i="4"/>
  <c r="O88" i="4" s="1"/>
  <c r="P88" i="4" s="1"/>
  <c r="Q88" i="4" s="1"/>
  <c r="R88" i="4" s="1"/>
  <c r="S88" i="4" s="1"/>
  <c r="T88" i="4" s="1"/>
  <c r="U88" i="4" s="1"/>
  <c r="V88" i="4" s="1"/>
  <c r="W88" i="4" s="1"/>
  <c r="X88" i="4" s="1"/>
  <c r="Y88" i="4" s="1"/>
  <c r="N87" i="4"/>
  <c r="O87" i="4" s="1"/>
  <c r="P87" i="4" s="1"/>
  <c r="Q87" i="4" s="1"/>
  <c r="R87" i="4" s="1"/>
  <c r="S87" i="4" s="1"/>
  <c r="T87" i="4" s="1"/>
  <c r="U87" i="4" s="1"/>
  <c r="V87" i="4" s="1"/>
  <c r="W87" i="4" s="1"/>
  <c r="X87" i="4" s="1"/>
  <c r="Y87" i="4" s="1"/>
  <c r="N86" i="4"/>
  <c r="O86" i="4" s="1"/>
  <c r="P86" i="4" s="1"/>
  <c r="Q86" i="4" s="1"/>
  <c r="R86" i="4" s="1"/>
  <c r="S86" i="4" s="1"/>
  <c r="T86" i="4" s="1"/>
  <c r="U86" i="4" s="1"/>
  <c r="V86" i="4" s="1"/>
  <c r="W86" i="4" s="1"/>
  <c r="X86" i="4" s="1"/>
  <c r="Y86" i="4" s="1"/>
  <c r="N85" i="4"/>
  <c r="O85" i="4" s="1"/>
  <c r="P85" i="4" s="1"/>
  <c r="Q85" i="4" s="1"/>
  <c r="R85" i="4" s="1"/>
  <c r="S85" i="4" s="1"/>
  <c r="T85" i="4" s="1"/>
  <c r="U85" i="4" s="1"/>
  <c r="V85" i="4" s="1"/>
  <c r="W85" i="4" s="1"/>
  <c r="X85" i="4" s="1"/>
  <c r="Y85" i="4" s="1"/>
  <c r="N84" i="4"/>
  <c r="O84" i="4" s="1"/>
  <c r="P84" i="4" s="1"/>
  <c r="Q84" i="4" s="1"/>
  <c r="R84" i="4" s="1"/>
  <c r="S84" i="4" s="1"/>
  <c r="T84" i="4" s="1"/>
  <c r="U84" i="4" s="1"/>
  <c r="V84" i="4" s="1"/>
  <c r="W84" i="4" s="1"/>
  <c r="X84" i="4" s="1"/>
  <c r="Y84" i="4" s="1"/>
  <c r="N83" i="4"/>
  <c r="O83" i="4" s="1"/>
  <c r="P83" i="4" s="1"/>
  <c r="Q83" i="4" s="1"/>
  <c r="R83" i="4" s="1"/>
  <c r="S83" i="4" s="1"/>
  <c r="T83" i="4" s="1"/>
  <c r="U83" i="4" s="1"/>
  <c r="V83" i="4" s="1"/>
  <c r="W83" i="4" s="1"/>
  <c r="X83" i="4" s="1"/>
  <c r="Y83" i="4" s="1"/>
  <c r="N82" i="4"/>
  <c r="O82" i="4" s="1"/>
  <c r="P82" i="4" s="1"/>
  <c r="Q82" i="4" s="1"/>
  <c r="R82" i="4" s="1"/>
  <c r="S82" i="4" s="1"/>
  <c r="T82" i="4" s="1"/>
  <c r="U82" i="4" s="1"/>
  <c r="V82" i="4" s="1"/>
  <c r="W82" i="4" s="1"/>
  <c r="X82" i="4" s="1"/>
  <c r="Y82" i="4" s="1"/>
  <c r="O81" i="4"/>
  <c r="P81" i="4" s="1"/>
  <c r="Q81" i="4" s="1"/>
  <c r="R81" i="4" s="1"/>
  <c r="S81" i="4" s="1"/>
  <c r="T81" i="4" s="1"/>
  <c r="U81" i="4" s="1"/>
  <c r="V81" i="4" s="1"/>
  <c r="W81" i="4" s="1"/>
  <c r="X81" i="4" s="1"/>
  <c r="Y81" i="4" s="1"/>
  <c r="N81" i="4"/>
  <c r="N80" i="4"/>
  <c r="O80" i="4" s="1"/>
  <c r="P80" i="4" s="1"/>
  <c r="Q80" i="4" s="1"/>
  <c r="R80" i="4" s="1"/>
  <c r="S80" i="4" s="1"/>
  <c r="T80" i="4" s="1"/>
  <c r="U80" i="4" s="1"/>
  <c r="V80" i="4" s="1"/>
  <c r="W80" i="4" s="1"/>
  <c r="X80" i="4" s="1"/>
  <c r="Y80" i="4" s="1"/>
  <c r="N79" i="4"/>
  <c r="O79" i="4" s="1"/>
  <c r="P79" i="4" s="1"/>
  <c r="Q79" i="4" s="1"/>
  <c r="R79" i="4" s="1"/>
  <c r="S79" i="4" s="1"/>
  <c r="T79" i="4" s="1"/>
  <c r="U79" i="4" s="1"/>
  <c r="V79" i="4" s="1"/>
  <c r="W79" i="4" s="1"/>
  <c r="X79" i="4" s="1"/>
  <c r="Y79" i="4" s="1"/>
  <c r="N78" i="4"/>
  <c r="O78" i="4" s="1"/>
  <c r="P78" i="4" s="1"/>
  <c r="Q78" i="4" s="1"/>
  <c r="R78" i="4" s="1"/>
  <c r="S78" i="4" s="1"/>
  <c r="T78" i="4" s="1"/>
  <c r="U78" i="4" s="1"/>
  <c r="V78" i="4" s="1"/>
  <c r="W78" i="4" s="1"/>
  <c r="X78" i="4" s="1"/>
  <c r="Y78" i="4" s="1"/>
  <c r="N77" i="4"/>
  <c r="O77" i="4" s="1"/>
  <c r="P77" i="4" s="1"/>
  <c r="Q77" i="4" s="1"/>
  <c r="R77" i="4" s="1"/>
  <c r="S77" i="4" s="1"/>
  <c r="T77" i="4" s="1"/>
  <c r="U77" i="4" s="1"/>
  <c r="V77" i="4" s="1"/>
  <c r="W77" i="4" s="1"/>
  <c r="X77" i="4" s="1"/>
  <c r="Y77" i="4" s="1"/>
  <c r="N76" i="4"/>
  <c r="O76" i="4" s="1"/>
  <c r="P76" i="4" s="1"/>
  <c r="Q76" i="4" s="1"/>
  <c r="R76" i="4" s="1"/>
  <c r="S76" i="4" s="1"/>
  <c r="T76" i="4" s="1"/>
  <c r="U76" i="4" s="1"/>
  <c r="V76" i="4" s="1"/>
  <c r="W76" i="4" s="1"/>
  <c r="X76" i="4" s="1"/>
  <c r="Y76" i="4" s="1"/>
  <c r="G84" i="4"/>
  <c r="F84" i="4"/>
  <c r="E84" i="4"/>
  <c r="D84" i="4"/>
  <c r="F83" i="4"/>
  <c r="G83" i="4" s="1"/>
  <c r="E83" i="4"/>
  <c r="D83" i="4"/>
  <c r="G82" i="4"/>
  <c r="F82" i="4"/>
  <c r="E82" i="4"/>
  <c r="D82" i="4"/>
  <c r="G81" i="4"/>
  <c r="F81" i="4"/>
  <c r="E81" i="4"/>
  <c r="D81" i="4"/>
  <c r="F80" i="4"/>
  <c r="G80" i="4" s="1"/>
  <c r="E80" i="4"/>
  <c r="D80" i="4"/>
  <c r="F79" i="4"/>
  <c r="G79" i="4" s="1"/>
  <c r="E79" i="4"/>
  <c r="D79" i="4"/>
  <c r="F78" i="4"/>
  <c r="G78" i="4" s="1"/>
  <c r="E78" i="4"/>
  <c r="D78" i="4"/>
  <c r="F77" i="4"/>
  <c r="G77" i="4" s="1"/>
  <c r="E77" i="4"/>
  <c r="D77" i="4"/>
  <c r="F76" i="4"/>
  <c r="E76" i="4"/>
  <c r="G76" i="4" s="1"/>
  <c r="D76" i="4"/>
  <c r="G75" i="4"/>
  <c r="F75" i="4"/>
  <c r="E75" i="4"/>
  <c r="D75" i="4"/>
  <c r="F74" i="4"/>
  <c r="G74" i="4" s="1"/>
  <c r="E74" i="4"/>
  <c r="D74" i="4"/>
  <c r="I85" i="4" s="1"/>
  <c r="M69" i="4"/>
  <c r="L69" i="4"/>
  <c r="K69" i="4"/>
  <c r="J69" i="4"/>
  <c r="I69" i="4"/>
  <c r="H69" i="4"/>
  <c r="G69" i="4"/>
  <c r="F69" i="4"/>
  <c r="E69" i="4"/>
  <c r="D69" i="4"/>
  <c r="C69" i="4"/>
  <c r="B69" i="4"/>
  <c r="M68" i="4"/>
  <c r="L68" i="4"/>
  <c r="K68" i="4"/>
  <c r="J68" i="4"/>
  <c r="I68" i="4"/>
  <c r="H68" i="4"/>
  <c r="G68" i="4"/>
  <c r="F68" i="4"/>
  <c r="E68" i="4"/>
  <c r="D68" i="4"/>
  <c r="C68" i="4"/>
  <c r="B68" i="4"/>
  <c r="M67" i="4"/>
  <c r="L67" i="4"/>
  <c r="K67" i="4"/>
  <c r="J67" i="4"/>
  <c r="I67" i="4"/>
  <c r="H67" i="4"/>
  <c r="G67" i="4"/>
  <c r="F67" i="4"/>
  <c r="E67" i="4"/>
  <c r="D67" i="4"/>
  <c r="C67" i="4"/>
  <c r="B67" i="4"/>
  <c r="M66" i="4"/>
  <c r="L66" i="4"/>
  <c r="K66" i="4"/>
  <c r="J66" i="4"/>
  <c r="I66" i="4"/>
  <c r="H66" i="4"/>
  <c r="G66" i="4"/>
  <c r="F66" i="4"/>
  <c r="E66" i="4"/>
  <c r="D66" i="4"/>
  <c r="C66" i="4"/>
  <c r="B66" i="4"/>
  <c r="A66" i="4"/>
  <c r="E56" i="4"/>
  <c r="C56" i="4"/>
  <c r="Q27" i="4"/>
  <c r="T13" i="4"/>
  <c r="U13" i="4" s="1"/>
  <c r="T12" i="4"/>
  <c r="T11" i="4"/>
  <c r="T10" i="4"/>
  <c r="U11" i="4" s="1"/>
  <c r="T9" i="4"/>
  <c r="T8" i="4"/>
  <c r="T7" i="4"/>
  <c r="P19" i="4"/>
  <c r="P18" i="4"/>
  <c r="P17" i="4"/>
  <c r="P16" i="4"/>
  <c r="P15" i="4"/>
  <c r="P14" i="4"/>
  <c r="P13" i="4"/>
  <c r="P12" i="4"/>
  <c r="Q12" i="4" s="1"/>
  <c r="P11" i="4"/>
  <c r="Q11" i="4" s="1"/>
  <c r="P10" i="4"/>
  <c r="Q10" i="4" s="1"/>
  <c r="P9" i="4"/>
  <c r="Q9" i="4" s="1"/>
  <c r="P8" i="4"/>
  <c r="Q8" i="4" s="1"/>
  <c r="P7" i="4"/>
  <c r="U12" i="4"/>
  <c r="U10" i="4"/>
  <c r="U9" i="4"/>
  <c r="U8" i="4"/>
  <c r="Q16" i="4"/>
  <c r="Q15" i="4"/>
  <c r="Q14" i="4"/>
  <c r="Q13" i="4"/>
  <c r="N19" i="4"/>
  <c r="M19" i="4"/>
  <c r="L19" i="4"/>
  <c r="K19" i="4"/>
  <c r="J19" i="4"/>
  <c r="I19" i="4"/>
  <c r="H19" i="4"/>
  <c r="G19" i="4"/>
  <c r="F19" i="4"/>
  <c r="E19" i="4"/>
  <c r="D19" i="4"/>
  <c r="C19" i="4"/>
  <c r="N18" i="4"/>
  <c r="N20" i="4" s="1"/>
  <c r="M18" i="4"/>
  <c r="M20" i="4" s="1"/>
  <c r="L18" i="4"/>
  <c r="L20" i="4" s="1"/>
  <c r="K18" i="4"/>
  <c r="K20" i="4" s="1"/>
  <c r="J18" i="4"/>
  <c r="J20" i="4" s="1"/>
  <c r="I18" i="4"/>
  <c r="I20" i="4" s="1"/>
  <c r="H18" i="4"/>
  <c r="H20" i="4" s="1"/>
  <c r="G18" i="4"/>
  <c r="G20" i="4" s="1"/>
  <c r="F18" i="4"/>
  <c r="F20" i="4" s="1"/>
  <c r="E18" i="4"/>
  <c r="E20" i="4" s="1"/>
  <c r="D18" i="4"/>
  <c r="D20" i="4" s="1"/>
  <c r="C18" i="4"/>
  <c r="C20" i="4" s="1"/>
  <c r="N17" i="4"/>
  <c r="M17" i="4"/>
  <c r="L17" i="4"/>
  <c r="K17" i="4"/>
  <c r="J17" i="4"/>
  <c r="I17" i="4"/>
  <c r="H17" i="4"/>
  <c r="G17" i="4"/>
  <c r="F17" i="4"/>
  <c r="E17" i="4"/>
  <c r="D17" i="4"/>
  <c r="C17" i="4"/>
  <c r="N16" i="4"/>
  <c r="M16" i="4"/>
  <c r="L16" i="4"/>
  <c r="K16" i="4"/>
  <c r="J16" i="4"/>
  <c r="I16" i="4"/>
  <c r="H16" i="4"/>
  <c r="G16" i="4"/>
  <c r="F16" i="4"/>
  <c r="E16" i="4"/>
  <c r="D16" i="4"/>
  <c r="C16" i="4"/>
  <c r="N15" i="4"/>
  <c r="M15" i="4"/>
  <c r="L15" i="4"/>
  <c r="K15" i="4"/>
  <c r="J15" i="4"/>
  <c r="I15" i="4"/>
  <c r="H15" i="4"/>
  <c r="G15" i="4"/>
  <c r="F15" i="4"/>
  <c r="E15" i="4"/>
  <c r="D15" i="4"/>
  <c r="C15" i="4"/>
  <c r="N14" i="4"/>
  <c r="M14" i="4"/>
  <c r="L14" i="4"/>
  <c r="K14" i="4"/>
  <c r="J14" i="4"/>
  <c r="I14" i="4"/>
  <c r="H14" i="4"/>
  <c r="G14" i="4"/>
  <c r="F14" i="4"/>
  <c r="E14" i="4"/>
  <c r="D14" i="4"/>
  <c r="C14" i="4"/>
  <c r="N13" i="4"/>
  <c r="M13" i="4"/>
  <c r="L13" i="4"/>
  <c r="K13" i="4"/>
  <c r="J13" i="4"/>
  <c r="I13" i="4"/>
  <c r="H13" i="4"/>
  <c r="G13" i="4"/>
  <c r="F13" i="4"/>
  <c r="E13" i="4"/>
  <c r="D13" i="4"/>
  <c r="C13" i="4"/>
  <c r="N12" i="4"/>
  <c r="M12" i="4"/>
  <c r="L12" i="4"/>
  <c r="K12" i="4"/>
  <c r="J12" i="4"/>
  <c r="I12" i="4"/>
  <c r="H12" i="4"/>
  <c r="G12" i="4"/>
  <c r="F12" i="4"/>
  <c r="E12" i="4"/>
  <c r="D12" i="4"/>
  <c r="C12" i="4"/>
  <c r="N11" i="4"/>
  <c r="M11" i="4"/>
  <c r="L11" i="4"/>
  <c r="K11" i="4"/>
  <c r="J11" i="4"/>
  <c r="I11" i="4"/>
  <c r="H11" i="4"/>
  <c r="G11" i="4"/>
  <c r="F11" i="4"/>
  <c r="E11" i="4"/>
  <c r="D11" i="4"/>
  <c r="C11" i="4"/>
  <c r="N10" i="4"/>
  <c r="M10" i="4"/>
  <c r="L10" i="4"/>
  <c r="K10" i="4"/>
  <c r="J10" i="4"/>
  <c r="I10" i="4"/>
  <c r="H10" i="4"/>
  <c r="G10" i="4"/>
  <c r="F10" i="4"/>
  <c r="E10" i="4"/>
  <c r="D10" i="4"/>
  <c r="C10" i="4"/>
  <c r="N9" i="4"/>
  <c r="M9" i="4"/>
  <c r="L9" i="4"/>
  <c r="K9" i="4"/>
  <c r="J9" i="4"/>
  <c r="I9" i="4"/>
  <c r="H9" i="4"/>
  <c r="G9" i="4"/>
  <c r="F9" i="4"/>
  <c r="E9" i="4"/>
  <c r="D9" i="4"/>
  <c r="C9" i="4"/>
  <c r="T22" i="3"/>
  <c r="AF21" i="3"/>
  <c r="W39" i="3" s="1"/>
  <c r="AE21" i="3"/>
  <c r="V39" i="3" s="1"/>
  <c r="AD21" i="3"/>
  <c r="U39" i="3" s="1"/>
  <c r="AC21" i="3"/>
  <c r="AB21" i="3"/>
  <c r="AA21" i="3"/>
  <c r="Z21" i="3"/>
  <c r="Y21" i="3"/>
  <c r="X21" i="3"/>
  <c r="W21" i="3"/>
  <c r="V21" i="3"/>
  <c r="U21" i="3"/>
  <c r="F97" i="4" l="1"/>
  <c r="C109" i="4"/>
  <c r="D97" i="4"/>
  <c r="B109" i="4"/>
  <c r="E97" i="4"/>
  <c r="F96" i="4"/>
  <c r="C108" i="4"/>
  <c r="D96" i="4"/>
  <c r="E96" i="4"/>
  <c r="B108" i="4"/>
  <c r="C107" i="4"/>
  <c r="F95" i="4"/>
  <c r="G95" i="4" s="1"/>
  <c r="H95" i="4" s="1"/>
  <c r="D95" i="4"/>
  <c r="E95" i="4"/>
  <c r="B107" i="4"/>
  <c r="F94" i="4"/>
  <c r="C106" i="4"/>
  <c r="E94" i="4"/>
  <c r="B106" i="4"/>
  <c r="D94" i="4"/>
  <c r="F93" i="4"/>
  <c r="C105" i="4"/>
  <c r="E93" i="4"/>
  <c r="B105" i="4"/>
  <c r="F92" i="4"/>
  <c r="C104" i="4"/>
  <c r="E92" i="4"/>
  <c r="B104" i="4"/>
  <c r="D92" i="4"/>
  <c r="F91" i="4"/>
  <c r="C103" i="4"/>
  <c r="B103" i="4"/>
  <c r="D91" i="4"/>
  <c r="E91" i="4"/>
  <c r="C102" i="4"/>
  <c r="F90" i="4"/>
  <c r="E90" i="4"/>
  <c r="D90" i="4"/>
  <c r="B102" i="4"/>
  <c r="F89" i="4"/>
  <c r="C101" i="4"/>
  <c r="D89" i="4"/>
  <c r="E89" i="4"/>
  <c r="B101" i="4"/>
  <c r="F88" i="4"/>
  <c r="C100" i="4"/>
  <c r="E88" i="4"/>
  <c r="B100" i="4"/>
  <c r="D88" i="4"/>
  <c r="F87" i="4"/>
  <c r="G87" i="4" s="1"/>
  <c r="H87" i="4" s="1"/>
  <c r="C99" i="4"/>
  <c r="E87" i="4"/>
  <c r="D87" i="4"/>
  <c r="B99" i="4"/>
  <c r="F86" i="4"/>
  <c r="G86" i="4" s="1"/>
  <c r="H86" i="4" s="1"/>
  <c r="C98" i="4"/>
  <c r="D86" i="4"/>
  <c r="E86" i="4"/>
  <c r="B98" i="4"/>
  <c r="T14" i="4"/>
  <c r="U14" i="4" s="1"/>
  <c r="T19" i="4"/>
  <c r="T17" i="4"/>
  <c r="S6" i="4"/>
  <c r="T16" i="4"/>
  <c r="T15" i="4"/>
  <c r="U15" i="4" s="1"/>
  <c r="T18" i="4"/>
  <c r="U18" i="4" s="1"/>
  <c r="D56" i="4"/>
  <c r="F56" i="4" s="1"/>
  <c r="T23" i="3"/>
  <c r="AD22" i="3"/>
  <c r="U40" i="3" s="1"/>
  <c r="AC22" i="3"/>
  <c r="AF39" i="3" s="1"/>
  <c r="Z22" i="3"/>
  <c r="AC39" i="3" s="1"/>
  <c r="X22" i="3"/>
  <c r="AA39" i="3" s="1"/>
  <c r="V22" i="3"/>
  <c r="Y39" i="3" s="1"/>
  <c r="AF22" i="3"/>
  <c r="W40" i="3" s="1"/>
  <c r="W22" i="3"/>
  <c r="Z39" i="3" s="1"/>
  <c r="U22" i="3"/>
  <c r="X39" i="3" s="1"/>
  <c r="AE22" i="3"/>
  <c r="V40" i="3" s="1"/>
  <c r="AB22" i="3"/>
  <c r="AE39" i="3" s="1"/>
  <c r="Y22" i="3"/>
  <c r="AB39" i="3" s="1"/>
  <c r="AA22" i="3"/>
  <c r="AD39" i="3" s="1"/>
  <c r="C121" i="4" l="1"/>
  <c r="F109" i="4"/>
  <c r="E109" i="4"/>
  <c r="D109" i="4"/>
  <c r="B121" i="4"/>
  <c r="F108" i="4"/>
  <c r="C120" i="4"/>
  <c r="E108" i="4"/>
  <c r="B120" i="4"/>
  <c r="D108" i="4"/>
  <c r="F107" i="4"/>
  <c r="C119" i="4"/>
  <c r="B119" i="4"/>
  <c r="D107" i="4"/>
  <c r="E107" i="4"/>
  <c r="C118" i="4"/>
  <c r="F106" i="4"/>
  <c r="E106" i="4"/>
  <c r="D106" i="4"/>
  <c r="B118" i="4"/>
  <c r="F105" i="4"/>
  <c r="C117" i="4"/>
  <c r="B117" i="4"/>
  <c r="D105" i="4"/>
  <c r="E105" i="4"/>
  <c r="F104" i="4"/>
  <c r="G104" i="4" s="1"/>
  <c r="H104" i="4" s="1"/>
  <c r="C116" i="4"/>
  <c r="E104" i="4"/>
  <c r="B116" i="4"/>
  <c r="D104" i="4"/>
  <c r="C115" i="4"/>
  <c r="F103" i="4"/>
  <c r="G103" i="4" s="1"/>
  <c r="H103" i="4" s="1"/>
  <c r="E103" i="4"/>
  <c r="D103" i="4"/>
  <c r="B115" i="4"/>
  <c r="F102" i="4"/>
  <c r="G102" i="4" s="1"/>
  <c r="H102" i="4" s="1"/>
  <c r="C114" i="4"/>
  <c r="B114" i="4"/>
  <c r="D102" i="4"/>
  <c r="E102" i="4"/>
  <c r="C113" i="4"/>
  <c r="F101" i="4"/>
  <c r="G101" i="4" s="1"/>
  <c r="H101" i="4" s="1"/>
  <c r="D101" i="4"/>
  <c r="B113" i="4"/>
  <c r="E101" i="4"/>
  <c r="C112" i="4"/>
  <c r="F100" i="4"/>
  <c r="E100" i="4"/>
  <c r="D100" i="4"/>
  <c r="B112" i="4"/>
  <c r="C111" i="4"/>
  <c r="F99" i="4"/>
  <c r="D99" i="4"/>
  <c r="B111" i="4"/>
  <c r="E99" i="4"/>
  <c r="C110" i="4"/>
  <c r="F98" i="4"/>
  <c r="G98" i="4" s="1"/>
  <c r="H98" i="4" s="1"/>
  <c r="I93" i="4"/>
  <c r="I95" i="4"/>
  <c r="I86" i="4"/>
  <c r="I89" i="4"/>
  <c r="I90" i="4"/>
  <c r="I96" i="4"/>
  <c r="I87" i="4"/>
  <c r="I88" i="4"/>
  <c r="I91" i="4"/>
  <c r="I92" i="4"/>
  <c r="I94" i="4"/>
  <c r="I97" i="4"/>
  <c r="E98" i="4"/>
  <c r="D98" i="4"/>
  <c r="I105" i="4" s="1"/>
  <c r="B110" i="4"/>
  <c r="K27" i="4"/>
  <c r="AI2" i="4"/>
  <c r="G97" i="4"/>
  <c r="H97" i="4" s="1"/>
  <c r="G96" i="4"/>
  <c r="H96" i="4" s="1"/>
  <c r="G94" i="4"/>
  <c r="H94" i="4" s="1"/>
  <c r="G93" i="4"/>
  <c r="H93" i="4" s="1"/>
  <c r="G92" i="4"/>
  <c r="H92" i="4" s="1"/>
  <c r="G91" i="4"/>
  <c r="H91" i="4" s="1"/>
  <c r="G90" i="4"/>
  <c r="H90" i="4" s="1"/>
  <c r="G89" i="4"/>
  <c r="H89" i="4" s="1"/>
  <c r="G88" i="4"/>
  <c r="H88" i="4" s="1"/>
  <c r="U16" i="4"/>
  <c r="U17" i="4"/>
  <c r="V23" i="3"/>
  <c r="Y40" i="3" s="1"/>
  <c r="Y23" i="3"/>
  <c r="AB40" i="3" s="1"/>
  <c r="AA23" i="3"/>
  <c r="AD40" i="3" s="1"/>
  <c r="AD23" i="3"/>
  <c r="U41" i="3" s="1"/>
  <c r="T24" i="3"/>
  <c r="W23" i="3"/>
  <c r="Z40" i="3" s="1"/>
  <c r="AE23" i="3"/>
  <c r="V41" i="3" s="1"/>
  <c r="Z23" i="3"/>
  <c r="AC40" i="3" s="1"/>
  <c r="AC23" i="3"/>
  <c r="AF40" i="3" s="1"/>
  <c r="U23" i="3"/>
  <c r="X40" i="3" s="1"/>
  <c r="X23" i="3"/>
  <c r="AA40" i="3" s="1"/>
  <c r="AB23" i="3"/>
  <c r="AE40" i="3" s="1"/>
  <c r="AF23" i="3"/>
  <c r="W41" i="3" s="1"/>
  <c r="C133" i="4" l="1"/>
  <c r="F121" i="4"/>
  <c r="E121" i="4"/>
  <c r="D121" i="4"/>
  <c r="B133" i="4"/>
  <c r="F120" i="4"/>
  <c r="C132" i="4"/>
  <c r="E120" i="4"/>
  <c r="D120" i="4"/>
  <c r="B132" i="4"/>
  <c r="F119" i="4"/>
  <c r="C131" i="4"/>
  <c r="D119" i="4"/>
  <c r="E119" i="4"/>
  <c r="B131" i="4"/>
  <c r="C130" i="4"/>
  <c r="F118" i="4"/>
  <c r="E118" i="4"/>
  <c r="D118" i="4"/>
  <c r="B130" i="4"/>
  <c r="F117" i="4"/>
  <c r="C129" i="4"/>
  <c r="D117" i="4"/>
  <c r="E117" i="4"/>
  <c r="B129" i="4"/>
  <c r="C128" i="4"/>
  <c r="F116" i="4"/>
  <c r="D116" i="4"/>
  <c r="E116" i="4"/>
  <c r="B128" i="4"/>
  <c r="C127" i="4"/>
  <c r="F115" i="4"/>
  <c r="B127" i="4"/>
  <c r="E115" i="4"/>
  <c r="D115" i="4"/>
  <c r="F114" i="4"/>
  <c r="G114" i="4" s="1"/>
  <c r="H114" i="4" s="1"/>
  <c r="C126" i="4"/>
  <c r="D114" i="4"/>
  <c r="E114" i="4"/>
  <c r="B126" i="4"/>
  <c r="C125" i="4"/>
  <c r="F113" i="4"/>
  <c r="D113" i="4"/>
  <c r="E113" i="4"/>
  <c r="B125" i="4"/>
  <c r="F112" i="4"/>
  <c r="C124" i="4"/>
  <c r="E112" i="4"/>
  <c r="B124" i="4"/>
  <c r="D112" i="4"/>
  <c r="F111" i="4"/>
  <c r="G111" i="4" s="1"/>
  <c r="H111" i="4" s="1"/>
  <c r="C123" i="4"/>
  <c r="B123" i="4"/>
  <c r="D111" i="4"/>
  <c r="E111" i="4"/>
  <c r="C122" i="4"/>
  <c r="F110" i="4"/>
  <c r="I106" i="4"/>
  <c r="I98" i="4"/>
  <c r="I99" i="4"/>
  <c r="I107" i="4"/>
  <c r="I108" i="4"/>
  <c r="I109" i="4"/>
  <c r="E110" i="4"/>
  <c r="B122" i="4"/>
  <c r="D110" i="4"/>
  <c r="G105" i="4"/>
  <c r="H105" i="4" s="1"/>
  <c r="G99" i="4"/>
  <c r="H99" i="4" s="1"/>
  <c r="G109" i="4"/>
  <c r="H109" i="4" s="1"/>
  <c r="G108" i="4"/>
  <c r="H108" i="4" s="1"/>
  <c r="G107" i="4"/>
  <c r="H107" i="4" s="1"/>
  <c r="G106" i="4"/>
  <c r="H106" i="4" s="1"/>
  <c r="G100" i="4"/>
  <c r="H100" i="4" s="1"/>
  <c r="I103" i="4"/>
  <c r="I102" i="4"/>
  <c r="I101" i="4"/>
  <c r="I100" i="4"/>
  <c r="I104" i="4"/>
  <c r="Z24" i="3"/>
  <c r="AC41" i="3" s="1"/>
  <c r="AC24" i="3"/>
  <c r="AF41" i="3" s="1"/>
  <c r="V24" i="3"/>
  <c r="Y41" i="3" s="1"/>
  <c r="AA24" i="3"/>
  <c r="AD41" i="3" s="1"/>
  <c r="AD24" i="3"/>
  <c r="U42" i="3" s="1"/>
  <c r="AE24" i="3"/>
  <c r="V42" i="3" s="1"/>
  <c r="AF24" i="3"/>
  <c r="W42" i="3" s="1"/>
  <c r="T25" i="3"/>
  <c r="X24" i="3"/>
  <c r="AA41" i="3" s="1"/>
  <c r="U24" i="3"/>
  <c r="X41" i="3" s="1"/>
  <c r="W24" i="3"/>
  <c r="Z41" i="3" s="1"/>
  <c r="Y24" i="3"/>
  <c r="AB41" i="3" s="1"/>
  <c r="AB24" i="3"/>
  <c r="AE41" i="3" s="1"/>
  <c r="F133" i="4" l="1"/>
  <c r="C145" i="4"/>
  <c r="E133" i="4"/>
  <c r="B145" i="4"/>
  <c r="D133" i="4"/>
  <c r="F132" i="4"/>
  <c r="C144" i="4"/>
  <c r="E132" i="4"/>
  <c r="B144" i="4"/>
  <c r="D132" i="4"/>
  <c r="C143" i="4"/>
  <c r="F131" i="4"/>
  <c r="D131" i="4"/>
  <c r="E131" i="4"/>
  <c r="B143" i="4"/>
  <c r="F130" i="4"/>
  <c r="C142" i="4"/>
  <c r="D130" i="4"/>
  <c r="E130" i="4"/>
  <c r="B142" i="4"/>
  <c r="F129" i="4"/>
  <c r="C141" i="4"/>
  <c r="E129" i="4"/>
  <c r="B141" i="4"/>
  <c r="D129" i="4"/>
  <c r="F128" i="4"/>
  <c r="G128" i="4" s="1"/>
  <c r="H128" i="4" s="1"/>
  <c r="C140" i="4"/>
  <c r="D128" i="4"/>
  <c r="B140" i="4"/>
  <c r="E128" i="4"/>
  <c r="F127" i="4"/>
  <c r="C139" i="4"/>
  <c r="D127" i="4"/>
  <c r="B139" i="4"/>
  <c r="E127" i="4"/>
  <c r="F126" i="4"/>
  <c r="C138" i="4"/>
  <c r="D126" i="4"/>
  <c r="E126" i="4"/>
  <c r="B138" i="4"/>
  <c r="F125" i="4"/>
  <c r="C137" i="4"/>
  <c r="E125" i="4"/>
  <c r="D125" i="4"/>
  <c r="B137" i="4"/>
  <c r="F124" i="4"/>
  <c r="G124" i="4" s="1"/>
  <c r="H124" i="4" s="1"/>
  <c r="C136" i="4"/>
  <c r="E124" i="4"/>
  <c r="B136" i="4"/>
  <c r="D124" i="4"/>
  <c r="F123" i="4"/>
  <c r="G123" i="4" s="1"/>
  <c r="H123" i="4" s="1"/>
  <c r="C135" i="4"/>
  <c r="E123" i="4"/>
  <c r="D123" i="4"/>
  <c r="B135" i="4"/>
  <c r="F122" i="4"/>
  <c r="G122" i="4" s="1"/>
  <c r="H122" i="4" s="1"/>
  <c r="C134" i="4"/>
  <c r="E122" i="4"/>
  <c r="B134" i="4"/>
  <c r="D122" i="4"/>
  <c r="I112" i="4"/>
  <c r="I113" i="4"/>
  <c r="I114" i="4"/>
  <c r="I117" i="4"/>
  <c r="I118" i="4"/>
  <c r="I119" i="4"/>
  <c r="I120" i="4"/>
  <c r="I115" i="4"/>
  <c r="I121" i="4"/>
  <c r="G116" i="4"/>
  <c r="H116" i="4" s="1"/>
  <c r="G113" i="4"/>
  <c r="H113" i="4" s="1"/>
  <c r="G110" i="4"/>
  <c r="H110" i="4" s="1"/>
  <c r="G115" i="4"/>
  <c r="H115" i="4" s="1"/>
  <c r="G112" i="4"/>
  <c r="H112" i="4" s="1"/>
  <c r="G121" i="4"/>
  <c r="H121" i="4" s="1"/>
  <c r="G120" i="4"/>
  <c r="H120" i="4" s="1"/>
  <c r="G119" i="4"/>
  <c r="H119" i="4" s="1"/>
  <c r="G118" i="4"/>
  <c r="H118" i="4" s="1"/>
  <c r="G117" i="4"/>
  <c r="H117" i="4" s="1"/>
  <c r="I111" i="4"/>
  <c r="I110" i="4"/>
  <c r="I116" i="4"/>
  <c r="U25" i="3"/>
  <c r="X42" i="3" s="1"/>
  <c r="V25" i="3"/>
  <c r="Y42" i="3" s="1"/>
  <c r="W25" i="3"/>
  <c r="Z42" i="3" s="1"/>
  <c r="X25" i="3"/>
  <c r="AA42" i="3" s="1"/>
  <c r="Y25" i="3"/>
  <c r="AB42" i="3" s="1"/>
  <c r="Z25" i="3"/>
  <c r="AC42" i="3" s="1"/>
  <c r="AA25" i="3"/>
  <c r="AD42" i="3" s="1"/>
  <c r="AB25" i="3"/>
  <c r="AE42" i="3" s="1"/>
  <c r="AC25" i="3"/>
  <c r="AF42" i="3" s="1"/>
  <c r="AD25" i="3"/>
  <c r="U43" i="3" s="1"/>
  <c r="AE25" i="3"/>
  <c r="V43" i="3" s="1"/>
  <c r="AF25" i="3"/>
  <c r="W43" i="3" s="1"/>
  <c r="T26" i="3"/>
  <c r="C157" i="4" l="1"/>
  <c r="F145" i="4"/>
  <c r="D145" i="4"/>
  <c r="E145" i="4"/>
  <c r="B157" i="4"/>
  <c r="F144" i="4"/>
  <c r="C156" i="4"/>
  <c r="D144" i="4"/>
  <c r="E144" i="4"/>
  <c r="B156" i="4"/>
  <c r="C155" i="4"/>
  <c r="F143" i="4"/>
  <c r="B155" i="4"/>
  <c r="D143" i="4"/>
  <c r="E143" i="4"/>
  <c r="F142" i="4"/>
  <c r="G142" i="4" s="1"/>
  <c r="H142" i="4" s="1"/>
  <c r="C154" i="4"/>
  <c r="D142" i="4"/>
  <c r="B154" i="4"/>
  <c r="E142" i="4"/>
  <c r="F141" i="4"/>
  <c r="C153" i="4"/>
  <c r="D141" i="4"/>
  <c r="E141" i="4"/>
  <c r="B153" i="4"/>
  <c r="F140" i="4"/>
  <c r="C152" i="4"/>
  <c r="D140" i="4"/>
  <c r="B152" i="4"/>
  <c r="E140" i="4"/>
  <c r="F139" i="4"/>
  <c r="C151" i="4"/>
  <c r="B151" i="4"/>
  <c r="E139" i="4"/>
  <c r="D139" i="4"/>
  <c r="C150" i="4"/>
  <c r="F138" i="4"/>
  <c r="B150" i="4"/>
  <c r="E138" i="4"/>
  <c r="D138" i="4"/>
  <c r="F137" i="4"/>
  <c r="C149" i="4"/>
  <c r="E137" i="4"/>
  <c r="D137" i="4"/>
  <c r="B149" i="4"/>
  <c r="C148" i="4"/>
  <c r="F136" i="4"/>
  <c r="E136" i="4"/>
  <c r="B148" i="4"/>
  <c r="D136" i="4"/>
  <c r="F135" i="4"/>
  <c r="C147" i="4"/>
  <c r="E135" i="4"/>
  <c r="B147" i="4"/>
  <c r="D135" i="4"/>
  <c r="C146" i="4"/>
  <c r="F134" i="4"/>
  <c r="E134" i="4"/>
  <c r="B146" i="4"/>
  <c r="D134" i="4"/>
  <c r="I122" i="4"/>
  <c r="I124" i="4"/>
  <c r="I127" i="4"/>
  <c r="I131" i="4"/>
  <c r="I132" i="4"/>
  <c r="I126" i="4"/>
  <c r="I123" i="4"/>
  <c r="I125" i="4"/>
  <c r="I128" i="4"/>
  <c r="I129" i="4"/>
  <c r="I130" i="4"/>
  <c r="I133" i="4"/>
  <c r="G133" i="4"/>
  <c r="H133" i="4" s="1"/>
  <c r="G132" i="4"/>
  <c r="H132" i="4" s="1"/>
  <c r="G131" i="4"/>
  <c r="H131" i="4" s="1"/>
  <c r="G130" i="4"/>
  <c r="H130" i="4" s="1"/>
  <c r="G129" i="4"/>
  <c r="H129" i="4" s="1"/>
  <c r="G127" i="4"/>
  <c r="H127" i="4" s="1"/>
  <c r="G126" i="4"/>
  <c r="H126" i="4" s="1"/>
  <c r="I138" i="4"/>
  <c r="I137" i="4"/>
  <c r="I136" i="4"/>
  <c r="G125" i="4"/>
  <c r="H125" i="4" s="1"/>
  <c r="U26" i="3"/>
  <c r="X43" i="3" s="1"/>
  <c r="V26" i="3"/>
  <c r="Y43" i="3" s="1"/>
  <c r="W26" i="3"/>
  <c r="Z43" i="3" s="1"/>
  <c r="X26" i="3"/>
  <c r="AA43" i="3" s="1"/>
  <c r="Y26" i="3"/>
  <c r="AB43" i="3" s="1"/>
  <c r="Z26" i="3"/>
  <c r="AC43" i="3" s="1"/>
  <c r="AA26" i="3"/>
  <c r="AD43" i="3" s="1"/>
  <c r="AB26" i="3"/>
  <c r="AE43" i="3" s="1"/>
  <c r="AC26" i="3"/>
  <c r="AF43" i="3" s="1"/>
  <c r="AD26" i="3"/>
  <c r="U44" i="3" s="1"/>
  <c r="AE26" i="3"/>
  <c r="V44" i="3" s="1"/>
  <c r="AF26" i="3"/>
  <c r="W44" i="3" s="1"/>
  <c r="T27" i="3"/>
  <c r="F157" i="4" l="1"/>
  <c r="G157" i="4" s="1"/>
  <c r="H157" i="4" s="1"/>
  <c r="C169" i="4"/>
  <c r="D157" i="4"/>
  <c r="E157" i="4"/>
  <c r="B169" i="4"/>
  <c r="F156" i="4"/>
  <c r="C168" i="4"/>
  <c r="D156" i="4"/>
  <c r="E156" i="4"/>
  <c r="B168" i="4"/>
  <c r="F155" i="4"/>
  <c r="C167" i="4"/>
  <c r="D155" i="4"/>
  <c r="E155" i="4"/>
  <c r="B167" i="4"/>
  <c r="F154" i="4"/>
  <c r="C166" i="4"/>
  <c r="D154" i="4"/>
  <c r="E154" i="4"/>
  <c r="B166" i="4"/>
  <c r="F153" i="4"/>
  <c r="C165" i="4"/>
  <c r="D153" i="4"/>
  <c r="E153" i="4"/>
  <c r="B165" i="4"/>
  <c r="F152" i="4"/>
  <c r="G152" i="4" s="1"/>
  <c r="H152" i="4" s="1"/>
  <c r="C164" i="4"/>
  <c r="D152" i="4"/>
  <c r="E152" i="4"/>
  <c r="B164" i="4"/>
  <c r="F151" i="4"/>
  <c r="G151" i="4" s="1"/>
  <c r="H151" i="4" s="1"/>
  <c r="C163" i="4"/>
  <c r="D151" i="4"/>
  <c r="E151" i="4"/>
  <c r="B163" i="4"/>
  <c r="F150" i="4"/>
  <c r="C162" i="4"/>
  <c r="D150" i="4"/>
  <c r="E150" i="4"/>
  <c r="B162" i="4"/>
  <c r="F149" i="4"/>
  <c r="C161" i="4"/>
  <c r="D149" i="4"/>
  <c r="E149" i="4"/>
  <c r="B161" i="4"/>
  <c r="F148" i="4"/>
  <c r="C160" i="4"/>
  <c r="D148" i="4"/>
  <c r="E148" i="4"/>
  <c r="B160" i="4"/>
  <c r="C159" i="4"/>
  <c r="F147" i="4"/>
  <c r="D147" i="4"/>
  <c r="E147" i="4"/>
  <c r="B159" i="4"/>
  <c r="F146" i="4"/>
  <c r="G146" i="4" s="1"/>
  <c r="H146" i="4" s="1"/>
  <c r="C158" i="4"/>
  <c r="D146" i="4"/>
  <c r="E146" i="4"/>
  <c r="B158" i="4"/>
  <c r="I139" i="4"/>
  <c r="I134" i="4"/>
  <c r="I135" i="4"/>
  <c r="I140" i="4"/>
  <c r="I141" i="4"/>
  <c r="I142" i="4"/>
  <c r="I143" i="4"/>
  <c r="I144" i="4"/>
  <c r="I145" i="4"/>
  <c r="G145" i="4"/>
  <c r="H145" i="4" s="1"/>
  <c r="G144" i="4"/>
  <c r="H144" i="4" s="1"/>
  <c r="G143" i="4"/>
  <c r="H143" i="4" s="1"/>
  <c r="G141" i="4"/>
  <c r="H141" i="4" s="1"/>
  <c r="G134" i="4"/>
  <c r="H134" i="4" s="1"/>
  <c r="G140" i="4"/>
  <c r="H140" i="4" s="1"/>
  <c r="G139" i="4"/>
  <c r="H139" i="4" s="1"/>
  <c r="G138" i="4"/>
  <c r="H138" i="4" s="1"/>
  <c r="G137" i="4"/>
  <c r="H137" i="4" s="1"/>
  <c r="G136" i="4"/>
  <c r="H136" i="4" s="1"/>
  <c r="G135" i="4"/>
  <c r="H135" i="4" s="1"/>
  <c r="U27" i="3"/>
  <c r="X44" i="3" s="1"/>
  <c r="V27" i="3"/>
  <c r="Y44" i="3" s="1"/>
  <c r="W27" i="3"/>
  <c r="Z44" i="3" s="1"/>
  <c r="X27" i="3"/>
  <c r="AA44" i="3" s="1"/>
  <c r="Y27" i="3"/>
  <c r="AB44" i="3" s="1"/>
  <c r="Z27" i="3"/>
  <c r="AC44" i="3" s="1"/>
  <c r="AA27" i="3"/>
  <c r="AD44" i="3" s="1"/>
  <c r="AD27" i="3"/>
  <c r="U45" i="3" s="1"/>
  <c r="T28" i="3"/>
  <c r="AB27" i="3"/>
  <c r="AE44" i="3" s="1"/>
  <c r="AC27" i="3"/>
  <c r="AF44" i="3" s="1"/>
  <c r="AE27" i="3"/>
  <c r="V45" i="3" s="1"/>
  <c r="AF27" i="3"/>
  <c r="W45" i="3" s="1"/>
  <c r="F169" i="4" l="1"/>
  <c r="G169" i="4" s="1"/>
  <c r="H169" i="4" s="1"/>
  <c r="C181" i="4"/>
  <c r="D169" i="4"/>
  <c r="E169" i="4"/>
  <c r="B181" i="4"/>
  <c r="F168" i="4"/>
  <c r="C180" i="4"/>
  <c r="D168" i="4"/>
  <c r="E168" i="4"/>
  <c r="B180" i="4"/>
  <c r="F167" i="4"/>
  <c r="C179" i="4"/>
  <c r="D167" i="4"/>
  <c r="E167" i="4"/>
  <c r="B179" i="4"/>
  <c r="F166" i="4"/>
  <c r="C178" i="4"/>
  <c r="D166" i="4"/>
  <c r="E166" i="4"/>
  <c r="B178" i="4"/>
  <c r="F165" i="4"/>
  <c r="C177" i="4"/>
  <c r="D165" i="4"/>
  <c r="E165" i="4"/>
  <c r="B177" i="4"/>
  <c r="F164" i="4"/>
  <c r="C176" i="4"/>
  <c r="D164" i="4"/>
  <c r="I165" i="4" s="1"/>
  <c r="E164" i="4"/>
  <c r="B176" i="4"/>
  <c r="F163" i="4"/>
  <c r="G163" i="4" s="1"/>
  <c r="H163" i="4" s="1"/>
  <c r="C175" i="4"/>
  <c r="D163" i="4"/>
  <c r="E163" i="4"/>
  <c r="B175" i="4"/>
  <c r="F162" i="4"/>
  <c r="C174" i="4"/>
  <c r="D162" i="4"/>
  <c r="E162" i="4"/>
  <c r="B174" i="4"/>
  <c r="F161" i="4"/>
  <c r="C173" i="4"/>
  <c r="D161" i="4"/>
  <c r="E161" i="4"/>
  <c r="B173" i="4"/>
  <c r="F160" i="4"/>
  <c r="C172" i="4"/>
  <c r="D160" i="4"/>
  <c r="E160" i="4"/>
  <c r="B172" i="4"/>
  <c r="F159" i="4"/>
  <c r="C171" i="4"/>
  <c r="D159" i="4"/>
  <c r="E159" i="4"/>
  <c r="B171" i="4"/>
  <c r="F158" i="4"/>
  <c r="G158" i="4" s="1"/>
  <c r="H158" i="4" s="1"/>
  <c r="C170" i="4"/>
  <c r="I156" i="4"/>
  <c r="I146" i="4"/>
  <c r="I150" i="4"/>
  <c r="I152" i="4"/>
  <c r="I153" i="4"/>
  <c r="I154" i="4"/>
  <c r="I155" i="4"/>
  <c r="I157" i="4"/>
  <c r="D158" i="4"/>
  <c r="I164" i="4" s="1"/>
  <c r="E158" i="4"/>
  <c r="B170" i="4"/>
  <c r="G149" i="4"/>
  <c r="H149" i="4" s="1"/>
  <c r="G148" i="4"/>
  <c r="H148" i="4" s="1"/>
  <c r="G147" i="4"/>
  <c r="H147" i="4" s="1"/>
  <c r="G154" i="4"/>
  <c r="H154" i="4" s="1"/>
  <c r="G150" i="4"/>
  <c r="H150" i="4" s="1"/>
  <c r="I158" i="4"/>
  <c r="G156" i="4"/>
  <c r="H156" i="4" s="1"/>
  <c r="G153" i="4"/>
  <c r="H153" i="4" s="1"/>
  <c r="G155" i="4"/>
  <c r="H155" i="4" s="1"/>
  <c r="I151" i="4"/>
  <c r="I149" i="4"/>
  <c r="I148" i="4"/>
  <c r="I147" i="4"/>
  <c r="V28" i="3"/>
  <c r="Y45" i="3" s="1"/>
  <c r="X28" i="3"/>
  <c r="AA45" i="3" s="1"/>
  <c r="Z28" i="3"/>
  <c r="AC45" i="3" s="1"/>
  <c r="AC28" i="3"/>
  <c r="AF45" i="3" s="1"/>
  <c r="AE28" i="3"/>
  <c r="V46" i="3" s="1"/>
  <c r="AF28" i="3"/>
  <c r="W46" i="3" s="1"/>
  <c r="U28" i="3"/>
  <c r="X45" i="3" s="1"/>
  <c r="W28" i="3"/>
  <c r="Z45" i="3" s="1"/>
  <c r="Y28" i="3"/>
  <c r="AB45" i="3" s="1"/>
  <c r="AA28" i="3"/>
  <c r="AD45" i="3" s="1"/>
  <c r="AB28" i="3"/>
  <c r="AE45" i="3" s="1"/>
  <c r="AD28" i="3"/>
  <c r="U46" i="3" s="1"/>
  <c r="T29" i="3"/>
  <c r="C193" i="4" l="1"/>
  <c r="F181" i="4"/>
  <c r="D181" i="4"/>
  <c r="E181" i="4"/>
  <c r="B193" i="4"/>
  <c r="C192" i="4"/>
  <c r="F180" i="4"/>
  <c r="E180" i="4"/>
  <c r="B192" i="4"/>
  <c r="D180" i="4"/>
  <c r="F179" i="4"/>
  <c r="G179" i="4" s="1"/>
  <c r="H179" i="4" s="1"/>
  <c r="C191" i="4"/>
  <c r="D179" i="4"/>
  <c r="E179" i="4"/>
  <c r="B191" i="4"/>
  <c r="F178" i="4"/>
  <c r="G178" i="4" s="1"/>
  <c r="H178" i="4" s="1"/>
  <c r="C190" i="4"/>
  <c r="D178" i="4"/>
  <c r="E178" i="4"/>
  <c r="B190" i="4"/>
  <c r="F177" i="4"/>
  <c r="C189" i="4"/>
  <c r="D177" i="4"/>
  <c r="E177" i="4"/>
  <c r="B189" i="4"/>
  <c r="F176" i="4"/>
  <c r="G176" i="4" s="1"/>
  <c r="H176" i="4" s="1"/>
  <c r="C188" i="4"/>
  <c r="D176" i="4"/>
  <c r="E176" i="4"/>
  <c r="B188" i="4"/>
  <c r="F175" i="4"/>
  <c r="C187" i="4"/>
  <c r="D175" i="4"/>
  <c r="E175" i="4"/>
  <c r="B187" i="4"/>
  <c r="F174" i="4"/>
  <c r="C186" i="4"/>
  <c r="D174" i="4"/>
  <c r="E174" i="4"/>
  <c r="B186" i="4"/>
  <c r="F173" i="4"/>
  <c r="C185" i="4"/>
  <c r="D173" i="4"/>
  <c r="E173" i="4"/>
  <c r="B185" i="4"/>
  <c r="F172" i="4"/>
  <c r="C184" i="4"/>
  <c r="D172" i="4"/>
  <c r="E172" i="4"/>
  <c r="B184" i="4"/>
  <c r="F171" i="4"/>
  <c r="C183" i="4"/>
  <c r="D171" i="4"/>
  <c r="E171" i="4"/>
  <c r="B183" i="4"/>
  <c r="F170" i="4"/>
  <c r="C182" i="4"/>
  <c r="I167" i="4"/>
  <c r="I168" i="4"/>
  <c r="I166" i="4"/>
  <c r="I169" i="4"/>
  <c r="D170" i="4"/>
  <c r="E170" i="4"/>
  <c r="B182" i="4"/>
  <c r="I174" i="4"/>
  <c r="G162" i="4"/>
  <c r="H162" i="4" s="1"/>
  <c r="I173" i="4"/>
  <c r="G161" i="4"/>
  <c r="H161" i="4" s="1"/>
  <c r="I172" i="4"/>
  <c r="G160" i="4"/>
  <c r="H160" i="4" s="1"/>
  <c r="I171" i="4"/>
  <c r="G159" i="4"/>
  <c r="H159" i="4" s="1"/>
  <c r="I170" i="4"/>
  <c r="G165" i="4"/>
  <c r="H165" i="4" s="1"/>
  <c r="G168" i="4"/>
  <c r="H168" i="4" s="1"/>
  <c r="G166" i="4"/>
  <c r="H166" i="4" s="1"/>
  <c r="G167" i="4"/>
  <c r="H167" i="4" s="1"/>
  <c r="G164" i="4"/>
  <c r="H164" i="4" s="1"/>
  <c r="I163" i="4"/>
  <c r="I162" i="4"/>
  <c r="I161" i="4"/>
  <c r="I160" i="4"/>
  <c r="I159" i="4"/>
  <c r="U29" i="3"/>
  <c r="X46" i="3" s="1"/>
  <c r="W29" i="3"/>
  <c r="Z46" i="3" s="1"/>
  <c r="Y29" i="3"/>
  <c r="AB46" i="3" s="1"/>
  <c r="AA29" i="3"/>
  <c r="AD46" i="3" s="1"/>
  <c r="AD29" i="3"/>
  <c r="U47" i="3" s="1"/>
  <c r="AF29" i="3"/>
  <c r="W47" i="3" s="1"/>
  <c r="AC29" i="3"/>
  <c r="AF46" i="3" s="1"/>
  <c r="V29" i="3"/>
  <c r="Y46" i="3" s="1"/>
  <c r="X29" i="3"/>
  <c r="AA46" i="3" s="1"/>
  <c r="Z29" i="3"/>
  <c r="AC46" i="3" s="1"/>
  <c r="AB29" i="3"/>
  <c r="AE46" i="3" s="1"/>
  <c r="AE29" i="3"/>
  <c r="V47" i="3" s="1"/>
  <c r="T30" i="3"/>
  <c r="F193" i="4" l="1"/>
  <c r="G193" i="4" s="1"/>
  <c r="H193" i="4" s="1"/>
  <c r="C205" i="4"/>
  <c r="D193" i="4"/>
  <c r="E193" i="4"/>
  <c r="B205" i="4"/>
  <c r="F192" i="4"/>
  <c r="C204" i="4"/>
  <c r="B204" i="4"/>
  <c r="D192" i="4"/>
  <c r="E192" i="4"/>
  <c r="C203" i="4"/>
  <c r="F191" i="4"/>
  <c r="D191" i="4"/>
  <c r="E191" i="4"/>
  <c r="B203" i="4"/>
  <c r="F190" i="4"/>
  <c r="C202" i="4"/>
  <c r="D190" i="4"/>
  <c r="E190" i="4"/>
  <c r="B202" i="4"/>
  <c r="C201" i="4"/>
  <c r="F189" i="4"/>
  <c r="E189" i="4"/>
  <c r="B201" i="4"/>
  <c r="D189" i="4"/>
  <c r="F188" i="4"/>
  <c r="C200" i="4"/>
  <c r="D188" i="4"/>
  <c r="E188" i="4"/>
  <c r="B200" i="4"/>
  <c r="F187" i="4"/>
  <c r="C199" i="4"/>
  <c r="D187" i="4"/>
  <c r="E187" i="4"/>
  <c r="B199" i="4"/>
  <c r="F186" i="4"/>
  <c r="C198" i="4"/>
  <c r="B198" i="4"/>
  <c r="D186" i="4"/>
  <c r="E186" i="4"/>
  <c r="F185" i="4"/>
  <c r="C197" i="4"/>
  <c r="D185" i="4"/>
  <c r="E185" i="4"/>
  <c r="B197" i="4"/>
  <c r="F184" i="4"/>
  <c r="G184" i="4" s="1"/>
  <c r="H184" i="4" s="1"/>
  <c r="C196" i="4"/>
  <c r="E184" i="4"/>
  <c r="B196" i="4"/>
  <c r="D184" i="4"/>
  <c r="F183" i="4"/>
  <c r="C195" i="4"/>
  <c r="E183" i="4"/>
  <c r="D183" i="4"/>
  <c r="B195" i="4"/>
  <c r="F182" i="4"/>
  <c r="C194" i="4"/>
  <c r="I177" i="4"/>
  <c r="I176" i="4"/>
  <c r="I180" i="4"/>
  <c r="I175" i="4"/>
  <c r="I178" i="4"/>
  <c r="I179" i="4"/>
  <c r="I181" i="4"/>
  <c r="D182" i="4"/>
  <c r="E182" i="4"/>
  <c r="B194" i="4"/>
  <c r="G177" i="4"/>
  <c r="H177" i="4" s="1"/>
  <c r="G174" i="4"/>
  <c r="H174" i="4" s="1"/>
  <c r="G172" i="4"/>
  <c r="H172" i="4" s="1"/>
  <c r="G173" i="4"/>
  <c r="H173" i="4" s="1"/>
  <c r="G171" i="4"/>
  <c r="H171" i="4" s="1"/>
  <c r="G175" i="4"/>
  <c r="H175" i="4" s="1"/>
  <c r="G170" i="4"/>
  <c r="H170" i="4" s="1"/>
  <c r="G181" i="4"/>
  <c r="H181" i="4" s="1"/>
  <c r="G180" i="4"/>
  <c r="H180" i="4" s="1"/>
  <c r="U30" i="3"/>
  <c r="X47" i="3" s="1"/>
  <c r="X30" i="3"/>
  <c r="AA47" i="3" s="1"/>
  <c r="Z30" i="3"/>
  <c r="AC47" i="3" s="1"/>
  <c r="AA30" i="3"/>
  <c r="AD47" i="3" s="1"/>
  <c r="AC30" i="3"/>
  <c r="AF47" i="3" s="1"/>
  <c r="AD30" i="3"/>
  <c r="U48" i="3" s="1"/>
  <c r="AF30" i="3"/>
  <c r="W48" i="3" s="1"/>
  <c r="T31" i="3"/>
  <c r="V30" i="3"/>
  <c r="Y47" i="3" s="1"/>
  <c r="W30" i="3"/>
  <c r="Z47" i="3" s="1"/>
  <c r="Y30" i="3"/>
  <c r="AB47" i="3" s="1"/>
  <c r="AB30" i="3"/>
  <c r="AE47" i="3" s="1"/>
  <c r="AE30" i="3"/>
  <c r="V48" i="3" s="1"/>
  <c r="F205" i="4" l="1"/>
  <c r="G205" i="4" s="1"/>
  <c r="H205" i="4" s="1"/>
  <c r="C217" i="4"/>
  <c r="D205" i="4"/>
  <c r="E205" i="4"/>
  <c r="B217" i="4"/>
  <c r="F204" i="4"/>
  <c r="C216" i="4"/>
  <c r="D204" i="4"/>
  <c r="E204" i="4"/>
  <c r="B216" i="4"/>
  <c r="F203" i="4"/>
  <c r="C215" i="4"/>
  <c r="B215" i="4"/>
  <c r="D203" i="4"/>
  <c r="E203" i="4"/>
  <c r="F202" i="4"/>
  <c r="G202" i="4" s="1"/>
  <c r="H202" i="4" s="1"/>
  <c r="C214" i="4"/>
  <c r="D202" i="4"/>
  <c r="E202" i="4"/>
  <c r="B214" i="4"/>
  <c r="F201" i="4"/>
  <c r="G201" i="4" s="1"/>
  <c r="H201" i="4" s="1"/>
  <c r="C213" i="4"/>
  <c r="D201" i="4"/>
  <c r="E201" i="4"/>
  <c r="B213" i="4"/>
  <c r="F200" i="4"/>
  <c r="C212" i="4"/>
  <c r="D200" i="4"/>
  <c r="E200" i="4"/>
  <c r="B212" i="4"/>
  <c r="F199" i="4"/>
  <c r="G199" i="4" s="1"/>
  <c r="H199" i="4" s="1"/>
  <c r="C211" i="4"/>
  <c r="D199" i="4"/>
  <c r="B211" i="4"/>
  <c r="E199" i="4"/>
  <c r="F198" i="4"/>
  <c r="C210" i="4"/>
  <c r="D198" i="4"/>
  <c r="E198" i="4"/>
  <c r="B210" i="4"/>
  <c r="F197" i="4"/>
  <c r="G197" i="4" s="1"/>
  <c r="H197" i="4" s="1"/>
  <c r="C209" i="4"/>
  <c r="B209" i="4"/>
  <c r="D197" i="4"/>
  <c r="E197" i="4"/>
  <c r="F196" i="4"/>
  <c r="C208" i="4"/>
  <c r="D196" i="4"/>
  <c r="B208" i="4"/>
  <c r="E196" i="4"/>
  <c r="F195" i="4"/>
  <c r="C207" i="4"/>
  <c r="E195" i="4"/>
  <c r="D195" i="4"/>
  <c r="I198" i="4" s="1"/>
  <c r="B207" i="4"/>
  <c r="F194" i="4"/>
  <c r="C206" i="4"/>
  <c r="I189" i="4"/>
  <c r="I190" i="4"/>
  <c r="I191" i="4"/>
  <c r="I192" i="4"/>
  <c r="I182" i="4"/>
  <c r="I193" i="4"/>
  <c r="D194" i="4"/>
  <c r="E194" i="4"/>
  <c r="B206" i="4"/>
  <c r="G182" i="4"/>
  <c r="H182" i="4" s="1"/>
  <c r="G191" i="4"/>
  <c r="H191" i="4" s="1"/>
  <c r="G185" i="4"/>
  <c r="H185" i="4" s="1"/>
  <c r="G183" i="4"/>
  <c r="H183" i="4" s="1"/>
  <c r="G192" i="4"/>
  <c r="H192" i="4" s="1"/>
  <c r="G190" i="4"/>
  <c r="H190" i="4" s="1"/>
  <c r="G189" i="4"/>
  <c r="H189" i="4" s="1"/>
  <c r="G188" i="4"/>
  <c r="H188" i="4" s="1"/>
  <c r="G187" i="4"/>
  <c r="H187" i="4" s="1"/>
  <c r="G186" i="4"/>
  <c r="H186" i="4" s="1"/>
  <c r="I188" i="4"/>
  <c r="I186" i="4"/>
  <c r="I187" i="4"/>
  <c r="I185" i="4"/>
  <c r="I183" i="4"/>
  <c r="I184" i="4"/>
  <c r="V31" i="3"/>
  <c r="Y48" i="3" s="1"/>
  <c r="X31" i="3"/>
  <c r="AA48" i="3" s="1"/>
  <c r="Z31" i="3"/>
  <c r="AC48" i="3" s="1"/>
  <c r="AB31" i="3"/>
  <c r="AE48" i="3" s="1"/>
  <c r="AC31" i="3"/>
  <c r="AF48" i="3" s="1"/>
  <c r="AE31" i="3"/>
  <c r="V49" i="3" s="1"/>
  <c r="AF31" i="3"/>
  <c r="W49" i="3" s="1"/>
  <c r="U31" i="3"/>
  <c r="X48" i="3" s="1"/>
  <c r="W31" i="3"/>
  <c r="Z48" i="3" s="1"/>
  <c r="Y31" i="3"/>
  <c r="AB48" i="3" s="1"/>
  <c r="AA31" i="3"/>
  <c r="AD48" i="3" s="1"/>
  <c r="AD31" i="3"/>
  <c r="U49" i="3" s="1"/>
  <c r="T32" i="3"/>
  <c r="F217" i="4" l="1"/>
  <c r="C229" i="4"/>
  <c r="F229" i="4" s="1"/>
  <c r="D217" i="4"/>
  <c r="I228" i="4" s="1"/>
  <c r="E217" i="4"/>
  <c r="B229" i="4"/>
  <c r="F216" i="4"/>
  <c r="C228" i="4"/>
  <c r="F228" i="4" s="1"/>
  <c r="D216" i="4"/>
  <c r="I227" i="4" s="1"/>
  <c r="E216" i="4"/>
  <c r="B228" i="4"/>
  <c r="F215" i="4"/>
  <c r="C227" i="4"/>
  <c r="F227" i="4" s="1"/>
  <c r="D215" i="4"/>
  <c r="I226" i="4" s="1"/>
  <c r="E215" i="4"/>
  <c r="B227" i="4"/>
  <c r="F214" i="4"/>
  <c r="C226" i="4"/>
  <c r="F226" i="4" s="1"/>
  <c r="D214" i="4"/>
  <c r="I225" i="4" s="1"/>
  <c r="E214" i="4"/>
  <c r="B226" i="4"/>
  <c r="F213" i="4"/>
  <c r="C225" i="4"/>
  <c r="F225" i="4" s="1"/>
  <c r="D213" i="4"/>
  <c r="I224" i="4" s="1"/>
  <c r="E213" i="4"/>
  <c r="B225" i="4"/>
  <c r="F212" i="4"/>
  <c r="C224" i="4"/>
  <c r="F224" i="4" s="1"/>
  <c r="D212" i="4"/>
  <c r="I223" i="4" s="1"/>
  <c r="E212" i="4"/>
  <c r="B224" i="4"/>
  <c r="F211" i="4"/>
  <c r="C223" i="4"/>
  <c r="F223" i="4" s="1"/>
  <c r="B223" i="4"/>
  <c r="D211" i="4"/>
  <c r="I222" i="4" s="1"/>
  <c r="E211" i="4"/>
  <c r="F210" i="4"/>
  <c r="C222" i="4"/>
  <c r="F222" i="4" s="1"/>
  <c r="B222" i="4"/>
  <c r="D210" i="4"/>
  <c r="I221" i="4" s="1"/>
  <c r="E210" i="4"/>
  <c r="F209" i="4"/>
  <c r="C221" i="4"/>
  <c r="F221" i="4" s="1"/>
  <c r="D209" i="4"/>
  <c r="I220" i="4" s="1"/>
  <c r="B221" i="4"/>
  <c r="E209" i="4"/>
  <c r="C220" i="4"/>
  <c r="F220" i="4" s="1"/>
  <c r="F208" i="4"/>
  <c r="G208" i="4" s="1"/>
  <c r="H208" i="4" s="1"/>
  <c r="B220" i="4"/>
  <c r="D208" i="4"/>
  <c r="E208" i="4"/>
  <c r="F207" i="4"/>
  <c r="G207" i="4" s="1"/>
  <c r="H207" i="4" s="1"/>
  <c r="C219" i="4"/>
  <c r="F219" i="4" s="1"/>
  <c r="D207" i="4"/>
  <c r="E207" i="4"/>
  <c r="B219" i="4"/>
  <c r="F206" i="4"/>
  <c r="C218" i="4"/>
  <c r="F218" i="4" s="1"/>
  <c r="I196" i="4"/>
  <c r="I202" i="4"/>
  <c r="I204" i="4"/>
  <c r="I197" i="4"/>
  <c r="I200" i="4"/>
  <c r="I201" i="4"/>
  <c r="I203" i="4"/>
  <c r="I194" i="4"/>
  <c r="I195" i="4"/>
  <c r="I199" i="4"/>
  <c r="I205" i="4"/>
  <c r="B218" i="4"/>
  <c r="D206" i="4"/>
  <c r="E206" i="4"/>
  <c r="G204" i="4"/>
  <c r="H204" i="4" s="1"/>
  <c r="G198" i="4"/>
  <c r="H198" i="4" s="1"/>
  <c r="G196" i="4"/>
  <c r="H196" i="4" s="1"/>
  <c r="I207" i="4"/>
  <c r="G195" i="4"/>
  <c r="H195" i="4" s="1"/>
  <c r="I206" i="4"/>
  <c r="G194" i="4"/>
  <c r="H194" i="4" s="1"/>
  <c r="G203" i="4"/>
  <c r="H203" i="4" s="1"/>
  <c r="G200" i="4"/>
  <c r="H200" i="4" s="1"/>
  <c r="V32" i="3"/>
  <c r="Y49" i="3" s="1"/>
  <c r="Y32" i="3"/>
  <c r="AB49" i="3" s="1"/>
  <c r="AB32" i="3"/>
  <c r="AE49" i="3" s="1"/>
  <c r="AF32" i="3"/>
  <c r="U32" i="3"/>
  <c r="X49" i="3" s="1"/>
  <c r="W32" i="3"/>
  <c r="Z49" i="3" s="1"/>
  <c r="X32" i="3"/>
  <c r="AA49" i="3" s="1"/>
  <c r="Z32" i="3"/>
  <c r="AC49" i="3" s="1"/>
  <c r="AA32" i="3"/>
  <c r="AD49" i="3" s="1"/>
  <c r="AC32" i="3"/>
  <c r="AF49" i="3" s="1"/>
  <c r="AD32" i="3"/>
  <c r="AE32" i="3"/>
  <c r="T33" i="3"/>
  <c r="D229" i="4" l="1"/>
  <c r="E229" i="4"/>
  <c r="G229" i="4" s="1"/>
  <c r="H229" i="4" s="1"/>
  <c r="D228" i="4"/>
  <c r="E228" i="4"/>
  <c r="G228" i="4" s="1"/>
  <c r="H228" i="4" s="1"/>
  <c r="D227" i="4"/>
  <c r="E227" i="4"/>
  <c r="G227" i="4" s="1"/>
  <c r="H227" i="4" s="1"/>
  <c r="D226" i="4"/>
  <c r="E226" i="4"/>
  <c r="G226" i="4" s="1"/>
  <c r="H226" i="4" s="1"/>
  <c r="D225" i="4"/>
  <c r="E225" i="4"/>
  <c r="G225" i="4" s="1"/>
  <c r="H225" i="4" s="1"/>
  <c r="D224" i="4"/>
  <c r="E224" i="4"/>
  <c r="G224" i="4" s="1"/>
  <c r="H224" i="4" s="1"/>
  <c r="D223" i="4"/>
  <c r="E223" i="4"/>
  <c r="G223" i="4" s="1"/>
  <c r="H223" i="4" s="1"/>
  <c r="D222" i="4"/>
  <c r="E222" i="4"/>
  <c r="G222" i="4" s="1"/>
  <c r="H222" i="4" s="1"/>
  <c r="D221" i="4"/>
  <c r="E221" i="4"/>
  <c r="G221" i="4" s="1"/>
  <c r="H221" i="4" s="1"/>
  <c r="D220" i="4"/>
  <c r="E220" i="4"/>
  <c r="G220" i="4" s="1"/>
  <c r="H220" i="4" s="1"/>
  <c r="D219" i="4"/>
  <c r="E219" i="4"/>
  <c r="G219" i="4" s="1"/>
  <c r="H219" i="4" s="1"/>
  <c r="D218" i="4"/>
  <c r="I229" i="4" s="1"/>
  <c r="E218" i="4"/>
  <c r="G218" i="4" s="1"/>
  <c r="H218" i="4" s="1"/>
  <c r="I216" i="4"/>
  <c r="I211" i="4"/>
  <c r="I212" i="4"/>
  <c r="I213" i="4"/>
  <c r="I214" i="4"/>
  <c r="I215" i="4"/>
  <c r="I217" i="4"/>
  <c r="G215" i="4"/>
  <c r="H215" i="4" s="1"/>
  <c r="G213" i="4"/>
  <c r="H213" i="4" s="1"/>
  <c r="I219" i="4"/>
  <c r="I218" i="4"/>
  <c r="G206" i="4"/>
  <c r="H206" i="4" s="1"/>
  <c r="G217" i="4"/>
  <c r="H217" i="4" s="1"/>
  <c r="G216" i="4"/>
  <c r="H216" i="4" s="1"/>
  <c r="G214" i="4"/>
  <c r="H214" i="4" s="1"/>
  <c r="G210" i="4"/>
  <c r="H210" i="4" s="1"/>
  <c r="G212" i="4"/>
  <c r="H212" i="4" s="1"/>
  <c r="G211" i="4"/>
  <c r="H211" i="4" s="1"/>
  <c r="G209" i="4"/>
  <c r="H209" i="4" s="1"/>
  <c r="I210" i="4"/>
  <c r="I209" i="4"/>
  <c r="I208" i="4"/>
  <c r="V33" i="3"/>
  <c r="Z33" i="3"/>
  <c r="AB33" i="3"/>
  <c r="AC33" i="3"/>
  <c r="AE33" i="3"/>
  <c r="U33" i="3"/>
  <c r="W33" i="3"/>
  <c r="Y33" i="3"/>
  <c r="AA33" i="3"/>
  <c r="AF33" i="3"/>
  <c r="X33" i="3"/>
  <c r="AD3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A47A5F-CB91-4E8E-891C-0D2089FD898A}" keepAlive="1" name="Query - Monthly Exports" description="Connection to the 'Monthly Exports' query in the workbook." type="5" refreshedVersion="8" background="1" saveData="1">
    <dbPr connection="Provider=Microsoft.Mashup.OleDb.1;Data Source=$Workbook$;Location=&quot;Monthly Exports&quot;;Extended Properties=&quot;&quot;" command="SELECT * FROM [Monthly Exports]"/>
  </connection>
  <connection id="2" xr16:uid="{A637E4AC-A52E-4150-9C3D-CF6E8C6A0216}"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468989B5-2A00-4622-A085-F0CB3B2CE7B8}"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A63F0522-8C36-456E-B747-9264DC2DA40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370A6DCB-D16C-4C48-9017-AD9E3AA6BFC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<sst xmlns="http://schemas.openxmlformats.org/spreadsheetml/2006/main" count="21896" uniqueCount="351">
  <si>
    <t>Source</t>
  </si>
  <si>
    <t>Origin</t>
  </si>
  <si>
    <t>GBE</t>
  </si>
  <si>
    <t>MonthlyTradeStatistics 2016_01.xlsx</t>
  </si>
  <si>
    <t>Total</t>
  </si>
  <si>
    <t>Colombian Milds</t>
  </si>
  <si>
    <t>Other Milds</t>
  </si>
  <si>
    <t>Brazilian Naturals</t>
  </si>
  <si>
    <t>Robustas</t>
  </si>
  <si>
    <t>Angola</t>
  </si>
  <si>
    <t>Bolivia (Plurinational State of)</t>
  </si>
  <si>
    <t>Brazil</t>
  </si>
  <si>
    <t>Burundi</t>
  </si>
  <si>
    <t>Cameroon</t>
  </si>
  <si>
    <t>Central African Republic</t>
  </si>
  <si>
    <t>Colombia</t>
  </si>
  <si>
    <t>Congo</t>
  </si>
  <si>
    <t>Costa Rica</t>
  </si>
  <si>
    <t>Côte d'Ivoire</t>
  </si>
  <si>
    <t>Cuba</t>
  </si>
  <si>
    <t>Democratic Republic of Congo</t>
  </si>
  <si>
    <t>Dominican Republic</t>
  </si>
  <si>
    <t>Ecuador</t>
  </si>
  <si>
    <t>El Salvador</t>
  </si>
  <si>
    <t>Equatorial Guinea</t>
  </si>
  <si>
    <t>Ethiopia</t>
  </si>
  <si>
    <t>Gabon</t>
  </si>
  <si>
    <t>Ghana</t>
  </si>
  <si>
    <t>Guatemala</t>
  </si>
  <si>
    <t>Guinea</t>
  </si>
  <si>
    <t>Guyana</t>
  </si>
  <si>
    <t>Haiti</t>
  </si>
  <si>
    <t>Honduras</t>
  </si>
  <si>
    <t>India</t>
  </si>
  <si>
    <t>Indonesia</t>
  </si>
  <si>
    <t>Jamaica</t>
  </si>
  <si>
    <t>Kenya</t>
  </si>
  <si>
    <t>Lao People's Democratic Republic</t>
  </si>
  <si>
    <t>Liberia</t>
  </si>
  <si>
    <t>Madagascar</t>
  </si>
  <si>
    <t>Malawi</t>
  </si>
  <si>
    <t>Mexico</t>
  </si>
  <si>
    <t>Nepal</t>
  </si>
  <si>
    <t>Nicaragua</t>
  </si>
  <si>
    <t>Nigeria</t>
  </si>
  <si>
    <t>Panama</t>
  </si>
  <si>
    <t>Papua New Guinea</t>
  </si>
  <si>
    <t>Paraguay</t>
  </si>
  <si>
    <t>Peru</t>
  </si>
  <si>
    <t>Philippines</t>
  </si>
  <si>
    <t>Rwanda</t>
  </si>
  <si>
    <t>Sierra Leone</t>
  </si>
  <si>
    <t>Sri Lanka</t>
  </si>
  <si>
    <t>Tanzania</t>
  </si>
  <si>
    <t>Thailand</t>
  </si>
  <si>
    <t>Timor-Leste</t>
  </si>
  <si>
    <t>Togo</t>
  </si>
  <si>
    <t>Trinidad &amp; Tobago</t>
  </si>
  <si>
    <t>Uganda</t>
  </si>
  <si>
    <t>Venezuela</t>
  </si>
  <si>
    <t>Viet Nam</t>
  </si>
  <si>
    <t>Yemen</t>
  </si>
  <si>
    <t>Zambia</t>
  </si>
  <si>
    <t>Zimbabwe</t>
  </si>
  <si>
    <t>MonthlyTradeStatistics 2016_02.xlsx</t>
  </si>
  <si>
    <t>MonthlyTradeStatistics 2016_03.xlsx</t>
  </si>
  <si>
    <t>MonthlyTradeStatistics 2016_04.xlsx</t>
  </si>
  <si>
    <t>MonthlyTradeStatistics 2016_05.xlsx</t>
  </si>
  <si>
    <t>MonthlyTradeStatistics 2016_06.xlsx</t>
  </si>
  <si>
    <t>MonthlyTradeStatistics 2016_07.xlsx</t>
  </si>
  <si>
    <t>MonthlyTradeStatistics 2016_08.xlsx</t>
  </si>
  <si>
    <t>MonthlyTradeStatistics 2016_09.xlsx</t>
  </si>
  <si>
    <t>MonthlyTradeStatistics 2016_10.xlsx</t>
  </si>
  <si>
    <t>MonthlyTradeStatistics 2016_11.xlsx</t>
  </si>
  <si>
    <t>MonthlyTradeStatistics 2016_12.xlsx</t>
  </si>
  <si>
    <t>MonthlyTradeStatistics 2017_01.xlsx</t>
  </si>
  <si>
    <t>MonthlyTradeStatistics 2017_02.xlsx</t>
  </si>
  <si>
    <t>MonthlyTradeStatistics 2017_03.xlsx</t>
  </si>
  <si>
    <t>MonthlyTradeStatistics 2017_04.xlsx</t>
  </si>
  <si>
    <t>MonthlyTradeStatistics 2017_05.xlsx</t>
  </si>
  <si>
    <t>MonthlyTradeStatistics 2017_06.xlsx</t>
  </si>
  <si>
    <t>MonthlyTradeStatistics 2017_07.xlsx</t>
  </si>
  <si>
    <t>MonthlyTradeStatistics 2017_08.xlsx</t>
  </si>
  <si>
    <t>MonthlyTradeStatistics 2017_09.xlsx</t>
  </si>
  <si>
    <t>MonthlyTradeStatistics 2017_10.xlsx</t>
  </si>
  <si>
    <t>MonthlyTradeStatistics 2017_11.xlsx</t>
  </si>
  <si>
    <t>MonthlyTradeStatistics 2017_12.xlsx</t>
  </si>
  <si>
    <t>MonthlyTradeStatistics 2018_01.xlsx</t>
  </si>
  <si>
    <t>MonthlyTradeStatistics 2018_02.xlsx</t>
  </si>
  <si>
    <t>MonthlyTradeStatistics 2018_03.xlsx</t>
  </si>
  <si>
    <t>MonthlyTradeStatistics 2018_04.xlsx</t>
  </si>
  <si>
    <t>MonthlyTradeStatistics 2018_05.xlsx</t>
  </si>
  <si>
    <t>MonthlyTradeStatistics 2018_06.xlsx</t>
  </si>
  <si>
    <t>MonthlyTradeStatistics 2018_07.xlsx</t>
  </si>
  <si>
    <t>MonthlyTradeStatistics 2018_08.xlsx</t>
  </si>
  <si>
    <t>MonthlyTradeStatistics 2018_09.xlsx</t>
  </si>
  <si>
    <t>MonthlyTradeStatistics 2018_10.xlsx</t>
  </si>
  <si>
    <t>MonthlyTradeStatistics 2018_11.xlsx</t>
  </si>
  <si>
    <t>MonthlyTradeStatistics 2018_12.xlsx</t>
  </si>
  <si>
    <t>MonthlyTradeStatistics 2019_01.xlsx</t>
  </si>
  <si>
    <t>MonthlyTradeStatistics 2019_02.xlsx</t>
  </si>
  <si>
    <t>MonthlyTradeStatistics 2019_03.xlsx</t>
  </si>
  <si>
    <t>MonthlyTradeStatistics 2019_04.xlsx</t>
  </si>
  <si>
    <t>MonthlyTradeStatistics 2019_05.xlsx</t>
  </si>
  <si>
    <t>MonthlyTradeStatistics 2019_06.xlsx</t>
  </si>
  <si>
    <t>MonthlyTradeStatistics 2019_07.xlsx</t>
  </si>
  <si>
    <t>MonthlyTradeStatistics 2019_08.xlsx</t>
  </si>
  <si>
    <t>MonthlyTradeStatistics 2019_09.xlsx</t>
  </si>
  <si>
    <t>MonthlyTradeStatistics 2019_10.xlsx</t>
  </si>
  <si>
    <t>MonthlyTradeStatistics 2019_11.xlsx</t>
  </si>
  <si>
    <t>MonthlyTradeStatistics 2019_12.xlsx</t>
  </si>
  <si>
    <t>MonthlyTradeStatistics 2020_01.xlsx</t>
  </si>
  <si>
    <t>MonthlyTradeStatistics 2020_02.xlsx</t>
  </si>
  <si>
    <t>MonthlyTradeStatistics 2020_03.xlsx</t>
  </si>
  <si>
    <t>MonthlyTradeStatistics 2020_04.xlsx</t>
  </si>
  <si>
    <t>MonthlyTradeStatistics 2020_05.xlsx</t>
  </si>
  <si>
    <t>MonthlyTradeStatistics 2020_06.xlsx</t>
  </si>
  <si>
    <t>MonthlyTradeStatistics 2020_07.xlsx</t>
  </si>
  <si>
    <t>MonthlyTradeStatistics 2020_08.xlsx</t>
  </si>
  <si>
    <t>MonthlyTradeStatistics 2020_09.xlsx</t>
  </si>
  <si>
    <t>MonthlyTradeStatistics 2020_10.xlsx</t>
  </si>
  <si>
    <t>MonthlyTradeStatistics 2020_11.xlsx</t>
  </si>
  <si>
    <t>MonthlyTradeStatistics 2020_12.xlsx</t>
  </si>
  <si>
    <t>MonthlyTradeStatistics 2021_01.xlsx</t>
  </si>
  <si>
    <t>MonthlyTradeStatistics 2021_02.xlsx</t>
  </si>
  <si>
    <t>MonthlyTradeStatistics 2021_03.xlsx</t>
  </si>
  <si>
    <t>MonthlyTradeStatistics 2021_04.xlsx</t>
  </si>
  <si>
    <t>MonthlyTradeStatistics 2021_05.xlsx</t>
  </si>
  <si>
    <t>MonthlyTradeStatistics 2021_06.xlsx</t>
  </si>
  <si>
    <t>MonthlyTradeStatistics 2021_07.xlsx</t>
  </si>
  <si>
    <t>MonthlyTradeStatistics 2021_08.xlsx</t>
  </si>
  <si>
    <t>MonthlyTradeStatistics 2021_09.xlsx</t>
  </si>
  <si>
    <t>MonthlyTradeStatistics 2021_10.xlsx</t>
  </si>
  <si>
    <t>MonthlyTradeStatistics 2021_11.xlsx</t>
  </si>
  <si>
    <t>MonthlyTradeStatistics 2021_12.xlsx</t>
  </si>
  <si>
    <t>MonthlyTradeStatistics 2022_01.xlsx</t>
  </si>
  <si>
    <t>MonthlyTradeStatistics 2022_02.xlsx</t>
  </si>
  <si>
    <t>MonthlyTradeStatistics 2022_03.xlsx</t>
  </si>
  <si>
    <t>MonthlyTradeStatistics 2022_04.xlsx</t>
  </si>
  <si>
    <t>MonthlyTradeStatistics 2022_05.xlsx</t>
  </si>
  <si>
    <t>MonthlyTradeStatistics 2022_06.xlsx</t>
  </si>
  <si>
    <t>MonthlyTradeStatistics 2022_07.xlsx</t>
  </si>
  <si>
    <t>MonthlyTradeStatistics 2022_08.xlsx</t>
  </si>
  <si>
    <t>MonthlyTradeStatistics 2022_09.xlsx</t>
  </si>
  <si>
    <t>MonthlyTradeStatistics 2022_10.xlsx</t>
  </si>
  <si>
    <t>MonthlyTradeStatistics 2022_11.xlsx</t>
  </si>
  <si>
    <t>MonthlyTradeStatistics 2022_12.xlsx</t>
  </si>
  <si>
    <t>MonthlyTradeStatistics 2023_01.xlsx</t>
  </si>
  <si>
    <t>MonthlyTradeStatistics 2023_02.xlsx</t>
  </si>
  <si>
    <t>MonthlyTradeStatistics 2023_03.xlsx</t>
  </si>
  <si>
    <t>MonthlyTradeStatistics 2023_04.xlsx</t>
  </si>
  <si>
    <t>MonthlyTradeStatistics 2023_05.xlsx</t>
  </si>
  <si>
    <t>MonthlyTradeStatistics 2023_06.xlsx</t>
  </si>
  <si>
    <t>MonthlyTradeStatistics 2023_07.xlsx</t>
  </si>
  <si>
    <t>MonthlyTradeStatistics 2023_08.xlsx</t>
  </si>
  <si>
    <t>MonthlyTradeStatistics 2023_09.xlsx</t>
  </si>
  <si>
    <t>MonthlyTradeStatistics 2023_10.xlsx</t>
  </si>
  <si>
    <t>MonthlyTradeStatistics 2023_11.xlsx</t>
  </si>
  <si>
    <t>MonthlyTradeStatistics 2023_12.xlsx</t>
  </si>
  <si>
    <t>MonthlyTradeStatistics 2024_01.xlsx</t>
  </si>
  <si>
    <t>MonthlyTradeStatistics 2024_02.xlsx</t>
  </si>
  <si>
    <t>MonthlyTradeStatistics 2024_03.xlsx</t>
  </si>
  <si>
    <t>MonthlyTradeStatistics 2024_04.xlsx</t>
  </si>
  <si>
    <t>MonthlyTradeStatistics 2024_05.xlsx</t>
  </si>
  <si>
    <t>MonthlyTradeStatistics 2024_06.xlsx</t>
  </si>
  <si>
    <t>MonthlyTradeStatistics 2024_07.xlsx</t>
  </si>
  <si>
    <t>MonthlyTradeStatistics 2024_08.xlsx</t>
  </si>
  <si>
    <t>MonthlyTradeStatistics 2024_09.xlsx</t>
  </si>
  <si>
    <t>MonthlyTradeStatistics 2024_10.xlsx</t>
  </si>
  <si>
    <t>MonthlyTradeStatistics 2024_11.xlsx</t>
  </si>
  <si>
    <t>MonthlyTradeStatistics 2024_12.xlsx</t>
  </si>
  <si>
    <t>MonthlyTradeStatistics 2025_01.xlsx</t>
  </si>
  <si>
    <t>MonthlyTradeStatistics 2025_02.xlsx</t>
  </si>
  <si>
    <t>MonthlyTradeStatistics 2025_03.xlsx</t>
  </si>
  <si>
    <t>MonthlyTradeStatistics 2025_04.xlsx</t>
  </si>
  <si>
    <t>MonthlyTradeStatistics 2025_05.xlsx</t>
  </si>
  <si>
    <t>MonthlyTradeStatistics 2025_06.xlsx</t>
  </si>
  <si>
    <t>MonthlyTradeStatistics 2025_07.xlsx</t>
  </si>
  <si>
    <t>MonthlyTradeStatistics 2025_08.xlsx</t>
  </si>
  <si>
    <t>MonthlyTradeStatistics 2025_09.xlsx</t>
  </si>
  <si>
    <t>MonthlyTradeStatistics 2025_10.xlsx</t>
  </si>
  <si>
    <t>MonthlyTradeStatistics 2025_11.xlsx</t>
  </si>
  <si>
    <t>MonthlyTradeStatistics 2025_12.xlsx</t>
  </si>
  <si>
    <t>MonthlyTradeStatistics 2026_01.xlsx</t>
  </si>
  <si>
    <t>MonthlyTradeStatistics 2026_02.xlsx</t>
  </si>
  <si>
    <t>MonthlyTradeStatistics 2026_03.xlsx</t>
  </si>
  <si>
    <t>Custom</t>
  </si>
  <si>
    <t>Year</t>
  </si>
  <si>
    <t>Month</t>
  </si>
  <si>
    <t>2016_01.xlsx</t>
  </si>
  <si>
    <t>2016_02.xlsx</t>
  </si>
  <si>
    <t>2016_03.xlsx</t>
  </si>
  <si>
    <t>2016_04.xlsx</t>
  </si>
  <si>
    <t>2016_05.xlsx</t>
  </si>
  <si>
    <t>2016_06.xlsx</t>
  </si>
  <si>
    <t>2016_07.xlsx</t>
  </si>
  <si>
    <t>2016_08.xlsx</t>
  </si>
  <si>
    <t>2016_09.xlsx</t>
  </si>
  <si>
    <t>2016_10.xlsx</t>
  </si>
  <si>
    <t>2016_11.xlsx</t>
  </si>
  <si>
    <t>2016_12.xlsx</t>
  </si>
  <si>
    <t>2017_01.xlsx</t>
  </si>
  <si>
    <t>2017_02.xlsx</t>
  </si>
  <si>
    <t>2017_03.xlsx</t>
  </si>
  <si>
    <t>2017_04.xlsx</t>
  </si>
  <si>
    <t>2017_05.xlsx</t>
  </si>
  <si>
    <t>2017_06.xlsx</t>
  </si>
  <si>
    <t>2017_07.xlsx</t>
  </si>
  <si>
    <t>2017_08.xlsx</t>
  </si>
  <si>
    <t>2017_09.xlsx</t>
  </si>
  <si>
    <t>2017_10.xlsx</t>
  </si>
  <si>
    <t>2017_11.xlsx</t>
  </si>
  <si>
    <t>2017_12.xlsx</t>
  </si>
  <si>
    <t>2018_01.xlsx</t>
  </si>
  <si>
    <t>2018_02.xlsx</t>
  </si>
  <si>
    <t>2018_03.xlsx</t>
  </si>
  <si>
    <t>2018_04.xlsx</t>
  </si>
  <si>
    <t>2018_05.xlsx</t>
  </si>
  <si>
    <t>2018_06.xlsx</t>
  </si>
  <si>
    <t>2018_07.xlsx</t>
  </si>
  <si>
    <t>2018_08.xlsx</t>
  </si>
  <si>
    <t>2018_09.xlsx</t>
  </si>
  <si>
    <t>2018_10.xlsx</t>
  </si>
  <si>
    <t>2018_11.xlsx</t>
  </si>
  <si>
    <t>2018_12.xlsx</t>
  </si>
  <si>
    <t>2019_01.xlsx</t>
  </si>
  <si>
    <t>2019_02.xlsx</t>
  </si>
  <si>
    <t>2019_03.xlsx</t>
  </si>
  <si>
    <t>2019_04.xlsx</t>
  </si>
  <si>
    <t>2019_05.xlsx</t>
  </si>
  <si>
    <t>2019_06.xlsx</t>
  </si>
  <si>
    <t>2019_07.xlsx</t>
  </si>
  <si>
    <t>2019_08.xlsx</t>
  </si>
  <si>
    <t>2019_09.xlsx</t>
  </si>
  <si>
    <t>2019_10.xlsx</t>
  </si>
  <si>
    <t>2019_11.xlsx</t>
  </si>
  <si>
    <t>2019_12.xlsx</t>
  </si>
  <si>
    <t>2020_01.xlsx</t>
  </si>
  <si>
    <t>2020_02.xlsx</t>
  </si>
  <si>
    <t>2020_03.xlsx</t>
  </si>
  <si>
    <t>2020_04.xlsx</t>
  </si>
  <si>
    <t>2020_05.xlsx</t>
  </si>
  <si>
    <t>2020_06.xlsx</t>
  </si>
  <si>
    <t>2020_07.xlsx</t>
  </si>
  <si>
    <t>2020_08.xlsx</t>
  </si>
  <si>
    <t>2020_09.xlsx</t>
  </si>
  <si>
    <t>2020_10.xlsx</t>
  </si>
  <si>
    <t>2020_11.xlsx</t>
  </si>
  <si>
    <t>2020_12.xlsx</t>
  </si>
  <si>
    <t>2021_01.xlsx</t>
  </si>
  <si>
    <t>2021_02.xlsx</t>
  </si>
  <si>
    <t>2021_03.xlsx</t>
  </si>
  <si>
    <t>2021_04.xlsx</t>
  </si>
  <si>
    <t>2021_05.xlsx</t>
  </si>
  <si>
    <t>2021_06.xlsx</t>
  </si>
  <si>
    <t>2021_07.xlsx</t>
  </si>
  <si>
    <t>2021_08.xlsx</t>
  </si>
  <si>
    <t>2021_09.xlsx</t>
  </si>
  <si>
    <t>2021_10.xlsx</t>
  </si>
  <si>
    <t>2021_11.xlsx</t>
  </si>
  <si>
    <t>2021_12.xlsx</t>
  </si>
  <si>
    <t>2022_01.xlsx</t>
  </si>
  <si>
    <t>2022_02.xlsx</t>
  </si>
  <si>
    <t>2022_03.xlsx</t>
  </si>
  <si>
    <t>2022_04.xlsx</t>
  </si>
  <si>
    <t>2022_05.xlsx</t>
  </si>
  <si>
    <t>2022_06.xlsx</t>
  </si>
  <si>
    <t>2022_07.xlsx</t>
  </si>
  <si>
    <t>2022_08.xlsx</t>
  </si>
  <si>
    <t>2022_09.xlsx</t>
  </si>
  <si>
    <t>2022_10.xlsx</t>
  </si>
  <si>
    <t>2022_11.xlsx</t>
  </si>
  <si>
    <t>2022_12.xlsx</t>
  </si>
  <si>
    <t>2023_01.xlsx</t>
  </si>
  <si>
    <t>2023_02.xlsx</t>
  </si>
  <si>
    <t>2023_03.xlsx</t>
  </si>
  <si>
    <t>2023_04.xlsx</t>
  </si>
  <si>
    <t>2023_05.xlsx</t>
  </si>
  <si>
    <t>2023_06.xlsx</t>
  </si>
  <si>
    <t>2023_07.xlsx</t>
  </si>
  <si>
    <t>2023_08.xlsx</t>
  </si>
  <si>
    <t>2023_09.xlsx</t>
  </si>
  <si>
    <t>2023_10.xlsx</t>
  </si>
  <si>
    <t>2023_11.xlsx</t>
  </si>
  <si>
    <t>2023_12.xlsx</t>
  </si>
  <si>
    <t>2024_01.xlsx</t>
  </si>
  <si>
    <t>2024_02.xlsx</t>
  </si>
  <si>
    <t>2024_03.xlsx</t>
  </si>
  <si>
    <t>2024_04.xlsx</t>
  </si>
  <si>
    <t>2024_05.xlsx</t>
  </si>
  <si>
    <t>2024_06.xlsx</t>
  </si>
  <si>
    <t>2024_07.xlsx</t>
  </si>
  <si>
    <t>2024_08.xlsx</t>
  </si>
  <si>
    <t>2024_09.xlsx</t>
  </si>
  <si>
    <t>2024_10.xlsx</t>
  </si>
  <si>
    <t>2024_11.xlsx</t>
  </si>
  <si>
    <t>2024_12.xlsx</t>
  </si>
  <si>
    <t>2025_01.xlsx</t>
  </si>
  <si>
    <t>2025_02.xlsx</t>
  </si>
  <si>
    <t>2025_03.xlsx</t>
  </si>
  <si>
    <t>2025_04.xlsx</t>
  </si>
  <si>
    <t>2025_05.xlsx</t>
  </si>
  <si>
    <t>2025_06.xlsx</t>
  </si>
  <si>
    <t>2025_07.xlsx</t>
  </si>
  <si>
    <t>2025_08.xlsx</t>
  </si>
  <si>
    <t>2025_09.xlsx</t>
  </si>
  <si>
    <t>2025_10.xlsx</t>
  </si>
  <si>
    <t>2025_11.xlsx</t>
  </si>
  <si>
    <t>2025_12.xlsx</t>
  </si>
  <si>
    <t>2026_01.xlsx</t>
  </si>
  <si>
    <t>2026_02.xlsx</t>
  </si>
  <si>
    <t>2026_03.xlsx</t>
  </si>
  <si>
    <t>Row Labels</t>
  </si>
  <si>
    <t>Grand Total</t>
  </si>
  <si>
    <t>Column Labels</t>
  </si>
  <si>
    <t>Sum of GBE</t>
  </si>
  <si>
    <t>16/17</t>
  </si>
  <si>
    <t>17/18</t>
  </si>
  <si>
    <t>18/19</t>
  </si>
  <si>
    <t>19/20</t>
  </si>
  <si>
    <t>20/21</t>
  </si>
  <si>
    <t>21/22</t>
  </si>
  <si>
    <t>22/23</t>
  </si>
  <si>
    <t>23/24</t>
  </si>
  <si>
    <t>24/25</t>
  </si>
  <si>
    <t>25/26</t>
  </si>
  <si>
    <t>26/27</t>
  </si>
  <si>
    <t>Oct</t>
  </si>
  <si>
    <t>Nov</t>
  </si>
  <si>
    <t>Dec</t>
  </si>
  <si>
    <t>Jan</t>
  </si>
  <si>
    <t>Feb</t>
  </si>
  <si>
    <t>Mar</t>
  </si>
  <si>
    <t>Apr</t>
  </si>
  <si>
    <t>May</t>
  </si>
  <si>
    <t>Jun</t>
  </si>
  <si>
    <t>Jul</t>
  </si>
  <si>
    <t>Aug</t>
  </si>
  <si>
    <t>Sep</t>
  </si>
  <si>
    <t>YTD</t>
  </si>
  <si>
    <t>%</t>
  </si>
  <si>
    <t>14/15</t>
  </si>
  <si>
    <t>15/16</t>
  </si>
  <si>
    <t>YoY</t>
  </si>
  <si>
    <t>Offset</t>
  </si>
  <si>
    <t>Min</t>
  </si>
  <si>
    <t>Max</t>
  </si>
  <si>
    <t>Avg(5)</t>
  </si>
  <si>
    <t>Cumulative</t>
  </si>
  <si>
    <t>Rolling 12m Sum</t>
  </si>
  <si>
    <t>ICO's Monthly Exports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</si>
</sst>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8"/>
      <name val="Calibri"/>
      <family val="2"/>
      <scheme val="minor"/>
    </font>
    <font>
      <b/>
      <sz val="8"/>
      <color theme="0"/>
      <name val="Calibri"/>
      <family val="2"/>
      <scheme val="minor"/>
    </font>
    <font>
      <b/>
      <sz val="8"/>
      <color theme="1"/>
      <name val="Calibri"/>
      <family val="2"/>
      <scheme val="minor"/>
    </font>
    <font>
      <b/>
      <sz val="22"/>
      <color theme="0"/>
      <name val="Calibri"/>
      <family val="2"/>
      <scheme val="minor"/>
    </font>
    <font>
      <b/>
      <sz val="20"/>
      <color theme="0"/>
      <name val="Calibri"/>
      <family val="2"/>
      <scheme val="minor"/>
    </font>
    <font>
      <sz val="8"/>
      <color theme="1"/>
      <name val="Calibri"/>
      <family val="2"/>
      <scheme val="minor"/>
    </font>
    <font>
      <sz val="8"/>
      <color theme="0"/>
      <name val="Calibri"/>
      <family val="2"/>
      <scheme val="minor"/>
    </font>
    <font>
      <sz val="11"/>
      <color theme="0" tint="-4.9989318521683403E-2"/>
      <name val="Calibri"/>
      <family val="2"/>
      <scheme val="minor"/>
    </font>
    <font>
      <b/>
      <sz val="10"/>
      <color theme="0"/>
      <name val="Calibri"/>
      <family val="2"/>
      <scheme val="minor"/>
    </font>
    <font>
      <b/>
      <sz val="8"/>
      <color theme="0" tint="-4.9989318521683403E-2"/>
      <name val="Calibri"/>
      <family val="2"/>
      <scheme val="minor"/>
    </font>
    <font>
      <b/>
      <i/>
      <sz val="8"/>
      <color theme="1"/>
      <name val="Calibri"/>
      <family val="2"/>
      <scheme val="minor"/>
    </font>
    <font>
      <sz val="10"/>
      <color theme="0"/>
      <name val="Calibri"/>
      <family val="2"/>
      <scheme val="minor"/>
    </font>
  </fonts>
  <fills count="11">
    <fill>
      <patternFill patternType="none"/>
    </fill>
    <fill>
      <patternFill patternType="gray125"/>
    </fill>
    <fill>
      <patternFill patternType="solid">
        <fgColor theme="1" tint="0.34998626667073579"/>
        <bgColor indexed="64"/>
      </patternFill>
    </fill>
    <fill>
      <patternFill patternType="solid">
        <fgColor theme="0" tint="-0.14999847407452621"/>
        <bgColor theme="0" tint="-0.14999847407452621"/>
      </patternFill>
    </fill>
    <fill>
      <patternFill patternType="solid">
        <fgColor theme="3" tint="-0.499984740745262"/>
        <bgColor indexed="64"/>
      </patternFill>
    </fill>
    <fill>
      <patternFill patternType="solid">
        <fgColor theme="0" tint="-0.14999847407452621"/>
        <bgColor indexed="64"/>
      </patternFill>
    </fill>
    <fill>
      <patternFill patternType="solid">
        <fgColor rgb="FF183C5C"/>
        <bgColor indexed="64"/>
      </patternFill>
    </fill>
    <fill>
      <patternFill patternType="solid">
        <fgColor theme="2" tint="-0.89999084444715716"/>
        <bgColor indexed="64"/>
      </patternFill>
    </fill>
    <fill>
      <patternFill patternType="solid">
        <fgColor rgb="FF900000"/>
        <bgColor indexed="64"/>
      </patternFill>
    </fill>
    <fill>
      <patternFill patternType="solid">
        <fgColor theme="2" tint="-9.9978637043366805E-2"/>
        <bgColor indexed="64"/>
      </patternFill>
    </fill>
    <fill>
      <patternFill patternType="solid">
        <fgColor theme="5" tint="0.59999389629810485"/>
        <bgColor indexed="64"/>
      </patternFill>
    </fill>
  </fills>
  <borders count="2">
    <border>
      <left/>
      <right/>
      <top/>
      <bottom/>
      <diagonal/>
    </border>
    <border>
      <left/>
      <right/>
      <top/>
      <bottom style="thin">
        <color theme="0" tint="-0.34998626667073579"/>
      </bottom>
      <diagonal/>
    </border>
  </borders>
  <cellStyleXfs count="1">
    <xf numFmtId="0" fontId="0" fillId="0" borderId="0"/>
  </cellStyleXfs>
  <cellXfs count="28">
    <xf numFmtId="0" fontId="0" fillId="0" borderId="0" xfId="0"/>
    <xf numFmtId="0" fontId="0" fillId="0" borderId="0" xfId="0" pivotButton="1"/>
    <xf numFmtId="0" fontId="0" fillId="0" borderId="0" xfId="0" applyAlignment="1">
      <alignment horizontal="left"/>
    </xf>
    <xf numFmtId="3" fontId="0" fillId="0" borderId="0" xfId="0" applyNumberFormat="1"/>
    <xf numFmtId="3" fontId="0" fillId="0" borderId="0" xfId="0" applyNumberFormat="1" applyAlignment="1">
      <alignment horizontal="center" vertical="center"/>
    </xf>
    <xf numFmtId="0" fontId="0" fillId="0" borderId="0" xfId="0" applyAlignment="1">
      <alignment horizontal="center"/>
    </xf>
    <xf numFmtId="0" fontId="2" fillId="2" borderId="0" xfId="0" applyFont="1" applyFill="1" applyAlignment="1">
      <alignment horizontal="center" vertical="center"/>
    </xf>
    <xf numFmtId="0" fontId="3" fillId="3" borderId="1" xfId="0" applyFont="1" applyFill="1" applyBorder="1" applyAlignment="1">
      <alignment horizontal="center" vertical="center"/>
    </xf>
    <xf numFmtId="0" fontId="5" fillId="4" borderId="0" xfId="0" applyFont="1" applyFill="1" applyAlignment="1">
      <alignment horizontal="center" vertical="center"/>
    </xf>
    <xf numFmtId="0" fontId="6" fillId="4" borderId="0" xfId="0" applyFont="1" applyFill="1" applyAlignment="1">
      <alignment horizontal="center" vertical="center"/>
    </xf>
    <xf numFmtId="0" fontId="0" fillId="4" borderId="0" xfId="0" applyFill="1" applyAlignment="1">
      <alignment horizontal="center"/>
    </xf>
    <xf numFmtId="0" fontId="7" fillId="4" borderId="0" xfId="0" applyFont="1" applyFill="1" applyAlignment="1">
      <alignment horizontal="center" vertical="center"/>
    </xf>
    <xf numFmtId="0" fontId="0" fillId="5" borderId="0" xfId="0" applyFill="1" applyAlignment="1">
      <alignment horizontal="center"/>
    </xf>
    <xf numFmtId="0" fontId="8" fillId="0" borderId="0" xfId="0" applyFont="1" applyAlignment="1">
      <alignment horizontal="center"/>
    </xf>
    <xf numFmtId="0" fontId="6" fillId="0" borderId="0" xfId="0" applyFont="1" applyAlignment="1">
      <alignment horizontal="center" vertical="center"/>
    </xf>
    <xf numFmtId="0" fontId="2" fillId="7" borderId="0" xfId="0" applyFont="1" applyFill="1" applyAlignment="1">
      <alignment horizontal="center" vertical="center"/>
    </xf>
    <xf numFmtId="3" fontId="10" fillId="0" borderId="0" xfId="0" applyNumberFormat="1" applyFont="1" applyAlignment="1">
      <alignment horizontal="center" vertical="center"/>
    </xf>
    <xf numFmtId="3" fontId="3" fillId="0" borderId="0" xfId="0" applyNumberFormat="1" applyFont="1" applyAlignment="1">
      <alignment horizontal="center" vertical="center"/>
    </xf>
    <xf numFmtId="9" fontId="6" fillId="0" borderId="0" xfId="0" applyNumberFormat="1" applyFont="1" applyAlignment="1">
      <alignment horizontal="center" vertical="center"/>
    </xf>
    <xf numFmtId="3" fontId="6" fillId="0" borderId="0" xfId="0" applyNumberFormat="1" applyFont="1" applyAlignment="1">
      <alignment horizontal="center" vertical="center"/>
    </xf>
    <xf numFmtId="0" fontId="3" fillId="9" borderId="0" xfId="0" applyFont="1" applyFill="1" applyAlignment="1">
      <alignment horizontal="center" vertical="center"/>
    </xf>
    <xf numFmtId="9" fontId="11" fillId="9" borderId="0" xfId="0" applyNumberFormat="1" applyFont="1" applyFill="1" applyAlignment="1">
      <alignment horizontal="center" vertical="center"/>
    </xf>
    <xf numFmtId="0" fontId="12" fillId="8" borderId="0" xfId="0" applyFont="1" applyFill="1" applyAlignment="1">
      <alignment horizontal="center" vertical="center"/>
    </xf>
    <xf numFmtId="0" fontId="0" fillId="10" borderId="0" xfId="0" applyFill="1" applyAlignment="1">
      <alignment horizontal="center"/>
    </xf>
    <xf numFmtId="3" fontId="0" fillId="0" borderId="0" xfId="0" applyNumberFormat="1" applyAlignment="1">
      <alignment horizontal="center"/>
    </xf>
    <xf numFmtId="0" fontId="4" fillId="4" borderId="0" xfId="0" applyFont="1" applyFill="1" applyAlignment="1">
      <alignment horizontal="center" vertical="center"/>
    </xf>
    <xf numFmtId="0" fontId="9" fillId="6" borderId="0" xfId="0" applyFont="1" applyFill="1" applyAlignment="1">
      <alignment horizontal="center" vertical="center"/>
    </xf>
    <xf numFmtId="0" fontId="2" fillId="8" borderId="0" xfId="0" applyFont="1" applyFill="1" applyAlignment="1">
      <alignment horizontal="center" vertical="center"/>
    </xf>
  </cellXfs>
  <cellStyles count="1">
    <cellStyle name="Normal" xfId="0" builtinId="0"/>
  </cellStyles>
  <dxfs count="4">
    <dxf>
      <font>
        <color theme="1" tint="4.9989318521683403E-2"/>
      </font>
    </dxf>
    <dxf>
      <numFmt numFmtId="3" formatCode="#,##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'Exports Dashboard'!$C$5</c:f>
          <c:strCache>
            <c:ptCount val="1"/>
            <c:pt idx="0">
              <c:v>ICO's Monthly Exports</c:v>
            </c:pt>
          </c:strCache>
        </c:strRef>
      </c:tx>
      <c:overlay val="0"/>
      <c:spPr>
        <a:solidFill>
          <a:schemeClr val="tx2">
            <a:lumMod val="50000"/>
          </a:schemeClr>
        </a:solidFill>
        <a:ln>
          <a:noFill/>
        </a:ln>
        <a:effectLst/>
      </c:spPr>
      <c:txPr>
        <a:bodyPr rot="0" spcFirstLastPara="1" vertOverflow="ellipsis" vert="horz" wrap="square" anchor="ctr" anchorCtr="1"/>
        <a:lstStyle/>
        <a:p>
          <a:pPr>
            <a:defRPr sz="1000" b="1" i="0" u="none" strike="noStrike" kern="1200" cap="all" spc="120" normalizeH="0" baseline="0">
              <a:solidFill>
                <a:schemeClr val="accent4">
                  <a:lumMod val="20000"/>
                  <a:lumOff val="80000"/>
                </a:schemeClr>
              </a:solidFill>
              <a:latin typeface="+mn-lt"/>
              <a:ea typeface="+mn-ea"/>
              <a:cs typeface="+mn-cs"/>
            </a:defRPr>
          </a:pPr>
          <a:endParaRPr lang="en-US"/>
        </a:p>
      </c:txPr>
    </c:title>
    <c:autoTitleDeleted val="0"/>
    <c:plotArea>
      <c:layout/>
      <c:lineChart>
        <c:grouping val="standard"/>
        <c:varyColors val="0"/>
        <c:ser>
          <c:idx val="3"/>
          <c:order val="3"/>
          <c:tx>
            <c:strRef>
              <c:f>'Exports Dashboard'!$B$12</c:f>
              <c:strCache>
                <c:ptCount val="1"/>
                <c:pt idx="0">
                  <c:v>19/20</c:v>
                </c:pt>
              </c:strCache>
            </c:strRef>
          </c:tx>
          <c:spPr>
            <a:ln w="22225" cap="rnd">
              <a:solidFill>
                <a:schemeClr val="accent5">
                  <a:lumMod val="20000"/>
                  <a:lumOff val="80000"/>
                </a:schemeClr>
              </a:solidFill>
              <a:round/>
            </a:ln>
            <a:effectLst/>
          </c:spPr>
          <c:marker>
            <c:symbol val="circle"/>
            <c:size val="6"/>
            <c:spPr>
              <a:noFill/>
              <a:ln w="9525">
                <a:solidFill>
                  <a:schemeClr val="accent4"/>
                </a:solidFill>
                <a:round/>
              </a:ln>
              <a:effectLst/>
            </c:spPr>
          </c:marker>
          <c:cat>
            <c:strRef>
              <c:f>'Exports Dashboard'!$C$6:$N$6</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'Exports Dashboard'!$C$12:$N$12</c:f>
              <c:numCache>
                <c:formatCode>#,##0</c:formatCode>
                <c:ptCount val="12"/>
                <c:pt idx="0">
                  <c:v>3670113.2012</c:v>
                </c:pt>
                <c:pt idx="1">
                  <c:v>3281473.3001999999</c:v>
                </c:pt>
                <c:pt idx="2">
                  <c:v>3072707.0425999998</c:v>
                </c:pt>
                <c:pt idx="3">
                  <c:v>3474087.4794000001</c:v>
                </c:pt>
                <c:pt idx="4">
                  <c:v>3007658.7954000002</c:v>
                </c:pt>
                <c:pt idx="5">
                  <c:v>3493433.0885999999</c:v>
                </c:pt>
                <c:pt idx="6">
                  <c:v>3599225.8709999998</c:v>
                </c:pt>
                <c:pt idx="7">
                  <c:v>3282032.1993999998</c:v>
                </c:pt>
                <c:pt idx="8">
                  <c:v>3075571.5262000002</c:v>
                </c:pt>
                <c:pt idx="9">
                  <c:v>3242242.1192000001</c:v>
                </c:pt>
                <c:pt idx="10">
                  <c:v>3574279.8295999998</c:v>
                </c:pt>
                <c:pt idx="11">
                  <c:v>4232364.8622000003</c:v>
                </c:pt>
              </c:numCache>
            </c:numRef>
          </c:val>
          <c:smooth val="0"/>
          <c:extLst xmlns:c15="http://schemas.microsoft.com/office/drawing/2012/chart">
            <c:ext xmlns:c16="http://schemas.microsoft.com/office/drawing/2014/chart" uri="{C3380CC4-5D6E-409C-BE32-E72D297353CC}">
              <c16:uniqueId val="{0000000A-9084-4F5F-BE8A-C23DBC96F0A2}"/>
            </c:ext>
          </c:extLst>
        </c:ser>
        <c:ser>
          <c:idx val="4"/>
          <c:order val="4"/>
          <c:tx>
            <c:strRef>
              <c:f>'Exports Dashboard'!$B$13</c:f>
              <c:strCache>
                <c:ptCount val="1"/>
                <c:pt idx="0">
                  <c:v>20/21</c:v>
                </c:pt>
              </c:strCache>
            </c:strRef>
          </c:tx>
          <c:spPr>
            <a:ln w="22225" cap="rnd">
              <a:solidFill>
                <a:schemeClr val="accent2">
                  <a:lumMod val="40000"/>
                  <a:lumOff val="60000"/>
                </a:schemeClr>
              </a:solidFill>
              <a:round/>
            </a:ln>
            <a:effectLst/>
          </c:spPr>
          <c:marker>
            <c:symbol val="plus"/>
            <c:size val="6"/>
            <c:spPr>
              <a:noFill/>
              <a:ln w="9525">
                <a:solidFill>
                  <a:schemeClr val="accent5"/>
                </a:solidFill>
                <a:round/>
              </a:ln>
              <a:effectLst/>
            </c:spPr>
          </c:marker>
          <c:cat>
            <c:strRef>
              <c:f>'Exports Dashboard'!$C$6:$N$6</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'Exports Dashboard'!$C$13:$N$13</c:f>
              <c:numCache>
                <c:formatCode>#,##0</c:formatCode>
                <c:ptCount val="12"/>
                <c:pt idx="0">
                  <c:v>4504376.8364000004</c:v>
                </c:pt>
                <c:pt idx="1">
                  <c:v>4770005.2665999997</c:v>
                </c:pt>
                <c:pt idx="2">
                  <c:v>4409066.4818000002</c:v>
                </c:pt>
                <c:pt idx="3">
                  <c:v>3657291.2108</c:v>
                </c:pt>
                <c:pt idx="4">
                  <c:v>3972949.6107999999</c:v>
                </c:pt>
                <c:pt idx="5">
                  <c:v>3833416.5669999998</c:v>
                </c:pt>
                <c:pt idx="6">
                  <c:v>3575943.6504000002</c:v>
                </c:pt>
                <c:pt idx="7">
                  <c:v>3443874.4443999999</c:v>
                </c:pt>
                <c:pt idx="8">
                  <c:v>3210269.5298000001</c:v>
                </c:pt>
                <c:pt idx="9">
                  <c:v>2813525.1768999998</c:v>
                </c:pt>
                <c:pt idx="10">
                  <c:v>2859143.2895999998</c:v>
                </c:pt>
                <c:pt idx="11">
                  <c:v>3291463.0134999999</c:v>
                </c:pt>
              </c:numCache>
            </c:numRef>
          </c:val>
          <c:smooth val="0"/>
          <c:extLst xmlns:c15="http://schemas.microsoft.com/office/drawing/2012/chart">
            <c:ext xmlns:c16="http://schemas.microsoft.com/office/drawing/2014/chart" uri="{C3380CC4-5D6E-409C-BE32-E72D297353CC}">
              <c16:uniqueId val="{0000000B-9084-4F5F-BE8A-C23DBC96F0A2}"/>
            </c:ext>
          </c:extLst>
        </c:ser>
        <c:ser>
          <c:idx val="5"/>
          <c:order val="5"/>
          <c:tx>
            <c:strRef>
              <c:f>'Exports Dashboard'!$B$14</c:f>
              <c:strCache>
                <c:ptCount val="1"/>
                <c:pt idx="0">
                  <c:v>21/22</c:v>
                </c:pt>
              </c:strCache>
            </c:strRef>
          </c:tx>
          <c:spPr>
            <a:ln w="22225" cap="rnd">
              <a:solidFill>
                <a:schemeClr val="bg2">
                  <a:lumMod val="50000"/>
                </a:schemeClr>
              </a:solidFill>
              <a:round/>
            </a:ln>
            <a:effectLst/>
          </c:spPr>
          <c:marker>
            <c:symbol val="dot"/>
            <c:size val="6"/>
            <c:spPr>
              <a:solidFill>
                <a:schemeClr val="accent6"/>
              </a:solidFill>
              <a:ln w="9525">
                <a:solidFill>
                  <a:schemeClr val="accent5">
                    <a:lumMod val="20000"/>
                    <a:lumOff val="80000"/>
                  </a:schemeClr>
                </a:solidFill>
                <a:round/>
              </a:ln>
              <a:effectLst/>
            </c:spPr>
          </c:marker>
          <c:cat>
            <c:strRef>
              <c:f>'Exports Dashboard'!$C$6:$N$6</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'Exports Dashboard'!$C$14:$N$14</c:f>
              <c:numCache>
                <c:formatCode>#,##0</c:formatCode>
                <c:ptCount val="12"/>
                <c:pt idx="0">
                  <c:v>3289593.2513000001</c:v>
                </c:pt>
                <c:pt idx="1">
                  <c:v>3257808.9846000001</c:v>
                </c:pt>
                <c:pt idx="2">
                  <c:v>3944334.0693000001</c:v>
                </c:pt>
                <c:pt idx="3">
                  <c:v>3468385.6348999999</c:v>
                </c:pt>
                <c:pt idx="4">
                  <c:v>3536274.5621000002</c:v>
                </c:pt>
                <c:pt idx="5">
                  <c:v>3891975.7714</c:v>
                </c:pt>
                <c:pt idx="6">
                  <c:v>3016609.1283</c:v>
                </c:pt>
                <c:pt idx="7">
                  <c:v>2961676.3371000001</c:v>
                </c:pt>
                <c:pt idx="8">
                  <c:v>3125362.9914000002</c:v>
                </c:pt>
                <c:pt idx="9">
                  <c:v>2752356.7374999998</c:v>
                </c:pt>
                <c:pt idx="10">
                  <c:v>2951452.1353000002</c:v>
                </c:pt>
                <c:pt idx="11">
                  <c:v>3444289.5781</c:v>
                </c:pt>
              </c:numCache>
            </c:numRef>
          </c:val>
          <c:smooth val="0"/>
          <c:extLst>
            <c:ext xmlns:c16="http://schemas.microsoft.com/office/drawing/2014/chart" uri="{C3380CC4-5D6E-409C-BE32-E72D297353CC}">
              <c16:uniqueId val="{00000000-9084-4F5F-BE8A-C23DBC96F0A2}"/>
            </c:ext>
          </c:extLst>
        </c:ser>
        <c:ser>
          <c:idx val="6"/>
          <c:order val="6"/>
          <c:tx>
            <c:strRef>
              <c:f>'Exports Dashboard'!$B$15</c:f>
              <c:strCache>
                <c:ptCount val="1"/>
                <c:pt idx="0">
                  <c:v>22/23</c:v>
                </c:pt>
              </c:strCache>
            </c:strRef>
          </c:tx>
          <c:spPr>
            <a:ln w="22225" cap="rnd">
              <a:solidFill>
                <a:schemeClr val="bg1">
                  <a:lumMod val="75000"/>
                </a:schemeClr>
              </a:solidFill>
              <a:round/>
            </a:ln>
            <a:effectLst/>
          </c:spPr>
          <c:marker>
            <c:symbol val="dash"/>
            <c:size val="6"/>
            <c:spPr>
              <a:noFill/>
              <a:ln w="9525">
                <a:solidFill>
                  <a:schemeClr val="accent2">
                    <a:lumMod val="40000"/>
                    <a:lumOff val="60000"/>
                  </a:schemeClr>
                </a:solidFill>
                <a:round/>
              </a:ln>
              <a:effectLst/>
            </c:spPr>
          </c:marker>
          <c:cat>
            <c:strRef>
              <c:f>'Exports Dashboard'!$C$6:$N$6</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'Exports Dashboard'!$C$15:$N$15</c:f>
              <c:numCache>
                <c:formatCode>#,##0</c:formatCode>
                <c:ptCount val="12"/>
                <c:pt idx="0">
                  <c:v>3589378.1941</c:v>
                </c:pt>
                <c:pt idx="1">
                  <c:v>3583957.5606</c:v>
                </c:pt>
                <c:pt idx="2">
                  <c:v>3137089.7341999998</c:v>
                </c:pt>
                <c:pt idx="3">
                  <c:v>2591523.6557</c:v>
                </c:pt>
                <c:pt idx="4">
                  <c:v>2461834.4695000001</c:v>
                </c:pt>
                <c:pt idx="5">
                  <c:v>3166636.1178000001</c:v>
                </c:pt>
                <c:pt idx="6">
                  <c:v>2495688.7404</c:v>
                </c:pt>
                <c:pt idx="7">
                  <c:v>2667981.5397999999</c:v>
                </c:pt>
                <c:pt idx="8">
                  <c:v>2658586.2069000001</c:v>
                </c:pt>
                <c:pt idx="9">
                  <c:v>3152174.0872</c:v>
                </c:pt>
                <c:pt idx="10">
                  <c:v>3815631.5874999999</c:v>
                </c:pt>
                <c:pt idx="11">
                  <c:v>3765915.8426000001</c:v>
                </c:pt>
              </c:numCache>
            </c:numRef>
          </c:val>
          <c:smooth val="0"/>
          <c:extLst>
            <c:ext xmlns:c16="http://schemas.microsoft.com/office/drawing/2014/chart" uri="{C3380CC4-5D6E-409C-BE32-E72D297353CC}">
              <c16:uniqueId val="{00000001-9084-4F5F-BE8A-C23DBC96F0A2}"/>
            </c:ext>
          </c:extLst>
        </c:ser>
        <c:ser>
          <c:idx val="7"/>
          <c:order val="7"/>
          <c:tx>
            <c:strRef>
              <c:f>'Exports Dashboard'!$B$16</c:f>
              <c:strCache>
                <c:ptCount val="1"/>
                <c:pt idx="0">
                  <c:v>23/24</c:v>
                </c:pt>
              </c:strCache>
            </c:strRef>
          </c:tx>
          <c:spPr>
            <a:ln w="22225" cap="rnd">
              <a:solidFill>
                <a:srgbClr val="C00000"/>
              </a:solidFill>
              <a:round/>
            </a:ln>
            <a:effectLst/>
          </c:spPr>
          <c:marker>
            <c:symbol val="diamond"/>
            <c:size val="6"/>
            <c:spPr>
              <a:solidFill>
                <a:schemeClr val="accent2">
                  <a:lumMod val="60000"/>
                </a:schemeClr>
              </a:solidFill>
              <a:ln w="9525">
                <a:solidFill>
                  <a:schemeClr val="bg2">
                    <a:lumMod val="50000"/>
                  </a:schemeClr>
                </a:solidFill>
                <a:round/>
              </a:ln>
              <a:effectLst/>
            </c:spPr>
          </c:marker>
          <c:cat>
            <c:strRef>
              <c:f>'Exports Dashboard'!$C$6:$N$6</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'Exports Dashboard'!$C$16:$N$16</c:f>
              <c:numCache>
                <c:formatCode>#,##0</c:formatCode>
                <c:ptCount val="12"/>
                <c:pt idx="0">
                  <c:v>4412709.4688999997</c:v>
                </c:pt>
                <c:pt idx="1">
                  <c:v>4329650.4085999997</c:v>
                </c:pt>
                <c:pt idx="2">
                  <c:v>4186199.7505999999</c:v>
                </c:pt>
                <c:pt idx="3">
                  <c:v>3998730.5814999999</c:v>
                </c:pt>
                <c:pt idx="4">
                  <c:v>3742175.4912</c:v>
                </c:pt>
                <c:pt idx="5">
                  <c:v>4308615.3492999999</c:v>
                </c:pt>
                <c:pt idx="6">
                  <c:v>4276347.5065000001</c:v>
                </c:pt>
                <c:pt idx="7">
                  <c:v>4446510.5935000004</c:v>
                </c:pt>
                <c:pt idx="8">
                  <c:v>3770707.0170999998</c:v>
                </c:pt>
                <c:pt idx="9">
                  <c:v>3881567.0380000002</c:v>
                </c:pt>
                <c:pt idx="10">
                  <c:v>4092677.6348000001</c:v>
                </c:pt>
                <c:pt idx="11">
                  <c:v>4921683.9052999998</c:v>
                </c:pt>
              </c:numCache>
            </c:numRef>
          </c:val>
          <c:smooth val="0"/>
          <c:extLst>
            <c:ext xmlns:c16="http://schemas.microsoft.com/office/drawing/2014/chart" uri="{C3380CC4-5D6E-409C-BE32-E72D297353CC}">
              <c16:uniqueId val="{00000002-9084-4F5F-BE8A-C23DBC96F0A2}"/>
            </c:ext>
          </c:extLst>
        </c:ser>
        <c:ser>
          <c:idx val="8"/>
          <c:order val="8"/>
          <c:tx>
            <c:strRef>
              <c:f>'Exports Dashboard'!$B$17</c:f>
              <c:strCache>
                <c:ptCount val="1"/>
                <c:pt idx="0">
                  <c:v>24/25</c:v>
                </c:pt>
              </c:strCache>
            </c:strRef>
          </c:tx>
          <c:spPr>
            <a:ln w="22225" cap="rnd">
              <a:solidFill>
                <a:schemeClr val="tx1">
                  <a:lumMod val="95000"/>
                  <a:lumOff val="5000"/>
                </a:schemeClr>
              </a:solidFill>
              <a:round/>
            </a:ln>
            <a:effectLst/>
          </c:spPr>
          <c:marker>
            <c:symbol val="square"/>
            <c:size val="6"/>
            <c:spPr>
              <a:solidFill>
                <a:schemeClr val="accent3">
                  <a:lumMod val="60000"/>
                </a:schemeClr>
              </a:solidFill>
              <a:ln w="9525">
                <a:solidFill>
                  <a:schemeClr val="bg1">
                    <a:lumMod val="75000"/>
                  </a:schemeClr>
                </a:solidFill>
                <a:round/>
              </a:ln>
              <a:effectLst/>
            </c:spPr>
          </c:marker>
          <c:cat>
            <c:strRef>
              <c:f>'Exports Dashboard'!$C$6:$N$6</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'Exports Dashboard'!$C$17:$N$17</c:f>
              <c:numCache>
                <c:formatCode>#,##0</c:formatCode>
                <c:ptCount val="12"/>
                <c:pt idx="0">
                  <c:v>5112274.1502</c:v>
                </c:pt>
                <c:pt idx="1">
                  <c:v>4323717.0991000002</c:v>
                </c:pt>
                <c:pt idx="2">
                  <c:v>3872441.9127000002</c:v>
                </c:pt>
                <c:pt idx="3">
                  <c:v>3770072.5644</c:v>
                </c:pt>
                <c:pt idx="4">
                  <c:v>3317751.1784000001</c:v>
                </c:pt>
                <c:pt idx="5">
                  <c:v>3067521.2503</c:v>
                </c:pt>
                <c:pt idx="6">
                  <c:v>2851110.3402</c:v>
                </c:pt>
                <c:pt idx="7">
                  <c:v>3054295.3678000001</c:v>
                </c:pt>
                <c:pt idx="8">
                  <c:v>2608187.5926000001</c:v>
                </c:pt>
                <c:pt idx="9">
                  <c:v>2898313.1976000001</c:v>
                </c:pt>
                <c:pt idx="10">
                  <c:v>3244664.7385999998</c:v>
                </c:pt>
                <c:pt idx="11">
                  <c:v>4040788.3796000001</c:v>
                </c:pt>
              </c:numCache>
            </c:numRef>
          </c:val>
          <c:smooth val="0"/>
          <c:extLst>
            <c:ext xmlns:c16="http://schemas.microsoft.com/office/drawing/2014/chart" uri="{C3380CC4-5D6E-409C-BE32-E72D297353CC}">
              <c16:uniqueId val="{00000003-9084-4F5F-BE8A-C23DBC96F0A2}"/>
            </c:ext>
          </c:extLst>
        </c:ser>
        <c:ser>
          <c:idx val="9"/>
          <c:order val="9"/>
          <c:tx>
            <c:strRef>
              <c:f>'Exports Dashboard'!$B$18</c:f>
              <c:strCache>
                <c:ptCount val="1"/>
                <c:pt idx="0">
                  <c:v>25/26</c:v>
                </c:pt>
              </c:strCache>
            </c:strRef>
          </c:tx>
          <c:spPr>
            <a:ln w="22225" cap="rnd">
              <a:solidFill>
                <a:schemeClr val="accent4">
                  <a:lumMod val="60000"/>
                </a:schemeClr>
              </a:solidFill>
              <a:round/>
            </a:ln>
            <a:effectLst/>
          </c:spPr>
          <c:marker>
            <c:symbol val="triangle"/>
            <c:size val="6"/>
            <c:spPr>
              <a:solidFill>
                <a:schemeClr val="accent4">
                  <a:lumMod val="60000"/>
                </a:schemeClr>
              </a:solidFill>
              <a:ln w="9525">
                <a:solidFill>
                  <a:srgbClr val="C00000"/>
                </a:solidFill>
                <a:round/>
              </a:ln>
              <a:effectLst/>
            </c:spPr>
          </c:marker>
          <c:cat>
            <c:strRef>
              <c:f>'Exports Dashboard'!$C$6:$N$6</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'Exports Dashboard'!$C$18:$N$18</c:f>
              <c:numCache>
                <c:formatCode>#,##0</c:formatCode>
                <c:ptCount val="12"/>
                <c:pt idx="0">
                  <c:v>4261080.5694000004</c:v>
                </c:pt>
                <c:pt idx="1">
                  <c:v>3650503.9964000001</c:v>
                </c:pt>
                <c:pt idx="2">
                  <c:v>3169202.7525999998</c:v>
                </c:pt>
                <c:pt idx="3">
                  <c:v>2808075.7245</c:v>
                </c:pt>
                <c:pt idx="4">
                  <c:v>2618119.8382000001</c:v>
                </c:pt>
                <c:pt idx="5">
                  <c:v>3058938.5846000002</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4-9084-4F5F-BE8A-C23DBC96F0A2}"/>
            </c:ext>
          </c:extLst>
        </c:ser>
        <c:dLbls>
          <c:showLegendKey val="0"/>
          <c:showVal val="0"/>
          <c:showCatName val="0"/>
          <c:showSerName val="0"/>
          <c:showPercent val="0"/>
          <c:showBubbleSize val="0"/>
        </c:dLbls>
        <c:marker val="1"/>
        <c:smooth val="0"/>
        <c:axId val="508749359"/>
        <c:axId val="508749839"/>
        <c:extLst>
          <c:ext xmlns:c15="http://schemas.microsoft.com/office/drawing/2012/chart" uri="{02D57815-91ED-43cb-92C2-25804820EDAC}">
            <c15:filteredLineSeries>
              <c15:ser>
                <c:idx val="0"/>
                <c:order val="0"/>
                <c:tx>
                  <c:strRef>
                    <c:extLst>
                      <c:ext uri="{02D57815-91ED-43cb-92C2-25804820EDAC}">
                        <c15:formulaRef>
                          <c15:sqref>'Exports Dashboard'!$B$9</c15:sqref>
                        </c15:formulaRef>
                      </c:ext>
                    </c:extLst>
                    <c:strCache>
                      <c:ptCount val="1"/>
                      <c:pt idx="0">
                        <c:v>16/17</c:v>
                      </c:pt>
                    </c:strCache>
                  </c:strRef>
                </c:tx>
                <c:spPr>
                  <a:ln w="22225" cap="rnd">
                    <a:solidFill>
                      <a:schemeClr val="accent1"/>
                    </a:solidFill>
                    <a:round/>
                  </a:ln>
                  <a:effectLst/>
                </c:spPr>
                <c:marker>
                  <c:symbol val="triangle"/>
                  <c:size val="6"/>
                  <c:spPr>
                    <a:solidFill>
                      <a:schemeClr val="accent1"/>
                    </a:solidFill>
                    <a:ln w="9525">
                      <a:solidFill>
                        <a:schemeClr val="accent1"/>
                      </a:solidFill>
                      <a:round/>
                    </a:ln>
                    <a:effectLst/>
                  </c:spPr>
                </c:marker>
                <c:cat>
                  <c:strRef>
                    <c:extLst>
                      <c:ext uri="{02D57815-91ED-43cb-92C2-25804820EDAC}">
                        <c15:formulaRef>
                          <c15:sqref>'Exports Dashboard'!$C$6:$N$6</c15:sqref>
                        </c15:formulaRef>
                      </c:ext>
                    </c:extLst>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extLst>
                      <c:ext uri="{02D57815-91ED-43cb-92C2-25804820EDAC}">
                        <c15:formulaRef>
                          <c15:sqref>'Exports Dashboard'!$C$9:$N$9</c15:sqref>
                        </c15:formulaRef>
                      </c:ext>
                    </c:extLst>
                    <c:numCache>
                      <c:formatCode>#,##0</c:formatCode>
                      <c:ptCount val="12"/>
                      <c:pt idx="0">
                        <c:v>3362927.9485999998</c:v>
                      </c:pt>
                      <c:pt idx="1">
                        <c:v>3276941.2110000001</c:v>
                      </c:pt>
                      <c:pt idx="2">
                        <c:v>3261882.1011999999</c:v>
                      </c:pt>
                      <c:pt idx="3">
                        <c:v>2646464.4473999999</c:v>
                      </c:pt>
                      <c:pt idx="4">
                        <c:v>2590825.4108000002</c:v>
                      </c:pt>
                      <c:pt idx="5">
                        <c:v>2834349.1150000002</c:v>
                      </c:pt>
                      <c:pt idx="6">
                        <c:v>2240098.304</c:v>
                      </c:pt>
                      <c:pt idx="7">
                        <c:v>2602453.3553999998</c:v>
                      </c:pt>
                      <c:pt idx="8">
                        <c:v>2191499.2459999998</c:v>
                      </c:pt>
                      <c:pt idx="9">
                        <c:v>1873670.733</c:v>
                      </c:pt>
                      <c:pt idx="10">
                        <c:v>2610143.5789999999</c:v>
                      </c:pt>
                      <c:pt idx="11">
                        <c:v>2441617.8768000002</c:v>
                      </c:pt>
                    </c:numCache>
                  </c:numRef>
                </c:val>
                <c:smooth val="0"/>
                <c:extLst>
                  <c:ext xmlns:c16="http://schemas.microsoft.com/office/drawing/2014/chart" uri="{C3380CC4-5D6E-409C-BE32-E72D297353CC}">
                    <c16:uniqueId val="{00000007-9084-4F5F-BE8A-C23DBC96F0A2}"/>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'Exports Dashboard'!$B$10</c15:sqref>
                        </c15:formulaRef>
                      </c:ext>
                    </c:extLst>
                    <c:strCache>
                      <c:ptCount val="1"/>
                      <c:pt idx="0">
                        <c:v>17/18</c:v>
                      </c:pt>
                    </c:strCache>
                  </c:strRef>
                </c:tx>
                <c:spPr>
                  <a:ln w="22225" cap="rnd">
                    <a:solidFill>
                      <a:schemeClr val="accent2"/>
                    </a:solidFill>
                    <a:round/>
                  </a:ln>
                  <a:effectLst/>
                </c:spPr>
                <c:marker>
                  <c:symbol val="x"/>
                  <c:size val="6"/>
                  <c:spPr>
                    <a:solidFill>
                      <a:schemeClr val="accent2"/>
                    </a:solidFill>
                    <a:ln w="9525">
                      <a:solidFill>
                        <a:schemeClr val="accent2"/>
                      </a:solidFill>
                      <a:round/>
                    </a:ln>
                    <a:effectLst/>
                  </c:spPr>
                </c:marker>
                <c:cat>
                  <c:strRef>
                    <c:extLst xmlns:c15="http://schemas.microsoft.com/office/drawing/2012/chart">
                      <c:ext xmlns:c15="http://schemas.microsoft.com/office/drawing/2012/chart" uri="{02D57815-91ED-43cb-92C2-25804820EDAC}">
                        <c15:formulaRef>
                          <c15:sqref>'Exports Dashboard'!$C$6:$N$6</c15:sqref>
                        </c15:formulaRef>
                      </c:ext>
                    </c:extLst>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extLst xmlns:c15="http://schemas.microsoft.com/office/drawing/2012/chart">
                      <c:ext xmlns:c15="http://schemas.microsoft.com/office/drawing/2012/chart" uri="{02D57815-91ED-43cb-92C2-25804820EDAC}">
                        <c15:formulaRef>
                          <c15:sqref>'Exports Dashboard'!$C$10:$N$10</c15:sqref>
                        </c15:formulaRef>
                      </c:ext>
                    </c:extLst>
                    <c:numCache>
                      <c:formatCode>#,##0</c:formatCode>
                      <c:ptCount val="12"/>
                      <c:pt idx="0">
                        <c:v>2901977.4898000001</c:v>
                      </c:pt>
                      <c:pt idx="1">
                        <c:v>2965514.0468000001</c:v>
                      </c:pt>
                      <c:pt idx="2">
                        <c:v>3025954.4840000002</c:v>
                      </c:pt>
                      <c:pt idx="3">
                        <c:v>2719936.3846</c:v>
                      </c:pt>
                      <c:pt idx="4">
                        <c:v>2511588.3612000002</c:v>
                      </c:pt>
                      <c:pt idx="5">
                        <c:v>2698364.4103999999</c:v>
                      </c:pt>
                      <c:pt idx="6">
                        <c:v>2388754.861</c:v>
                      </c:pt>
                      <c:pt idx="7">
                        <c:v>1729254.4069999999</c:v>
                      </c:pt>
                      <c:pt idx="8">
                        <c:v>2583614.3931999998</c:v>
                      </c:pt>
                      <c:pt idx="9">
                        <c:v>2465428.7014000001</c:v>
                      </c:pt>
                      <c:pt idx="10">
                        <c:v>3544383.3996000001</c:v>
                      </c:pt>
                      <c:pt idx="11">
                        <c:v>3150780.2096000002</c:v>
                      </c:pt>
                    </c:numCache>
                  </c:numRef>
                </c:val>
                <c:smooth val="0"/>
                <c:extLst xmlns:c15="http://schemas.microsoft.com/office/drawing/2012/chart">
                  <c:ext xmlns:c16="http://schemas.microsoft.com/office/drawing/2014/chart" uri="{C3380CC4-5D6E-409C-BE32-E72D297353CC}">
                    <c16:uniqueId val="{00000008-9084-4F5F-BE8A-C23DBC96F0A2}"/>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'Exports Dashboard'!$B$11</c15:sqref>
                        </c15:formulaRef>
                      </c:ext>
                    </c:extLst>
                    <c:strCache>
                      <c:ptCount val="1"/>
                      <c:pt idx="0">
                        <c:v>18/19</c:v>
                      </c:pt>
                    </c:strCache>
                  </c:strRef>
                </c:tx>
                <c:spPr>
                  <a:ln w="22225" cap="rnd">
                    <a:solidFill>
                      <a:schemeClr val="accent3"/>
                    </a:solidFill>
                    <a:round/>
                  </a:ln>
                  <a:effectLst/>
                </c:spPr>
                <c:marker>
                  <c:symbol val="star"/>
                  <c:size val="6"/>
                  <c:spPr>
                    <a:solidFill>
                      <a:schemeClr val="accent3"/>
                    </a:solidFill>
                    <a:ln w="9525">
                      <a:solidFill>
                        <a:schemeClr val="accent3"/>
                      </a:solidFill>
                      <a:round/>
                    </a:ln>
                    <a:effectLst/>
                  </c:spPr>
                </c:marker>
                <c:cat>
                  <c:strRef>
                    <c:extLst xmlns:c15="http://schemas.microsoft.com/office/drawing/2012/chart">
                      <c:ext xmlns:c15="http://schemas.microsoft.com/office/drawing/2012/chart" uri="{02D57815-91ED-43cb-92C2-25804820EDAC}">
                        <c15:formulaRef>
                          <c15:sqref>'Exports Dashboard'!$C$6:$N$6</c15:sqref>
                        </c15:formulaRef>
                      </c:ext>
                    </c:extLst>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extLst xmlns:c15="http://schemas.microsoft.com/office/drawing/2012/chart">
                      <c:ext xmlns:c15="http://schemas.microsoft.com/office/drawing/2012/chart" uri="{02D57815-91ED-43cb-92C2-25804820EDAC}">
                        <c15:formulaRef>
                          <c15:sqref>'Exports Dashboard'!$C$11:$N$11</c15:sqref>
                        </c15:formulaRef>
                      </c:ext>
                    </c:extLst>
                    <c:numCache>
                      <c:formatCode>#,##0</c:formatCode>
                      <c:ptCount val="12"/>
                      <c:pt idx="0">
                        <c:v>3937859.0506000002</c:v>
                      </c:pt>
                      <c:pt idx="1">
                        <c:v>3902855.5162</c:v>
                      </c:pt>
                      <c:pt idx="2">
                        <c:v>4004539.2878</c:v>
                      </c:pt>
                      <c:pt idx="3">
                        <c:v>3470505.8177999998</c:v>
                      </c:pt>
                      <c:pt idx="4">
                        <c:v>3574654.8465999998</c:v>
                      </c:pt>
                      <c:pt idx="5">
                        <c:v>3117169.6312000002</c:v>
                      </c:pt>
                      <c:pt idx="6">
                        <c:v>3267213.6825999999</c:v>
                      </c:pt>
                      <c:pt idx="7">
                        <c:v>3886596.1047999999</c:v>
                      </c:pt>
                      <c:pt idx="8">
                        <c:v>3102695.8480000002</c:v>
                      </c:pt>
                      <c:pt idx="9">
                        <c:v>3390434.1798</c:v>
                      </c:pt>
                      <c:pt idx="10">
                        <c:v>3368913.6296000001</c:v>
                      </c:pt>
                      <c:pt idx="11">
                        <c:v>3495386.5614</c:v>
                      </c:pt>
                    </c:numCache>
                  </c:numRef>
                </c:val>
                <c:smooth val="0"/>
                <c:extLst xmlns:c15="http://schemas.microsoft.com/office/drawing/2012/chart">
                  <c:ext xmlns:c16="http://schemas.microsoft.com/office/drawing/2014/chart" uri="{C3380CC4-5D6E-409C-BE32-E72D297353CC}">
                    <c16:uniqueId val="{00000009-9084-4F5F-BE8A-C23DBC96F0A2}"/>
                  </c:ext>
                </c:extLst>
              </c15:ser>
            </c15:filteredLineSeries>
          </c:ext>
        </c:extLst>
      </c:lineChart>
      <c:catAx>
        <c:axId val="508749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08749839"/>
        <c:crosses val="autoZero"/>
        <c:auto val="1"/>
        <c:lblAlgn val="ctr"/>
        <c:lblOffset val="100"/>
        <c:noMultiLvlLbl val="0"/>
      </c:catAx>
      <c:valAx>
        <c:axId val="508749839"/>
        <c:scaling>
          <c:orientation val="minMax"/>
        </c:scaling>
        <c:delete val="0"/>
        <c:axPos val="l"/>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749359"/>
        <c:crosses val="autoZero"/>
        <c:crossBetween val="between"/>
      </c:valAx>
      <c:spPr>
        <a:noFill/>
        <a:ln>
          <a:noFill/>
        </a:ln>
        <a:effectLst/>
      </c:spPr>
    </c:plotArea>
    <c:legend>
      <c:legendPos val="t"/>
      <c:layout>
        <c:manualLayout>
          <c:xMode val="edge"/>
          <c:yMode val="edge"/>
          <c:x val="0.1027204576159254"/>
          <c:y val="0.12683316652140283"/>
          <c:w val="0.84471554929316817"/>
          <c:h val="7.0865318269733926E-2"/>
        </c:manualLayout>
      </c:layout>
      <c:overlay val="0"/>
      <c:spPr>
        <a:noFill/>
        <a:ln>
          <a:solidFill>
            <a:schemeClr val="accent2">
              <a:lumMod val="60000"/>
              <a:lumOff val="40000"/>
            </a:schemeClr>
          </a:solid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cap="all" spc="120" normalizeH="0" baseline="0">
                <a:solidFill>
                  <a:schemeClr val="accent4">
                    <a:lumMod val="20000"/>
                    <a:lumOff val="80000"/>
                  </a:schemeClr>
                </a:solidFill>
                <a:latin typeface="+mn-lt"/>
                <a:ea typeface="+mn-ea"/>
                <a:cs typeface="+mn-cs"/>
              </a:defRPr>
            </a:pPr>
            <a:r>
              <a:rPr lang="en-US" sz="1050">
                <a:solidFill>
                  <a:schemeClr val="accent4">
                    <a:lumMod val="20000"/>
                    <a:lumOff val="80000"/>
                  </a:schemeClr>
                </a:solidFill>
              </a:rPr>
              <a:t>with Min, max &amp; 5 yr</a:t>
            </a:r>
            <a:r>
              <a:rPr lang="en-US" sz="1050" baseline="0">
                <a:solidFill>
                  <a:schemeClr val="accent4">
                    <a:lumMod val="20000"/>
                    <a:lumOff val="80000"/>
                  </a:schemeClr>
                </a:solidFill>
              </a:rPr>
              <a:t> avg</a:t>
            </a:r>
            <a:endParaRPr lang="en-US" sz="1050">
              <a:solidFill>
                <a:schemeClr val="accent4">
                  <a:lumMod val="20000"/>
                  <a:lumOff val="80000"/>
                </a:schemeClr>
              </a:solidFill>
            </a:endParaRPr>
          </a:p>
        </c:rich>
      </c:tx>
      <c:overlay val="0"/>
      <c:spPr>
        <a:solidFill>
          <a:schemeClr val="tx2">
            <a:lumMod val="50000"/>
          </a:schemeClr>
        </a:solidFill>
        <a:ln>
          <a:noFill/>
        </a:ln>
        <a:effectLst/>
      </c:spPr>
      <c:txPr>
        <a:bodyPr rot="0" spcFirstLastPara="1" vertOverflow="ellipsis" vert="horz" wrap="square" anchor="ctr" anchorCtr="1"/>
        <a:lstStyle/>
        <a:p>
          <a:pPr>
            <a:defRPr sz="1050" b="1" i="0" u="none" strike="noStrike" kern="1200" cap="all" spc="120" normalizeH="0" baseline="0">
              <a:solidFill>
                <a:schemeClr val="accent4">
                  <a:lumMod val="20000"/>
                  <a:lumOff val="80000"/>
                </a:schemeClr>
              </a:solidFill>
              <a:latin typeface="+mn-lt"/>
              <a:ea typeface="+mn-ea"/>
              <a:cs typeface="+mn-cs"/>
            </a:defRPr>
          </a:pPr>
          <a:endParaRPr lang="en-US"/>
        </a:p>
      </c:txPr>
    </c:title>
    <c:autoTitleDeleted val="0"/>
    <c:plotArea>
      <c:layout/>
      <c:lineChart>
        <c:grouping val="standard"/>
        <c:varyColors val="0"/>
        <c:ser>
          <c:idx val="0"/>
          <c:order val="0"/>
          <c:tx>
            <c:strRef>
              <c:f>'Exports Dashboard'!$A$66</c:f>
              <c:strCache>
                <c:ptCount val="1"/>
                <c:pt idx="0">
                  <c:v>25/26</c:v>
                </c:pt>
              </c:strCache>
            </c:strRef>
          </c:tx>
          <c:spPr>
            <a:ln w="22225" cap="rnd">
              <a:solidFill>
                <a:schemeClr val="bg2">
                  <a:lumMod val="10000"/>
                </a:schemeClr>
              </a:solidFill>
              <a:round/>
            </a:ln>
            <a:effectLst/>
          </c:spPr>
          <c:marker>
            <c:symbol val="diamond"/>
            <c:size val="6"/>
            <c:spPr>
              <a:solidFill>
                <a:schemeClr val="accent1"/>
              </a:solidFill>
              <a:ln w="9525">
                <a:solidFill>
                  <a:schemeClr val="bg2">
                    <a:lumMod val="10000"/>
                  </a:schemeClr>
                </a:solidFill>
                <a:round/>
              </a:ln>
              <a:effectLst/>
            </c:spPr>
          </c:marker>
          <c:cat>
            <c:strRef>
              <c:f>'Exports Dashboard'!$B$65:$M$65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'Exports Dashboard'!$B$66:$M$66</c:f>
              <c:numCache>
                <c:formatCode>#,##0</c:formatCode>
                <c:ptCount val="12"/>
                <c:pt idx="0">
                  <c:v>4261080.5694000004</c:v>
                </c:pt>
                <c:pt idx="1">
                  <c:v>3650503.9964000001</c:v>
                </c:pt>
                <c:pt idx="2">
                  <c:v>3169202.7525999998</c:v>
                </c:pt>
                <c:pt idx="3">
                  <c:v>2808075.7245</c:v>
                </c:pt>
                <c:pt idx="4">
                  <c:v>2618119.8382000001</c:v>
                </c:pt>
                <c:pt idx="5">
                  <c:v>3058938.5846000002</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0-5FC9-4574-9090-E68581F59953}"/>
            </c:ext>
          </c:extLst>
        </c:ser>
        <c:ser>
          <c:idx val="1"/>
          <c:order val="1"/>
          <c:tx>
            <c:strRef>
              <c:f>'Exports Dashboard'!$A$67</c:f>
              <c:strCache>
                <c:ptCount val="1"/>
                <c:pt idx="0">
                  <c:v>Min</c:v>
                </c:pt>
              </c:strCache>
            </c:strRef>
          </c:tx>
          <c:spPr>
            <a:ln w="22225" cap="rnd">
              <a:solidFill>
                <a:schemeClr val="accent2">
                  <a:lumMod val="40000"/>
                  <a:lumOff val="60000"/>
                </a:schemeClr>
              </a:solidFill>
              <a:round/>
            </a:ln>
            <a:effectLst/>
          </c:spPr>
          <c:marker>
            <c:symbol val="square"/>
            <c:size val="6"/>
            <c:spPr>
              <a:solidFill>
                <a:schemeClr val="accent2"/>
              </a:solidFill>
              <a:ln w="9525">
                <a:solidFill>
                  <a:schemeClr val="accent2">
                    <a:lumMod val="40000"/>
                    <a:lumOff val="60000"/>
                  </a:schemeClr>
                </a:solidFill>
                <a:round/>
              </a:ln>
              <a:effectLst/>
            </c:spPr>
          </c:marker>
          <c:cat>
            <c:strRef>
              <c:f>'Exports Dashboard'!$B$65:$M$65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'Exports Dashboard'!$B$67:$M$67</c:f>
              <c:numCache>
                <c:formatCode>#,##0</c:formatCode>
                <c:ptCount val="12"/>
                <c:pt idx="0">
                  <c:v>2901977.4898000001</c:v>
                </c:pt>
                <c:pt idx="1">
                  <c:v>2965514.0468000001</c:v>
                </c:pt>
                <c:pt idx="2">
                  <c:v>3025954.4840000002</c:v>
                </c:pt>
                <c:pt idx="3">
                  <c:v>2591523.6557</c:v>
                </c:pt>
                <c:pt idx="4">
                  <c:v>2461834.4695000001</c:v>
                </c:pt>
                <c:pt idx="5">
                  <c:v>2698364.4103999999</c:v>
                </c:pt>
                <c:pt idx="6">
                  <c:v>2240098.304</c:v>
                </c:pt>
                <c:pt idx="7">
                  <c:v>1729254.4069999999</c:v>
                </c:pt>
                <c:pt idx="8">
                  <c:v>2191499.2459999998</c:v>
                </c:pt>
                <c:pt idx="9">
                  <c:v>1873670.733</c:v>
                </c:pt>
                <c:pt idx="10">
                  <c:v>2610143.5789999999</c:v>
                </c:pt>
                <c:pt idx="11">
                  <c:v>2441617.8768000002</c:v>
                </c:pt>
              </c:numCache>
            </c:numRef>
          </c:val>
          <c:smooth val="0"/>
          <c:extLst>
            <c:ext xmlns:c16="http://schemas.microsoft.com/office/drawing/2014/chart" uri="{C3380CC4-5D6E-409C-BE32-E72D297353CC}">
              <c16:uniqueId val="{00000001-5FC9-4574-9090-E68581F59953}"/>
            </c:ext>
          </c:extLst>
        </c:ser>
        <c:ser>
          <c:idx val="2"/>
          <c:order val="2"/>
          <c:tx>
            <c:strRef>
              <c:f>'Exports Dashboard'!$A$68</c:f>
              <c:strCache>
                <c:ptCount val="1"/>
                <c:pt idx="0">
                  <c:v>Max</c:v>
                </c:pt>
              </c:strCache>
            </c:strRef>
          </c:tx>
          <c:spPr>
            <a:ln w="22225" cap="rnd">
              <a:solidFill>
                <a:schemeClr val="accent6">
                  <a:lumMod val="40000"/>
                  <a:lumOff val="60000"/>
                </a:schemeClr>
              </a:solidFill>
              <a:round/>
            </a:ln>
            <a:effectLst/>
          </c:spPr>
          <c:marker>
            <c:symbol val="triangle"/>
            <c:size val="6"/>
            <c:spPr>
              <a:solidFill>
                <a:schemeClr val="accent3"/>
              </a:solidFill>
              <a:ln w="9525">
                <a:solidFill>
                  <a:schemeClr val="accent6">
                    <a:lumMod val="40000"/>
                    <a:lumOff val="60000"/>
                  </a:schemeClr>
                </a:solidFill>
                <a:round/>
              </a:ln>
              <a:effectLst/>
            </c:spPr>
          </c:marker>
          <c:cat>
            <c:strRef>
              <c:f>'Exports Dashboard'!$B$65:$M$65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'Exports Dashboard'!$B$68:$M$68</c:f>
              <c:numCache>
                <c:formatCode>#,##0</c:formatCode>
                <c:ptCount val="12"/>
                <c:pt idx="0">
                  <c:v>5112274.1502</c:v>
                </c:pt>
                <c:pt idx="1">
                  <c:v>4770005.2665999997</c:v>
                </c:pt>
                <c:pt idx="2">
                  <c:v>4409066.4818000002</c:v>
                </c:pt>
                <c:pt idx="3">
                  <c:v>3998730.5814999999</c:v>
                </c:pt>
                <c:pt idx="4">
                  <c:v>3972949.6107999999</c:v>
                </c:pt>
                <c:pt idx="5">
                  <c:v>4308615.3492999999</c:v>
                </c:pt>
                <c:pt idx="6">
                  <c:v>4276347.5065000001</c:v>
                </c:pt>
                <c:pt idx="7">
                  <c:v>4446510.5935000004</c:v>
                </c:pt>
                <c:pt idx="8">
                  <c:v>3770707.0170999998</c:v>
                </c:pt>
                <c:pt idx="9">
                  <c:v>3881567.0380000002</c:v>
                </c:pt>
                <c:pt idx="10">
                  <c:v>4092677.6348000001</c:v>
                </c:pt>
                <c:pt idx="11">
                  <c:v>4921683.9052999998</c:v>
                </c:pt>
              </c:numCache>
            </c:numRef>
          </c:val>
          <c:smooth val="0"/>
          <c:extLst>
            <c:ext xmlns:c16="http://schemas.microsoft.com/office/drawing/2014/chart" uri="{C3380CC4-5D6E-409C-BE32-E72D297353CC}">
              <c16:uniqueId val="{00000002-5FC9-4574-9090-E68581F59953}"/>
            </c:ext>
          </c:extLst>
        </c:ser>
        <c:ser>
          <c:idx val="3"/>
          <c:order val="3"/>
          <c:tx>
            <c:strRef>
              <c:f>'Exports Dashboard'!$A$69</c:f>
              <c:strCache>
                <c:ptCount val="1"/>
                <c:pt idx="0">
                  <c:v>Avg(5)</c:v>
                </c:pt>
              </c:strCache>
            </c:strRef>
          </c:tx>
          <c:spPr>
            <a:ln w="22225" cap="rnd">
              <a:solidFill>
                <a:schemeClr val="bg1">
                  <a:lumMod val="65000"/>
                </a:schemeClr>
              </a:solidFill>
              <a:prstDash val="sysDot"/>
              <a:round/>
            </a:ln>
            <a:effectLst/>
          </c:spPr>
          <c:marker>
            <c:symbol val="x"/>
            <c:size val="6"/>
            <c:spPr>
              <a:noFill/>
              <a:ln w="9525">
                <a:solidFill>
                  <a:schemeClr val="bg1">
                    <a:lumMod val="65000"/>
                  </a:schemeClr>
                </a:solidFill>
                <a:prstDash val="sysDot"/>
                <a:round/>
              </a:ln>
              <a:effectLst/>
            </c:spPr>
          </c:marker>
          <c:cat>
            <c:strRef>
              <c:f>'Exports Dashboard'!$B$65:$M$65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'Exports Dashboard'!$B$69:$M$69</c:f>
              <c:numCache>
                <c:formatCode>#,##0</c:formatCode>
                <c:ptCount val="12"/>
                <c:pt idx="0">
                  <c:v>4096407.5170166665</c:v>
                </c:pt>
                <c:pt idx="1">
                  <c:v>3924435.4366166666</c:v>
                </c:pt>
                <c:pt idx="2">
                  <c:v>3770306.4985333332</c:v>
                </c:pt>
                <c:pt idx="3">
                  <c:v>3493348.5211166665</c:v>
                </c:pt>
                <c:pt idx="4">
                  <c:v>3339774.0178999999</c:v>
                </c:pt>
                <c:pt idx="5">
                  <c:v>3626933.0240666675</c:v>
                </c:pt>
                <c:pt idx="6">
                  <c:v>3302487.5394666665</c:v>
                </c:pt>
                <c:pt idx="7">
                  <c:v>3309395.0803333335</c:v>
                </c:pt>
                <c:pt idx="8">
                  <c:v>3074780.8106666668</c:v>
                </c:pt>
                <c:pt idx="9">
                  <c:v>3123363.0594000001</c:v>
                </c:pt>
                <c:pt idx="10">
                  <c:v>3422974.869233334</c:v>
                </c:pt>
                <c:pt idx="11">
                  <c:v>3949417.5968833328</c:v>
                </c:pt>
              </c:numCache>
            </c:numRef>
          </c:val>
          <c:smooth val="0"/>
          <c:extLst>
            <c:ext xmlns:c16="http://schemas.microsoft.com/office/drawing/2014/chart" uri="{C3380CC4-5D6E-409C-BE32-E72D297353CC}">
              <c16:uniqueId val="{00000003-5FC9-4574-9090-E68581F59953}"/>
            </c:ext>
          </c:extLst>
        </c:ser>
        <c:dLbls>
          <c:showLegendKey val="0"/>
          <c:showVal val="0"/>
          <c:showCatName val="0"/>
          <c:showSerName val="0"/>
          <c:showPercent val="0"/>
          <c:showBubbleSize val="0"/>
        </c:dLbls>
        <c:marker val="1"/>
        <c:smooth val="0"/>
        <c:axId val="518656367"/>
        <c:axId val="518655887"/>
      </c:lineChart>
      <c:catAx>
        <c:axId val="518656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18655887"/>
        <c:crosses val="autoZero"/>
        <c:auto val="1"/>
        <c:lblAlgn val="ctr"/>
        <c:lblOffset val="100"/>
        <c:noMultiLvlLbl val="0"/>
      </c:catAx>
      <c:valAx>
        <c:axId val="518655887"/>
        <c:scaling>
          <c:orientation val="minMax"/>
        </c:scaling>
        <c:delete val="0"/>
        <c:axPos val="l"/>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6563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accent4">
                    <a:lumMod val="20000"/>
                    <a:lumOff val="80000"/>
                  </a:schemeClr>
                </a:solidFill>
                <a:latin typeface="+mn-lt"/>
                <a:ea typeface="+mn-ea"/>
                <a:cs typeface="+mn-cs"/>
              </a:defRPr>
            </a:pPr>
            <a:r>
              <a:rPr lang="en-US" sz="1200">
                <a:solidFill>
                  <a:schemeClr val="accent4">
                    <a:lumMod val="20000"/>
                    <a:lumOff val="80000"/>
                  </a:schemeClr>
                </a:solidFill>
              </a:rPr>
              <a:t>Rolling 12m Sum of Exports (Mn Bags)</a:t>
            </a:r>
          </a:p>
        </c:rich>
      </c:tx>
      <c:layout>
        <c:manualLayout>
          <c:xMode val="edge"/>
          <c:yMode val="edge"/>
          <c:x val="0.21970005634460624"/>
          <c:y val="3.2536545730579028E-2"/>
        </c:manualLayout>
      </c:layout>
      <c:overlay val="0"/>
      <c:spPr>
        <a:solidFill>
          <a:schemeClr val="tx2">
            <a:lumMod val="50000"/>
          </a:schemeClr>
        </a:solidFill>
        <a:ln>
          <a:noFill/>
        </a:ln>
        <a:effectLst/>
      </c:spPr>
      <c:txPr>
        <a:bodyPr rot="0" spcFirstLastPara="1" vertOverflow="ellipsis" vert="horz" wrap="square" anchor="ctr" anchorCtr="1"/>
        <a:lstStyle/>
        <a:p>
          <a:pPr>
            <a:defRPr sz="1200" b="0" i="0" u="none" strike="noStrike" kern="1200" spc="0" baseline="0">
              <a:solidFill>
                <a:schemeClr val="accent4">
                  <a:lumMod val="20000"/>
                  <a:lumOff val="80000"/>
                </a:schemeClr>
              </a:solidFill>
              <a:latin typeface="+mn-lt"/>
              <a:ea typeface="+mn-ea"/>
              <a:cs typeface="+mn-cs"/>
            </a:defRPr>
          </a:pPr>
          <a:endParaRPr lang="en-US"/>
        </a:p>
      </c:txPr>
    </c:title>
    <c:autoTitleDeleted val="0"/>
    <c:plotArea>
      <c:layout/>
      <c:lineChart>
        <c:grouping val="standard"/>
        <c:varyColors val="0"/>
        <c:ser>
          <c:idx val="0"/>
          <c:order val="0"/>
          <c:tx>
            <c:strRef>
              <c:f>'Exports Dashboard'!$I$84</c:f>
              <c:strCache>
                <c:ptCount val="1"/>
                <c:pt idx="0">
                  <c:v>Rolling 12m Sum</c:v>
                </c:pt>
              </c:strCache>
            </c:strRef>
          </c:tx>
          <c:spPr>
            <a:ln w="28575" cap="rnd">
              <a:solidFill>
                <a:schemeClr val="tx1">
                  <a:lumMod val="85000"/>
                  <a:lumOff val="15000"/>
                </a:schemeClr>
              </a:solidFill>
              <a:round/>
            </a:ln>
            <a:effectLst/>
          </c:spPr>
          <c:marker>
            <c:symbol val="none"/>
          </c:marker>
          <c:cat>
            <c:strRef>
              <c:f>'Exports Dashboard'!$H$122:$H$208</c:f>
              <c:strCache>
                <c:ptCount val="87"/>
                <c:pt idx="0">
                  <c:v>Oct'18/19</c:v>
                </c:pt>
                <c:pt idx="1">
                  <c:v>Nov'18/19</c:v>
                </c:pt>
                <c:pt idx="2">
                  <c:v>Dec'18/19</c:v>
                </c:pt>
                <c:pt idx="3">
                  <c:v>Jan'18/19</c:v>
                </c:pt>
                <c:pt idx="4">
                  <c:v>Feb'18/19</c:v>
                </c:pt>
                <c:pt idx="5">
                  <c:v>Mar'18/19</c:v>
                </c:pt>
                <c:pt idx="6">
                  <c:v>Apr'18/19</c:v>
                </c:pt>
                <c:pt idx="7">
                  <c:v>May'18/19</c:v>
                </c:pt>
                <c:pt idx="8">
                  <c:v>Jun'18/19</c:v>
                </c:pt>
                <c:pt idx="9">
                  <c:v>Jul'18/19</c:v>
                </c:pt>
                <c:pt idx="10">
                  <c:v>Aug'18/19</c:v>
                </c:pt>
                <c:pt idx="11">
                  <c:v>Sep'18/19</c:v>
                </c:pt>
                <c:pt idx="12">
                  <c:v>Oct'19/20</c:v>
                </c:pt>
                <c:pt idx="13">
                  <c:v>Nov'19/20</c:v>
                </c:pt>
                <c:pt idx="14">
                  <c:v>Dec'19/20</c:v>
                </c:pt>
                <c:pt idx="15">
                  <c:v>Jan'19/20</c:v>
                </c:pt>
                <c:pt idx="16">
                  <c:v>Feb'19/20</c:v>
                </c:pt>
                <c:pt idx="17">
                  <c:v>Mar'19/20</c:v>
                </c:pt>
                <c:pt idx="18">
                  <c:v>Apr'19/20</c:v>
                </c:pt>
                <c:pt idx="19">
                  <c:v>May'19/20</c:v>
                </c:pt>
                <c:pt idx="20">
                  <c:v>Jun'19/20</c:v>
                </c:pt>
                <c:pt idx="21">
                  <c:v>Jul'19/20</c:v>
                </c:pt>
                <c:pt idx="22">
                  <c:v>Aug'19/20</c:v>
                </c:pt>
                <c:pt idx="23">
                  <c:v>Sep'19/20</c:v>
                </c:pt>
                <c:pt idx="24">
                  <c:v>Oct'20/21</c:v>
                </c:pt>
                <c:pt idx="25">
                  <c:v>Nov'20/21</c:v>
                </c:pt>
                <c:pt idx="26">
                  <c:v>Dec'20/21</c:v>
                </c:pt>
                <c:pt idx="27">
                  <c:v>Jan'20/21</c:v>
                </c:pt>
                <c:pt idx="28">
                  <c:v>Feb'20/21</c:v>
                </c:pt>
                <c:pt idx="29">
                  <c:v>Mar'20/21</c:v>
                </c:pt>
                <c:pt idx="30">
                  <c:v>Apr'20/21</c:v>
                </c:pt>
                <c:pt idx="31">
                  <c:v>May'20/21</c:v>
                </c:pt>
                <c:pt idx="32">
                  <c:v>Jun'20/21</c:v>
                </c:pt>
                <c:pt idx="33">
                  <c:v>Jul'20/21</c:v>
                </c:pt>
                <c:pt idx="34">
                  <c:v>Aug'20/21</c:v>
                </c:pt>
                <c:pt idx="35">
                  <c:v>Sep'20/21</c:v>
                </c:pt>
                <c:pt idx="36">
                  <c:v>Oct'21/22</c:v>
                </c:pt>
                <c:pt idx="37">
                  <c:v>Nov'21/22</c:v>
                </c:pt>
                <c:pt idx="38">
                  <c:v>Dec'21/22</c:v>
                </c:pt>
                <c:pt idx="39">
                  <c:v>Jan'21/22</c:v>
                </c:pt>
                <c:pt idx="40">
                  <c:v>Feb'21/22</c:v>
                </c:pt>
                <c:pt idx="41">
                  <c:v>Mar'21/22</c:v>
                </c:pt>
                <c:pt idx="42">
                  <c:v>Apr'21/22</c:v>
                </c:pt>
                <c:pt idx="43">
                  <c:v>May'21/22</c:v>
                </c:pt>
                <c:pt idx="44">
                  <c:v>Jun'21/22</c:v>
                </c:pt>
                <c:pt idx="45">
                  <c:v>Jul'21/22</c:v>
                </c:pt>
                <c:pt idx="46">
                  <c:v>Aug'21/22</c:v>
                </c:pt>
                <c:pt idx="47">
                  <c:v>Sep'21/22</c:v>
                </c:pt>
                <c:pt idx="48">
                  <c:v>Oct'22/23</c:v>
                </c:pt>
                <c:pt idx="49">
                  <c:v>Nov'22/23</c:v>
                </c:pt>
                <c:pt idx="50">
                  <c:v>Dec'22/23</c:v>
                </c:pt>
                <c:pt idx="51">
                  <c:v>Jan'22/23</c:v>
                </c:pt>
                <c:pt idx="52">
                  <c:v>Feb'22/23</c:v>
                </c:pt>
                <c:pt idx="53">
                  <c:v>Mar'22/23</c:v>
                </c:pt>
                <c:pt idx="54">
                  <c:v>Apr'22/23</c:v>
                </c:pt>
                <c:pt idx="55">
                  <c:v>May'22/23</c:v>
                </c:pt>
                <c:pt idx="56">
                  <c:v>Jun'22/23</c:v>
                </c:pt>
                <c:pt idx="57">
                  <c:v>Jul'22/23</c:v>
                </c:pt>
                <c:pt idx="58">
                  <c:v>Aug'22/23</c:v>
                </c:pt>
                <c:pt idx="59">
                  <c:v>Sep'22/23</c:v>
                </c:pt>
                <c:pt idx="60">
                  <c:v>Oct'23/24</c:v>
                </c:pt>
                <c:pt idx="61">
                  <c:v>Nov'23/24</c:v>
                </c:pt>
                <c:pt idx="62">
                  <c:v>Dec'23/24</c:v>
                </c:pt>
                <c:pt idx="63">
                  <c:v>Jan'23/24</c:v>
                </c:pt>
                <c:pt idx="64">
                  <c:v>Feb'23/24</c:v>
                </c:pt>
                <c:pt idx="65">
                  <c:v>Mar'23/24</c:v>
                </c:pt>
                <c:pt idx="66">
                  <c:v>Apr'23/24</c:v>
                </c:pt>
                <c:pt idx="67">
                  <c:v>May'23/24</c:v>
                </c:pt>
                <c:pt idx="68">
                  <c:v>Jun'23/24</c:v>
                </c:pt>
                <c:pt idx="69">
                  <c:v>Jul'23/24</c:v>
                </c:pt>
                <c:pt idx="70">
                  <c:v>Aug'23/24</c:v>
                </c:pt>
                <c:pt idx="71">
                  <c:v>Sep'23/24</c:v>
                </c:pt>
                <c:pt idx="72">
                  <c:v>Oct'24/25</c:v>
                </c:pt>
                <c:pt idx="73">
                  <c:v>Nov'24/25</c:v>
                </c:pt>
                <c:pt idx="74">
                  <c:v>Dec'24/25</c:v>
                </c:pt>
                <c:pt idx="75">
                  <c:v>Jan'24/25</c:v>
                </c:pt>
                <c:pt idx="76">
                  <c:v>Feb'24/25</c:v>
                </c:pt>
                <c:pt idx="77">
                  <c:v>Mar'24/25</c:v>
                </c:pt>
                <c:pt idx="78">
                  <c:v>Apr'24/25</c:v>
                </c:pt>
                <c:pt idx="79">
                  <c:v>May'24/25</c:v>
                </c:pt>
                <c:pt idx="80">
                  <c:v>Jun'24/25</c:v>
                </c:pt>
                <c:pt idx="81">
                  <c:v>Jul'24/25</c:v>
                </c:pt>
                <c:pt idx="82">
                  <c:v>Aug'24/25</c:v>
                </c:pt>
                <c:pt idx="83">
                  <c:v>Sep'24/25</c:v>
                </c:pt>
                <c:pt idx="84">
                  <c:v>Oct'25/26</c:v>
                </c:pt>
                <c:pt idx="85">
                  <c:v>Nov'25/26</c:v>
                </c:pt>
                <c:pt idx="86">
                  <c:v>Dec'25/26</c:v>
                </c:pt>
              </c:strCache>
            </c:strRef>
          </c:cat>
          <c:val>
            <c:numRef>
              <c:f>'Exports Dashboard'!$I$122:$I$208</c:f>
              <c:numCache>
                <c:formatCode>General</c:formatCode>
                <c:ptCount val="87"/>
                <c:pt idx="0">
                  <c:v>33.721432709399998</c:v>
                </c:pt>
                <c:pt idx="1">
                  <c:v>34.658774178800002</c:v>
                </c:pt>
                <c:pt idx="2">
                  <c:v>35.637358982599999</c:v>
                </c:pt>
                <c:pt idx="3">
                  <c:v>36.387928415799998</c:v>
                </c:pt>
                <c:pt idx="4">
                  <c:v>37.450994901199998</c:v>
                </c:pt>
                <c:pt idx="5">
                  <c:v>37.869800122000001</c:v>
                </c:pt>
                <c:pt idx="6">
                  <c:v>38.7482589436</c:v>
                </c:pt>
                <c:pt idx="7">
                  <c:v>40.905600641399992</c:v>
                </c:pt>
                <c:pt idx="8">
                  <c:v>41.424682096199994</c:v>
                </c:pt>
                <c:pt idx="9">
                  <c:v>42.349687574599997</c:v>
                </c:pt>
                <c:pt idx="10">
                  <c:v>42.174217804599998</c:v>
                </c:pt>
                <c:pt idx="11">
                  <c:v>42.518824156400008</c:v>
                </c:pt>
                <c:pt idx="12">
                  <c:v>42.251078307</c:v>
                </c:pt>
                <c:pt idx="13">
                  <c:v>41.629696091</c:v>
                </c:pt>
                <c:pt idx="14">
                  <c:v>40.697863845800001</c:v>
                </c:pt>
                <c:pt idx="15">
                  <c:v>40.701445507399995</c:v>
                </c:pt>
                <c:pt idx="16">
                  <c:v>40.134449456200002</c:v>
                </c:pt>
                <c:pt idx="17">
                  <c:v>40.510712913600003</c:v>
                </c:pt>
                <c:pt idx="18">
                  <c:v>40.842725102000003</c:v>
                </c:pt>
                <c:pt idx="19">
                  <c:v>40.238161196600004</c:v>
                </c:pt>
                <c:pt idx="20">
                  <c:v>40.211036874799994</c:v>
                </c:pt>
                <c:pt idx="21">
                  <c:v>40.062844814199991</c:v>
                </c:pt>
                <c:pt idx="22">
                  <c:v>40.268211014199998</c:v>
                </c:pt>
                <c:pt idx="23">
                  <c:v>41.005189314999996</c:v>
                </c:pt>
                <c:pt idx="24">
                  <c:v>41.839452950200005</c:v>
                </c:pt>
                <c:pt idx="25">
                  <c:v>43.327984916599995</c:v>
                </c:pt>
                <c:pt idx="26">
                  <c:v>44.664344355799997</c:v>
                </c:pt>
                <c:pt idx="27">
                  <c:v>44.847548087199996</c:v>
                </c:pt>
                <c:pt idx="28">
                  <c:v>45.812838902599992</c:v>
                </c:pt>
                <c:pt idx="29">
                  <c:v>46.152822381</c:v>
                </c:pt>
                <c:pt idx="30">
                  <c:v>46.129540160400005</c:v>
                </c:pt>
                <c:pt idx="31">
                  <c:v>46.2913824054</c:v>
                </c:pt>
                <c:pt idx="32">
                  <c:v>46.426080408999994</c:v>
                </c:pt>
                <c:pt idx="33">
                  <c:v>45.997363466699994</c:v>
                </c:pt>
                <c:pt idx="34">
                  <c:v>45.282226926700005</c:v>
                </c:pt>
                <c:pt idx="35">
                  <c:v>44.341325078000004</c:v>
                </c:pt>
                <c:pt idx="36">
                  <c:v>43.126541492900003</c:v>
                </c:pt>
                <c:pt idx="37">
                  <c:v>41.614345210899998</c:v>
                </c:pt>
                <c:pt idx="38">
                  <c:v>41.149612798400007</c:v>
                </c:pt>
                <c:pt idx="39">
                  <c:v>40.960707222499998</c:v>
                </c:pt>
                <c:pt idx="40">
                  <c:v>40.524032173800002</c:v>
                </c:pt>
                <c:pt idx="41">
                  <c:v>40.582591378199993</c:v>
                </c:pt>
                <c:pt idx="42">
                  <c:v>40.023256856099991</c:v>
                </c:pt>
                <c:pt idx="43">
                  <c:v>39.541058748799998</c:v>
                </c:pt>
                <c:pt idx="44">
                  <c:v>39.456152210400006</c:v>
                </c:pt>
                <c:pt idx="45">
                  <c:v>39.394983771</c:v>
                </c:pt>
                <c:pt idx="46">
                  <c:v>39.487292616700003</c:v>
                </c:pt>
                <c:pt idx="47">
                  <c:v>39.640119181300008</c:v>
                </c:pt>
                <c:pt idx="48">
                  <c:v>39.939904124099996</c:v>
                </c:pt>
                <c:pt idx="49">
                  <c:v>40.266052700099998</c:v>
                </c:pt>
                <c:pt idx="50">
                  <c:v>39.458808365000003</c:v>
                </c:pt>
                <c:pt idx="51">
                  <c:v>38.581946385799995</c:v>
                </c:pt>
                <c:pt idx="52">
                  <c:v>37.507506293200002</c:v>
                </c:pt>
                <c:pt idx="53">
                  <c:v>36.782166639599993</c:v>
                </c:pt>
                <c:pt idx="54">
                  <c:v>36.261246251700008</c:v>
                </c:pt>
                <c:pt idx="55">
                  <c:v>35.967551454400009</c:v>
                </c:pt>
                <c:pt idx="56">
                  <c:v>35.500774669899997</c:v>
                </c:pt>
                <c:pt idx="57">
                  <c:v>35.900592019600005</c:v>
                </c:pt>
                <c:pt idx="58">
                  <c:v>36.764771471799996</c:v>
                </c:pt>
                <c:pt idx="59">
                  <c:v>37.0863977363</c:v>
                </c:pt>
                <c:pt idx="60">
                  <c:v>37.909729011100005</c:v>
                </c:pt>
                <c:pt idx="61">
                  <c:v>38.655421859100002</c:v>
                </c:pt>
                <c:pt idx="62">
                  <c:v>39.704531875500003</c:v>
                </c:pt>
                <c:pt idx="63">
                  <c:v>41.1117388013</c:v>
                </c:pt>
                <c:pt idx="64">
                  <c:v>42.392079822999996</c:v>
                </c:pt>
                <c:pt idx="65">
                  <c:v>43.534059054499991</c:v>
                </c:pt>
                <c:pt idx="66">
                  <c:v>45.314717820599995</c:v>
                </c:pt>
                <c:pt idx="67">
                  <c:v>47.093246874299993</c:v>
                </c:pt>
                <c:pt idx="68">
                  <c:v>48.205367684499997</c:v>
                </c:pt>
                <c:pt idx="69">
                  <c:v>48.934760635300002</c:v>
                </c:pt>
                <c:pt idx="70">
                  <c:v>49.211806682600006</c:v>
                </c:pt>
                <c:pt idx="71">
                  <c:v>50.367574745300011</c:v>
                </c:pt>
                <c:pt idx="72">
                  <c:v>51.067139426600001</c:v>
                </c:pt>
                <c:pt idx="73">
                  <c:v>51.061206117099999</c:v>
                </c:pt>
                <c:pt idx="74">
                  <c:v>50.747448279199993</c:v>
                </c:pt>
                <c:pt idx="75">
                  <c:v>50.518790262099998</c:v>
                </c:pt>
                <c:pt idx="76">
                  <c:v>50.094365949299998</c:v>
                </c:pt>
                <c:pt idx="77">
                  <c:v>48.853271850299997</c:v>
                </c:pt>
                <c:pt idx="78">
                  <c:v>47.428034684000004</c:v>
                </c:pt>
                <c:pt idx="79">
                  <c:v>46.035819458299997</c:v>
                </c:pt>
                <c:pt idx="80">
                  <c:v>44.8733000338</c:v>
                </c:pt>
                <c:pt idx="81">
                  <c:v>43.890046193400003</c:v>
                </c:pt>
                <c:pt idx="82">
                  <c:v>43.0420332972</c:v>
                </c:pt>
                <c:pt idx="83">
                  <c:v>42.161137771500009</c:v>
                </c:pt>
                <c:pt idx="84">
                  <c:v>41.309944190700001</c:v>
                </c:pt>
                <c:pt idx="85">
                  <c:v>40.636731087999998</c:v>
                </c:pt>
                <c:pt idx="86">
                  <c:v>39.9334919279</c:v>
                </c:pt>
              </c:numCache>
            </c:numRef>
          </c:val>
          <c:smooth val="0"/>
          <c:extLst>
            <c:ext xmlns:c16="http://schemas.microsoft.com/office/drawing/2014/chart" uri="{C3380CC4-5D6E-409C-BE32-E72D297353CC}">
              <c16:uniqueId val="{00000000-E53E-4653-BEF8-A27BCC63D661}"/>
            </c:ext>
          </c:extLst>
        </c:ser>
        <c:dLbls>
          <c:showLegendKey val="0"/>
          <c:showVal val="0"/>
          <c:showCatName val="0"/>
          <c:showSerName val="0"/>
          <c:showPercent val="0"/>
          <c:showBubbleSize val="0"/>
        </c:dLbls>
        <c:smooth val="0"/>
        <c:axId val="473364447"/>
        <c:axId val="473365887"/>
      </c:lineChart>
      <c:catAx>
        <c:axId val="473364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365887"/>
        <c:crosses val="autoZero"/>
        <c:auto val="1"/>
        <c:lblAlgn val="ctr"/>
        <c:lblOffset val="100"/>
        <c:noMultiLvlLbl val="0"/>
      </c:catAx>
      <c:valAx>
        <c:axId val="473365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364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'Exports Dashboard'!$K$27</c:f>
          <c:strCache>
            <c:ptCount val="1"/>
            <c:pt idx="0">
              <c:v>ICO's Monthly Exports | YTD : Oct-Mar</c:v>
            </c:pt>
          </c:strCache>
        </c:strRef>
      </c:tx>
      <c:overlay val="0"/>
      <c:spPr>
        <a:solidFill>
          <a:schemeClr val="tx2">
            <a:lumMod val="50000"/>
          </a:schemeClr>
        </a:solidFill>
        <a:ln>
          <a:noFill/>
        </a:ln>
        <a:effectLst/>
      </c:spPr>
      <c:txPr>
        <a:bodyPr rot="0" spcFirstLastPara="1" vertOverflow="ellipsis" vert="horz" wrap="square" anchor="ctr" anchorCtr="1"/>
        <a:lstStyle/>
        <a:p>
          <a:pPr>
            <a:defRPr sz="1200" b="0" i="0" u="none" strike="noStrike" kern="1200" spc="0" baseline="0">
              <a:solidFill>
                <a:schemeClr val="accent4">
                  <a:lumMod val="20000"/>
                  <a:lumOff val="80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bg2">
                  <a:lumMod val="50000"/>
                </a:schemeClr>
              </a:solidFill>
              <a:round/>
            </a:ln>
            <a:effectLst/>
          </c:spPr>
          <c:marker>
            <c:symbol val="none"/>
          </c:marker>
          <c:cat>
            <c:strRef>
              <c:f>'Exports Dashboard'!$S$9:$S$18</c:f>
              <c:strCache>
                <c:ptCount val="10"/>
                <c:pt idx="0">
                  <c:v>16/17</c:v>
                </c:pt>
                <c:pt idx="1">
                  <c:v>17/18</c:v>
                </c:pt>
                <c:pt idx="2">
                  <c:v>18/19</c:v>
                </c:pt>
                <c:pt idx="3">
                  <c:v>19/20</c:v>
                </c:pt>
                <c:pt idx="4">
                  <c:v>20/21</c:v>
                </c:pt>
                <c:pt idx="5">
                  <c:v>21/22</c:v>
                </c:pt>
                <c:pt idx="6">
                  <c:v>22/23</c:v>
                </c:pt>
                <c:pt idx="7">
                  <c:v>23/24</c:v>
                </c:pt>
                <c:pt idx="8">
                  <c:v>24/25</c:v>
                </c:pt>
                <c:pt idx="9">
                  <c:v>25/26</c:v>
                </c:pt>
              </c:strCache>
            </c:strRef>
          </c:cat>
          <c:val>
            <c:numRef>
              <c:f>'Exports Dashboard'!$T$9:$T$18</c:f>
              <c:numCache>
                <c:formatCode>#,##0</c:formatCode>
                <c:ptCount val="10"/>
                <c:pt idx="0">
                  <c:v>17973390.234000001</c:v>
                </c:pt>
                <c:pt idx="1">
                  <c:v>16823335.176800001</c:v>
                </c:pt>
                <c:pt idx="2">
                  <c:v>22007584.150200002</c:v>
                </c:pt>
                <c:pt idx="3">
                  <c:v>19999472.907399997</c:v>
                </c:pt>
                <c:pt idx="4">
                  <c:v>25147105.973400004</c:v>
                </c:pt>
                <c:pt idx="5">
                  <c:v>21388372.273600001</c:v>
                </c:pt>
                <c:pt idx="6">
                  <c:v>18530419.731899999</c:v>
                </c:pt>
                <c:pt idx="7">
                  <c:v>24978081.050100002</c:v>
                </c:pt>
                <c:pt idx="8">
                  <c:v>23463778.155099999</c:v>
                </c:pt>
                <c:pt idx="9">
                  <c:v>19565921.465700001</c:v>
                </c:pt>
              </c:numCache>
            </c:numRef>
          </c:val>
          <c:smooth val="0"/>
          <c:extLst>
            <c:ext xmlns:c16="http://schemas.microsoft.com/office/drawing/2014/chart" uri="{C3380CC4-5D6E-409C-BE32-E72D297353CC}">
              <c16:uniqueId val="{00000000-1DB0-49CA-BE5D-357DDD6FD8AE}"/>
            </c:ext>
          </c:extLst>
        </c:ser>
        <c:dLbls>
          <c:showLegendKey val="0"/>
          <c:showVal val="0"/>
          <c:showCatName val="0"/>
          <c:showSerName val="0"/>
          <c:showPercent val="0"/>
          <c:showBubbleSize val="0"/>
        </c:dLbls>
        <c:smooth val="0"/>
        <c:axId val="2068360896"/>
        <c:axId val="2068359936"/>
      </c:lineChart>
      <c:catAx>
        <c:axId val="206836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68359936"/>
        <c:crosses val="autoZero"/>
        <c:auto val="1"/>
        <c:lblAlgn val="ctr"/>
        <c:lblOffset val="100"/>
        <c:noMultiLvlLbl val="0"/>
      </c:catAx>
      <c:valAx>
        <c:axId val="20683599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360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'Exports Dashboard'!$Q$27</c:f>
          <c:strCache>
            <c:ptCount val="1"/>
            <c:pt idx="0">
              <c:v>ICO's Monthly Exports | Cumulative</c:v>
            </c:pt>
          </c:strCache>
        </c:strRef>
      </c:tx>
      <c:overlay val="0"/>
      <c:spPr>
        <a:solidFill>
          <a:schemeClr val="tx2">
            <a:lumMod val="50000"/>
          </a:schemeClr>
        </a:solidFill>
        <a:ln>
          <a:noFill/>
        </a:ln>
        <a:effectLst/>
      </c:spPr>
      <c:txPr>
        <a:bodyPr rot="0" spcFirstLastPara="1" vertOverflow="ellipsis" vert="horz" wrap="square" anchor="ctr" anchorCtr="1"/>
        <a:lstStyle/>
        <a:p>
          <a:pPr>
            <a:defRPr sz="1200" b="1" i="0" u="none" strike="noStrike" kern="1200" cap="all" spc="120" normalizeH="0" baseline="0">
              <a:solidFill>
                <a:schemeClr val="accent4">
                  <a:lumMod val="20000"/>
                  <a:lumOff val="80000"/>
                </a:schemeClr>
              </a:solidFill>
              <a:latin typeface="+mn-lt"/>
              <a:ea typeface="+mn-ea"/>
              <a:cs typeface="+mn-cs"/>
            </a:defRPr>
          </a:pPr>
          <a:endParaRPr lang="en-US"/>
        </a:p>
      </c:txPr>
    </c:title>
    <c:autoTitleDeleted val="0"/>
    <c:plotArea>
      <c:layout/>
      <c:lineChart>
        <c:grouping val="standard"/>
        <c:varyColors val="0"/>
        <c:ser>
          <c:idx val="0"/>
          <c:order val="0"/>
          <c:tx>
            <c:strRef>
              <c:f>'Exports Dashboard'!$M$81</c:f>
              <c:strCache>
                <c:ptCount val="1"/>
                <c:pt idx="0">
                  <c:v>19/20</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'Exports Dashboard'!$N$75:$Y$75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'Exports Dashboard'!$N$81:$Y$81</c:f>
              <c:numCache>
                <c:formatCode>#,##0</c:formatCode>
                <c:ptCount val="12"/>
                <c:pt idx="0">
                  <c:v>3670113.2012</c:v>
                </c:pt>
                <c:pt idx="1">
                  <c:v>6951586.5013999995</c:v>
                </c:pt>
                <c:pt idx="2">
                  <c:v>10024293.544</c:v>
                </c:pt>
                <c:pt idx="3">
                  <c:v>13498381.023399999</c:v>
                </c:pt>
                <c:pt idx="4">
                  <c:v>16506039.818799999</c:v>
                </c:pt>
                <c:pt idx="5">
                  <c:v>19999472.907399997</c:v>
                </c:pt>
                <c:pt idx="6">
                  <c:v>23598698.778399996</c:v>
                </c:pt>
                <c:pt idx="7">
                  <c:v>26880730.977799997</c:v>
                </c:pt>
                <c:pt idx="8">
                  <c:v>29956302.503999997</c:v>
                </c:pt>
                <c:pt idx="9">
                  <c:v>33198544.623199996</c:v>
                </c:pt>
                <c:pt idx="10">
                  <c:v>36772824.452799998</c:v>
                </c:pt>
                <c:pt idx="11">
                  <c:v>41005189.314999998</c:v>
                </c:pt>
              </c:numCache>
            </c:numRef>
          </c:val>
          <c:smooth val="0"/>
          <c:extLst>
            <c:ext xmlns:c16="http://schemas.microsoft.com/office/drawing/2014/chart" uri="{C3380CC4-5D6E-409C-BE32-E72D297353CC}">
              <c16:uniqueId val="{00000000-EBF9-4417-9897-6CE36AC4BDBE}"/>
            </c:ext>
          </c:extLst>
        </c:ser>
        <c:ser>
          <c:idx val="1"/>
          <c:order val="1"/>
          <c:tx>
            <c:strRef>
              <c:f>'Exports Dashboard'!$M$82</c:f>
              <c:strCache>
                <c:ptCount val="1"/>
                <c:pt idx="0">
                  <c:v>20/21</c:v>
                </c:pt>
              </c:strCache>
            </c:strRef>
          </c:tx>
          <c:spPr>
            <a:ln w="22225" cap="rnd">
              <a:solidFill>
                <a:schemeClr val="accent6">
                  <a:lumMod val="40000"/>
                  <a:lumOff val="60000"/>
                </a:schemeClr>
              </a:solidFill>
              <a:round/>
            </a:ln>
            <a:effectLst/>
          </c:spPr>
          <c:marker>
            <c:symbol val="square"/>
            <c:size val="6"/>
            <c:spPr>
              <a:solidFill>
                <a:schemeClr val="accent6">
                  <a:lumMod val="60000"/>
                  <a:lumOff val="40000"/>
                </a:schemeClr>
              </a:solidFill>
              <a:ln w="9525">
                <a:solidFill>
                  <a:schemeClr val="accent6">
                    <a:lumMod val="40000"/>
                    <a:lumOff val="60000"/>
                  </a:schemeClr>
                </a:solidFill>
                <a:round/>
              </a:ln>
              <a:effectLst/>
            </c:spPr>
          </c:marker>
          <c:cat>
            <c:strRef>
              <c:f>'Exports Dashboard'!$N$75:$Y$75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'Exports Dashboard'!$N$82:$Y$82</c:f>
              <c:numCache>
                <c:formatCode>#,##0</c:formatCode>
                <c:ptCount val="12"/>
                <c:pt idx="0">
                  <c:v>4504376.8364000004</c:v>
                </c:pt>
                <c:pt idx="1">
                  <c:v>9274382.1030000001</c:v>
                </c:pt>
                <c:pt idx="2">
                  <c:v>13683448.584800001</c:v>
                </c:pt>
                <c:pt idx="3">
                  <c:v>17340739.795600001</c:v>
                </c:pt>
                <c:pt idx="4">
                  <c:v>21313689.406400003</c:v>
                </c:pt>
                <c:pt idx="5">
                  <c:v>25147105.973400004</c:v>
                </c:pt>
                <c:pt idx="6">
                  <c:v>28723049.623800006</c:v>
                </c:pt>
                <c:pt idx="7">
                  <c:v>32166924.068200007</c:v>
                </c:pt>
                <c:pt idx="8">
                  <c:v>35377193.598000005</c:v>
                </c:pt>
                <c:pt idx="9">
                  <c:v>38190718.774900004</c:v>
                </c:pt>
                <c:pt idx="10">
                  <c:v>41049862.064500004</c:v>
                </c:pt>
                <c:pt idx="11">
                  <c:v>44341325.078000002</c:v>
                </c:pt>
              </c:numCache>
            </c:numRef>
          </c:val>
          <c:smooth val="0"/>
          <c:extLst>
            <c:ext xmlns:c16="http://schemas.microsoft.com/office/drawing/2014/chart" uri="{C3380CC4-5D6E-409C-BE32-E72D297353CC}">
              <c16:uniqueId val="{00000001-EBF9-4417-9897-6CE36AC4BDBE}"/>
            </c:ext>
          </c:extLst>
        </c:ser>
        <c:ser>
          <c:idx val="2"/>
          <c:order val="2"/>
          <c:tx>
            <c:strRef>
              <c:f>'Exports Dashboard'!$M$83</c:f>
              <c:strCache>
                <c:ptCount val="1"/>
                <c:pt idx="0">
                  <c:v>21/22</c:v>
                </c:pt>
              </c:strCache>
            </c:strRef>
          </c:tx>
          <c:spPr>
            <a:ln w="22225" cap="rnd">
              <a:solidFill>
                <a:schemeClr val="accent3"/>
              </a:solidFill>
              <a:round/>
            </a:ln>
            <a:effectLst/>
          </c:spPr>
          <c:marker>
            <c:symbol val="triangle"/>
            <c:size val="6"/>
            <c:spPr>
              <a:solidFill>
                <a:schemeClr val="accent3"/>
              </a:solidFill>
              <a:ln w="9525">
                <a:solidFill>
                  <a:schemeClr val="accent3"/>
                </a:solidFill>
                <a:round/>
              </a:ln>
              <a:effectLst/>
            </c:spPr>
          </c:marker>
          <c:cat>
            <c:strRef>
              <c:f>'Exports Dashboard'!$N$75:$Y$75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'Exports Dashboard'!$N$83:$Y$83</c:f>
              <c:numCache>
                <c:formatCode>#,##0</c:formatCode>
                <c:ptCount val="12"/>
                <c:pt idx="0">
                  <c:v>3289593.2513000001</c:v>
                </c:pt>
                <c:pt idx="1">
                  <c:v>6547402.2358999997</c:v>
                </c:pt>
                <c:pt idx="2">
                  <c:v>10491736.305199999</c:v>
                </c:pt>
                <c:pt idx="3">
                  <c:v>13960121.940099999</c:v>
                </c:pt>
                <c:pt idx="4">
                  <c:v>17496396.5022</c:v>
                </c:pt>
                <c:pt idx="5">
                  <c:v>21388372.273600001</c:v>
                </c:pt>
                <c:pt idx="6">
                  <c:v>24404981.401900001</c:v>
                </c:pt>
                <c:pt idx="7">
                  <c:v>27366657.739</c:v>
                </c:pt>
                <c:pt idx="8">
                  <c:v>30492020.7304</c:v>
                </c:pt>
                <c:pt idx="9">
                  <c:v>33244377.467900001</c:v>
                </c:pt>
                <c:pt idx="10">
                  <c:v>36195829.603200004</c:v>
                </c:pt>
                <c:pt idx="11">
                  <c:v>39640119.181300007</c:v>
                </c:pt>
              </c:numCache>
            </c:numRef>
          </c:val>
          <c:smooth val="0"/>
          <c:extLst>
            <c:ext xmlns:c16="http://schemas.microsoft.com/office/drawing/2014/chart" uri="{C3380CC4-5D6E-409C-BE32-E72D297353CC}">
              <c16:uniqueId val="{00000002-EBF9-4417-9897-6CE36AC4BDBE}"/>
            </c:ext>
          </c:extLst>
        </c:ser>
        <c:ser>
          <c:idx val="3"/>
          <c:order val="3"/>
          <c:tx>
            <c:strRef>
              <c:f>'Exports Dashboard'!$M$84</c:f>
              <c:strCache>
                <c:ptCount val="1"/>
                <c:pt idx="0">
                  <c:v>22/23</c:v>
                </c:pt>
              </c:strCache>
            </c:strRef>
          </c:tx>
          <c:spPr>
            <a:ln w="22225" cap="rnd">
              <a:solidFill>
                <a:schemeClr val="accent4">
                  <a:lumMod val="75000"/>
                </a:schemeClr>
              </a:solidFill>
              <a:round/>
            </a:ln>
            <a:effectLst/>
          </c:spPr>
          <c:marker>
            <c:symbol val="x"/>
            <c:size val="6"/>
            <c:spPr>
              <a:noFill/>
              <a:ln w="9525">
                <a:solidFill>
                  <a:schemeClr val="accent4">
                    <a:lumMod val="75000"/>
                  </a:schemeClr>
                </a:solidFill>
                <a:round/>
              </a:ln>
              <a:effectLst/>
            </c:spPr>
          </c:marker>
          <c:cat>
            <c:strRef>
              <c:f>'Exports Dashboard'!$N$75:$Y$75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'Exports Dashboard'!$N$84:$Y$84</c:f>
              <c:numCache>
                <c:formatCode>#,##0</c:formatCode>
                <c:ptCount val="12"/>
                <c:pt idx="0">
                  <c:v>3589378.1941</c:v>
                </c:pt>
                <c:pt idx="1">
                  <c:v>7173335.7546999995</c:v>
                </c:pt>
                <c:pt idx="2">
                  <c:v>10310425.488899998</c:v>
                </c:pt>
                <c:pt idx="3">
                  <c:v>12901949.144599998</c:v>
                </c:pt>
                <c:pt idx="4">
                  <c:v>15363783.614099998</c:v>
                </c:pt>
                <c:pt idx="5">
                  <c:v>18530419.731899999</c:v>
                </c:pt>
                <c:pt idx="6">
                  <c:v>21026108.4723</c:v>
                </c:pt>
                <c:pt idx="7">
                  <c:v>23694090.0121</c:v>
                </c:pt>
                <c:pt idx="8">
                  <c:v>26352676.219000001</c:v>
                </c:pt>
                <c:pt idx="9">
                  <c:v>29504850.306200001</c:v>
                </c:pt>
                <c:pt idx="10">
                  <c:v>33320481.8937</c:v>
                </c:pt>
                <c:pt idx="11">
                  <c:v>37086397.736299999</c:v>
                </c:pt>
              </c:numCache>
            </c:numRef>
          </c:val>
          <c:smooth val="0"/>
          <c:extLst>
            <c:ext xmlns:c16="http://schemas.microsoft.com/office/drawing/2014/chart" uri="{C3380CC4-5D6E-409C-BE32-E72D297353CC}">
              <c16:uniqueId val="{00000003-EBF9-4417-9897-6CE36AC4BDBE}"/>
            </c:ext>
          </c:extLst>
        </c:ser>
        <c:ser>
          <c:idx val="4"/>
          <c:order val="4"/>
          <c:tx>
            <c:strRef>
              <c:f>'Exports Dashboard'!$M$85</c:f>
              <c:strCache>
                <c:ptCount val="1"/>
                <c:pt idx="0">
                  <c:v>23/24</c:v>
                </c:pt>
              </c:strCache>
            </c:strRef>
          </c:tx>
          <c:spPr>
            <a:ln w="22225" cap="rnd">
              <a:solidFill>
                <a:srgbClr val="FF0000"/>
              </a:solidFill>
              <a:round/>
            </a:ln>
            <a:effectLst/>
          </c:spPr>
          <c:marker>
            <c:symbol val="star"/>
            <c:size val="6"/>
            <c:spPr>
              <a:noFill/>
              <a:ln w="9525">
                <a:solidFill>
                  <a:srgbClr val="FF0000"/>
                </a:solidFill>
                <a:round/>
              </a:ln>
              <a:effectLst/>
            </c:spPr>
          </c:marker>
          <c:cat>
            <c:strRef>
              <c:f>'Exports Dashboard'!$N$75:$Y$75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'Exports Dashboard'!$N$85:$Y$85</c:f>
              <c:numCache>
                <c:formatCode>#,##0</c:formatCode>
                <c:ptCount val="12"/>
                <c:pt idx="0">
                  <c:v>4412709.4688999997</c:v>
                </c:pt>
                <c:pt idx="1">
                  <c:v>8742359.8774999995</c:v>
                </c:pt>
                <c:pt idx="2">
                  <c:v>12928559.6281</c:v>
                </c:pt>
                <c:pt idx="3">
                  <c:v>16927290.209600002</c:v>
                </c:pt>
                <c:pt idx="4">
                  <c:v>20669465.700800002</c:v>
                </c:pt>
                <c:pt idx="5">
                  <c:v>24978081.050100002</c:v>
                </c:pt>
                <c:pt idx="6">
                  <c:v>29254428.556600004</c:v>
                </c:pt>
                <c:pt idx="7">
                  <c:v>33700939.150100008</c:v>
                </c:pt>
                <c:pt idx="8">
                  <c:v>37471646.167200007</c:v>
                </c:pt>
                <c:pt idx="9">
                  <c:v>41353213.205200009</c:v>
                </c:pt>
                <c:pt idx="10">
                  <c:v>45445890.840000011</c:v>
                </c:pt>
                <c:pt idx="11">
                  <c:v>50367574.74530001</c:v>
                </c:pt>
              </c:numCache>
            </c:numRef>
          </c:val>
          <c:smooth val="0"/>
          <c:extLst>
            <c:ext xmlns:c16="http://schemas.microsoft.com/office/drawing/2014/chart" uri="{C3380CC4-5D6E-409C-BE32-E72D297353CC}">
              <c16:uniqueId val="{00000004-EBF9-4417-9897-6CE36AC4BDBE}"/>
            </c:ext>
          </c:extLst>
        </c:ser>
        <c:ser>
          <c:idx val="5"/>
          <c:order val="5"/>
          <c:tx>
            <c:strRef>
              <c:f>'Exports Dashboard'!$M$86</c:f>
              <c:strCache>
                <c:ptCount val="1"/>
                <c:pt idx="0">
                  <c:v>24/25</c:v>
                </c:pt>
              </c:strCache>
            </c:strRef>
          </c:tx>
          <c:spPr>
            <a:ln w="22225" cap="rnd">
              <a:solidFill>
                <a:schemeClr val="tx1"/>
              </a:solidFill>
              <a:round/>
            </a:ln>
            <a:effectLst/>
          </c:spPr>
          <c:marker>
            <c:symbol val="circle"/>
            <c:size val="6"/>
            <c:spPr>
              <a:solidFill>
                <a:srgbClr val="FFFF00"/>
              </a:solidFill>
              <a:ln w="9525">
                <a:solidFill>
                  <a:schemeClr val="tx1"/>
                </a:solidFill>
                <a:round/>
              </a:ln>
              <a:effectLst/>
            </c:spPr>
          </c:marker>
          <c:cat>
            <c:strRef>
              <c:f>'Exports Dashboard'!$N$75:$Y$75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'Exports Dashboard'!$N$86:$Y$86</c:f>
              <c:numCache>
                <c:formatCode>#,##0</c:formatCode>
                <c:ptCount val="12"/>
                <c:pt idx="0">
                  <c:v>5112274.1502</c:v>
                </c:pt>
                <c:pt idx="1">
                  <c:v>9435991.2492999993</c:v>
                </c:pt>
                <c:pt idx="2">
                  <c:v>13308433.162</c:v>
                </c:pt>
                <c:pt idx="3">
                  <c:v>17078505.726399999</c:v>
                </c:pt>
                <c:pt idx="4">
                  <c:v>20396256.904799998</c:v>
                </c:pt>
                <c:pt idx="5">
                  <c:v>23463778.155099999</c:v>
                </c:pt>
                <c:pt idx="6">
                  <c:v>26314888.495299999</c:v>
                </c:pt>
                <c:pt idx="7">
                  <c:v>29369183.8631</c:v>
                </c:pt>
                <c:pt idx="8">
                  <c:v>31977371.455699999</c:v>
                </c:pt>
                <c:pt idx="9">
                  <c:v>34875684.653300002</c:v>
                </c:pt>
                <c:pt idx="10">
                  <c:v>38120349.391900003</c:v>
                </c:pt>
                <c:pt idx="11">
                  <c:v>42161137.771500006</c:v>
                </c:pt>
              </c:numCache>
            </c:numRef>
          </c:val>
          <c:smooth val="0"/>
          <c:extLst>
            <c:ext xmlns:c16="http://schemas.microsoft.com/office/drawing/2014/chart" uri="{C3380CC4-5D6E-409C-BE32-E72D297353CC}">
              <c16:uniqueId val="{00000005-EBF9-4417-9897-6CE36AC4BDBE}"/>
            </c:ext>
          </c:extLst>
        </c:ser>
        <c:ser>
          <c:idx val="6"/>
          <c:order val="6"/>
          <c:tx>
            <c:strRef>
              <c:f>'Exports Dashboard'!$M$87</c:f>
              <c:strCache>
                <c:ptCount val="1"/>
                <c:pt idx="0">
                  <c:v>25/26</c:v>
                </c:pt>
              </c:strCache>
            </c:strRef>
          </c:tx>
          <c:spPr>
            <a:ln w="22225" cap="rnd">
              <a:solidFill>
                <a:schemeClr val="accent1">
                  <a:lumMod val="60000"/>
                </a:schemeClr>
              </a:solidFill>
              <a:round/>
            </a:ln>
            <a:effectLst/>
          </c:spPr>
          <c:marker>
            <c:symbol val="plus"/>
            <c:size val="6"/>
            <c:spPr>
              <a:noFill/>
              <a:ln w="9525">
                <a:solidFill>
                  <a:schemeClr val="accent1">
                    <a:lumMod val="60000"/>
                  </a:schemeClr>
                </a:solidFill>
                <a:round/>
              </a:ln>
              <a:effectLst/>
            </c:spPr>
          </c:marker>
          <c:cat>
            <c:strRef>
              <c:f>'Exports Dashboard'!$N$75:$Y$75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'Exports Dashboard'!$N$87:$Y$87</c:f>
              <c:numCache>
                <c:formatCode>#,##0</c:formatCode>
                <c:ptCount val="12"/>
                <c:pt idx="0">
                  <c:v>4261080.5694000004</c:v>
                </c:pt>
                <c:pt idx="1">
                  <c:v>7911584.5658</c:v>
                </c:pt>
                <c:pt idx="2">
                  <c:v>11080787.318399999</c:v>
                </c:pt>
                <c:pt idx="3">
                  <c:v>13888863.0429</c:v>
                </c:pt>
                <c:pt idx="4">
                  <c:v>16506982.881099999</c:v>
                </c:pt>
                <c:pt idx="5">
                  <c:v>19565921.465700001</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6-EBF9-4417-9897-6CE36AC4BDBE}"/>
            </c:ext>
          </c:extLst>
        </c:ser>
        <c:dLbls>
          <c:showLegendKey val="0"/>
          <c:showVal val="0"/>
          <c:showCatName val="0"/>
          <c:showSerName val="0"/>
          <c:showPercent val="0"/>
          <c:showBubbleSize val="0"/>
        </c:dLbls>
        <c:marker val="1"/>
        <c:smooth val="0"/>
        <c:axId val="320544208"/>
        <c:axId val="320532208"/>
      </c:lineChart>
      <c:catAx>
        <c:axId val="320544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20532208"/>
        <c:crosses val="autoZero"/>
        <c:auto val="1"/>
        <c:lblAlgn val="ctr"/>
        <c:lblOffset val="100"/>
        <c:noMultiLvlLbl val="0"/>
      </c:catAx>
      <c:valAx>
        <c:axId val="320532208"/>
        <c:scaling>
          <c:orientation val="minMax"/>
        </c:scaling>
        <c:delete val="0"/>
        <c:axPos val="l"/>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5442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hyperlink" Target="https://db.ico.org/MonthlyTradeStatistics/Index" TargetMode="Externa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Menu!A1"/><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22</xdr:col>
      <xdr:colOff>269389</xdr:colOff>
      <xdr:row>12</xdr:row>
      <xdr:rowOff>84492</xdr:rowOff>
    </xdr:from>
    <xdr:to>
      <xdr:col>24</xdr:col>
      <xdr:colOff>403860</xdr:colOff>
      <xdr:row>26</xdr:row>
      <xdr:rowOff>35747</xdr:rowOff>
    </xdr:to>
    <mc:AlternateContent xmlns:mc="http://schemas.openxmlformats.org/markup-compatibility/2006" xmlns:a14="http://schemas.microsoft.com/office/drawing/2010/main">
      <mc:Choice Requires="a14">
        <xdr:graphicFrame macro="">
          <xdr:nvGraphicFramePr>
            <xdr:cNvPr id="2" name="Origin">
              <a:extLst>
                <a:ext uri="{FF2B5EF4-FFF2-40B4-BE49-F238E27FC236}">
                  <a16:creationId xmlns:a16="http://schemas.microsoft.com/office/drawing/2014/main" id="{D722BEA3-0E8F-593E-BFAD-FA3517B65A0E}"/>
                </a:ext>
              </a:extLst>
            </xdr:cNvPr>
            <xdr:cNvGraphicFramePr/>
          </xdr:nvGraphicFramePr>
          <xdr:xfrm>
            <a:off x="0" y="0"/>
            <a:ext cx="0" cy="0"/>
          </xdr:xfrm>
          <a:graphic>
            <a:graphicData uri="http://schemas.microsoft.com/office/drawing/2010/slicer">
              <sle:slicer xmlns:sle="http://schemas.microsoft.com/office/drawing/2010/slicer" name="Origin"/>
            </a:graphicData>
          </a:graphic>
        </xdr:graphicFrame>
      </mc:Choice>
      <mc:Fallback xmlns="">
        <xdr:sp macro="" textlink="">
          <xdr:nvSpPr>
            <xdr:cNvPr id="0" name=""/>
            <xdr:cNvSpPr>
              <a:spLocks noTextEdit="1"/>
            </xdr:cNvSpPr>
          </xdr:nvSpPr>
          <xdr:spPr>
            <a:xfrm>
              <a:off x="15262860" y="228981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550051</xdr:colOff>
      <xdr:row>20</xdr:row>
      <xdr:rowOff>104377</xdr:rowOff>
    </xdr:from>
    <xdr:to>
      <xdr:col>8</xdr:col>
      <xdr:colOff>97972</xdr:colOff>
      <xdr:row>34</xdr:row>
      <xdr:rowOff>174173</xdr:rowOff>
    </xdr:to>
    <xdr:graphicFrame macro="">
      <xdr:nvGraphicFramePr>
        <xdr:cNvPr id="2" name="Chart 1">
          <a:extLst>
            <a:ext uri="{FF2B5EF4-FFF2-40B4-BE49-F238E27FC236}">
              <a16:creationId xmlns:a16="http://schemas.microsoft.com/office/drawing/2014/main" id="{7553281A-58FD-469F-A148-8D3E70D77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536922</xdr:colOff>
      <xdr:row>35</xdr:row>
      <xdr:rowOff>76199</xdr:rowOff>
    </xdr:from>
    <xdr:to>
      <xdr:col>8</xdr:col>
      <xdr:colOff>59871</xdr:colOff>
      <xdr:row>49</xdr:row>
      <xdr:rowOff>103413</xdr:rowOff>
    </xdr:to>
    <xdr:graphicFrame macro="">
      <xdr:nvGraphicFramePr>
        <xdr:cNvPr id="3" name="Chart 2">
          <a:extLst>
            <a:ext uri="{FF2B5EF4-FFF2-40B4-BE49-F238E27FC236}">
              <a16:creationId xmlns:a16="http://schemas.microsoft.com/office/drawing/2014/main" id="{7A8264E4-FD53-44FA-B0F3-396BEB9591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163285</xdr:colOff>
      <xdr:row>35</xdr:row>
      <xdr:rowOff>88716</xdr:rowOff>
    </xdr:from>
    <xdr:to>
      <xdr:col>14</xdr:col>
      <xdr:colOff>342899</xdr:colOff>
      <xdr:row>49</xdr:row>
      <xdr:rowOff>108856</xdr:rowOff>
    </xdr:to>
    <xdr:graphicFrame macro="">
      <xdr:nvGraphicFramePr>
        <xdr:cNvPr id="4" name="Chart 3">
          <a:extLst>
            <a:ext uri="{FF2B5EF4-FFF2-40B4-BE49-F238E27FC236}">
              <a16:creationId xmlns:a16="http://schemas.microsoft.com/office/drawing/2014/main" id="{69BD11B7-F86F-4D9F-9FF1-C084C02B9C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141514</xdr:colOff>
      <xdr:row>20</xdr:row>
      <xdr:rowOff>136072</xdr:rowOff>
    </xdr:from>
    <xdr:to>
      <xdr:col>14</xdr:col>
      <xdr:colOff>326570</xdr:colOff>
      <xdr:row>35</xdr:row>
      <xdr:rowOff>5442</xdr:rowOff>
    </xdr:to>
    <xdr:graphicFrame macro="">
      <xdr:nvGraphicFramePr>
        <xdr:cNvPr id="5" name="Chart 4">
          <a:extLst>
            <a:ext uri="{FF2B5EF4-FFF2-40B4-BE49-F238E27FC236}">
              <a16:creationId xmlns:a16="http://schemas.microsoft.com/office/drawing/2014/main" id="{E8EA736C-27F0-4874-8CBE-3CBA701F9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446315</xdr:colOff>
      <xdr:row>20</xdr:row>
      <xdr:rowOff>174171</xdr:rowOff>
    </xdr:from>
    <xdr:to>
      <xdr:col>21</xdr:col>
      <xdr:colOff>587829</xdr:colOff>
      <xdr:row>49</xdr:row>
      <xdr:rowOff>103413</xdr:rowOff>
    </xdr:to>
    <xdr:graphicFrame macro="">
      <xdr:nvGraphicFramePr>
        <xdr:cNvPr id="6" name="Chart 5">
          <a:extLst>
            <a:ext uri="{FF2B5EF4-FFF2-40B4-BE49-F238E27FC236}">
              <a16:creationId xmlns:a16="http://schemas.microsoft.com/office/drawing/2014/main" id="{4CB8B0A5-AC44-42F1-97E8-C4155441A0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576943</xdr:colOff>
      <xdr:row>0</xdr:row>
      <xdr:rowOff>70757</xdr:rowOff>
    </xdr:from>
    <xdr:to>
      <xdr:col>2</xdr:col>
      <xdr:colOff>59872</xdr:colOff>
      <xdr:row>1</xdr:row>
      <xdr:rowOff>119743</xdr:rowOff>
    </xdr:to>
    <xdr:sp macro="" textlink="">
      <xdr:nvSpPr>
        <xdr:cNvPr id="7" name="Arrow: Left 6">
          <a:hlinkClick xmlns:r="http://schemas.openxmlformats.org/officeDocument/2006/relationships" r:id="rId6"/>
          <a:extLst>
            <a:ext uri="{FF2B5EF4-FFF2-40B4-BE49-F238E27FC236}">
              <a16:creationId xmlns:a16="http://schemas.microsoft.com/office/drawing/2014/main" id="{A41D566A-6EDD-4636-8BAA-77386FAA04B8}"/>
            </a:ext>
          </a:extLst>
        </xdr:cNvPr>
        <xdr:cNvSpPr/>
      </xdr:nvSpPr>
      <xdr:spPr>
        <a:xfrm>
          <a:off x="573133" y="74567"/>
          <a:ext cx="759279" cy="365216"/>
        </a:xfrm>
        <a:prstGeom prst="leftArrow">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19</xdr:col>
      <xdr:colOff>598715</xdr:colOff>
      <xdr:row>0</xdr:row>
      <xdr:rowOff>125185</xdr:rowOff>
    </xdr:from>
    <xdr:to>
      <xdr:col>21</xdr:col>
      <xdr:colOff>457201</xdr:colOff>
      <xdr:row>1</xdr:row>
      <xdr:rowOff>103414</xdr:rowOff>
    </xdr:to>
    <xdr:sp macro="" textlink="">
      <xdr:nvSpPr>
        <xdr:cNvPr id="8" name="Rectangle: Rounded Corners 7">
          <a:hlinkClick xmlns:r="http://schemas.openxmlformats.org/officeDocument/2006/relationships" r:id="rId7"/>
          <a:extLst>
            <a:ext uri="{FF2B5EF4-FFF2-40B4-BE49-F238E27FC236}">
              <a16:creationId xmlns:a16="http://schemas.microsoft.com/office/drawing/2014/main" id="{55A56FFA-09DB-4EA7-A154-088CD977B8EF}"/>
            </a:ext>
          </a:extLst>
        </xdr:cNvPr>
        <xdr:cNvSpPr/>
      </xdr:nvSpPr>
      <xdr:spPr>
        <a:xfrm>
          <a:off x="14802395" y="123280"/>
          <a:ext cx="1361531" cy="305889"/>
        </a:xfrm>
        <a:prstGeom prst="roundRect">
          <a:avLst/>
        </a:prstGeom>
        <a:solidFill>
          <a:schemeClr val="accent4">
            <a:lumMod val="20000"/>
            <a:lumOff val="8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kern="1200">
              <a:solidFill>
                <a:schemeClr val="accent4">
                  <a:lumMod val="50000"/>
                </a:schemeClr>
              </a:solidFill>
            </a:rPr>
            <a:t>Link To Source</a:t>
          </a:r>
        </a:p>
      </xdr:txBody>
    </xdr:sp>
    <xdr:clientData/>
  </xdr:twoCellAnchor>
  <xdr:twoCellAnchor editAs="oneCell">
    <xdr:from>
      <xdr:col>22</xdr:col>
      <xdr:colOff>244928</xdr:colOff>
      <xdr:row>5</xdr:row>
      <xdr:rowOff>10885</xdr:rowOff>
    </xdr:from>
    <xdr:to>
      <xdr:col>27</xdr:col>
      <xdr:colOff>97971</xdr:colOff>
      <xdr:row>49</xdr:row>
      <xdr:rowOff>43541</xdr:rowOff>
    </xdr:to>
    <mc:AlternateContent xmlns:mc="http://schemas.openxmlformats.org/markup-compatibility/2006" xmlns:a14="http://schemas.microsoft.com/office/drawing/2010/main">
      <mc:Choice Requires="a14">
        <xdr:graphicFrame macro="">
          <xdr:nvGraphicFramePr>
            <xdr:cNvPr id="9" name="Origin 1">
              <a:extLst>
                <a:ext uri="{FF2B5EF4-FFF2-40B4-BE49-F238E27FC236}">
                  <a16:creationId xmlns:a16="http://schemas.microsoft.com/office/drawing/2014/main" id="{2304A620-2800-4AEE-9FB0-010295C46C6C}"/>
                </a:ext>
              </a:extLst>
            </xdr:cNvPr>
            <xdr:cNvGraphicFramePr/>
          </xdr:nvGraphicFramePr>
          <xdr:xfrm>
            <a:off x="0" y="0"/>
            <a:ext cx="0" cy="0"/>
          </xdr:xfrm>
          <a:graphic>
            <a:graphicData uri="http://schemas.microsoft.com/office/drawing/2010/slicer">
              <sle:slicer xmlns:sle="http://schemas.microsoft.com/office/drawing/2010/slicer" name="Origin 1"/>
            </a:graphicData>
          </a:graphic>
        </xdr:graphicFrame>
      </mc:Choice>
      <mc:Fallback xmlns="">
        <xdr:sp macro="" textlink="">
          <xdr:nvSpPr>
            <xdr:cNvPr id="0" name=""/>
            <xdr:cNvSpPr>
              <a:spLocks noTextEdit="1"/>
            </xdr:cNvSpPr>
          </xdr:nvSpPr>
          <xdr:spPr>
            <a:xfrm>
              <a:off x="16622485" y="952499"/>
              <a:ext cx="3374572" cy="81751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rat Arya" refreshedDate="46163.604053703704" createdVersion="8" refreshedVersion="8" minRefreshableVersion="3" recordCount="7253" xr:uid="{53541024-BCE6-4625-ACC6-BEBECF052917}">
  <cacheSource type="worksheet">
    <worksheetSource name="Monthly_Exports"/>
  </cacheSource>
  <cacheFields count="6">
    <cacheField name="Source" numFmtId="0">
      <sharedItems/>
    </cacheField>
    <cacheField name="Origin" numFmtId="0">
      <sharedItems count="60">
        <s v="Total"/>
        <s v="Colombian Milds"/>
        <s v="Other Milds"/>
        <s v="Brazilian Naturals"/>
        <s v="Robustas"/>
        <s v="Angola"/>
        <s v="Bolivia (Plurinational State of)"/>
        <s v="Brazil"/>
        <s v="Burundi"/>
        <s v="Cameroon"/>
        <s v="Central African Republic"/>
        <s v="Colombia"/>
        <s v="Congo"/>
        <s v="Costa Rica"/>
        <s v="Côte d'Ivoire"/>
        <s v="Cuba"/>
        <s v="Democratic Republic of Congo"/>
        <s v="Dominican Republic"/>
        <s v="Ecuador"/>
        <s v="El Salvador"/>
        <s v="Equatorial Guinea"/>
        <s v="Ethiopia"/>
        <s v="Gabon"/>
        <s v="Ghana"/>
        <s v="Guatemala"/>
        <s v="Guinea"/>
        <s v="Guyana"/>
        <s v="Haiti"/>
        <s v="Honduras"/>
        <s v="India"/>
        <s v="Indonesia"/>
        <s v="Jamaica"/>
        <s v="Kenya"/>
        <s v="Lao People's Democratic Republic"/>
        <s v="Liberia"/>
        <s v="Madagascar"/>
        <s v="Malawi"/>
        <s v="Mexico"/>
        <s v="Nepal"/>
        <s v="Nicaragua"/>
        <s v="Nigeria"/>
        <s v="Panama"/>
        <s v="Papua New Guinea"/>
        <s v="Paraguay"/>
        <s v="Peru"/>
        <s v="Philippines"/>
        <s v="Rwanda"/>
        <s v="Sierra Leone"/>
        <s v="Sri Lanka"/>
        <s v="Tanzania"/>
        <s v="Thailand"/>
        <s v="Timor-Leste"/>
        <s v="Togo"/>
        <s v="Trinidad &amp; Tobago"/>
        <s v="Uganda"/>
        <s v="Venezuela"/>
        <s v="Viet Nam"/>
        <s v="Yemen"/>
        <s v="Zambia"/>
        <s v="Zimbabwe"/>
      </sharedItems>
    </cacheField>
    <cacheField name="GBE" numFmtId="0">
      <sharedItems containsSemiMixedTypes="0" containsString="0" containsNumber="1" minValue="0" maxValue="13589607.434"/>
    </cacheField>
    <cacheField name="Custom" numFmtId="0">
      <sharedItems/>
    </cacheField>
    <cacheField name="Year" numFmtId="0">
      <sharedItems containsSemiMixedTypes="0" containsString="0" containsNumber="1" containsInteger="1" minValue="2016" maxValue="2026" count="11">
        <n v="2016"/>
        <n v="2017"/>
        <n v="2018"/>
        <n v="2019"/>
        <n v="2020"/>
        <n v="2021"/>
        <n v="2022"/>
        <n v="2023"/>
        <n v="2024"/>
        <n v="2025"/>
        <n v="2026"/>
      </sharedItems>
    </cacheField>
    <cacheField name="Month" numFmtId="0">
      <sharedItems containsSemiMixedTypes="0" containsString="0" containsNumber="1" containsInteger="1" minValue="1" maxValue="12" count="12">
        <n v="1"/>
        <n v="2"/>
        <n v="3"/>
        <n v="4"/>
        <n v="5"/>
        <n v="6"/>
        <n v="7"/>
        <n v="8"/>
        <n v="9"/>
        <n v="10"/>
        <n v="11"/>
        <n v="12"/>
      </sharedItems>
    </cacheField>
  </cacheFields>
  <extLst>
    <ext xmlns:x14="http://schemas.microsoft.com/office/spreadsheetml/2009/9/main" uri="{725AE2AE-9491-48be-B2B4-4EB974FC3084}">
      <x14:pivotCacheDefinition pivotCacheId="1917644299"/>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53">
  <r>
    <s v="MonthlyTradeStatistics 2016_01.xlsx"/>
    <x v="0"/>
    <n v="9861975.9419"/>
    <s v="2016_01.xlsx"/>
    <x v="0"/>
    <x v="0"/>
  </r>
  <r>
    <s v="MonthlyTradeStatistics 2016_01.xlsx"/>
    <x v="1"/>
    <n v="1182143.7294000001"/>
    <s v="2016_01.xlsx"/>
    <x v="0"/>
    <x v="0"/>
  </r>
  <r>
    <s v="MonthlyTradeStatistics 2016_01.xlsx"/>
    <x v="2"/>
    <n v="1672020.7235999999"/>
    <s v="2016_01.xlsx"/>
    <x v="0"/>
    <x v="0"/>
  </r>
  <r>
    <s v="MonthlyTradeStatistics 2016_01.xlsx"/>
    <x v="3"/>
    <n v="2865661.3092"/>
    <s v="2016_01.xlsx"/>
    <x v="0"/>
    <x v="0"/>
  </r>
  <r>
    <s v="MonthlyTradeStatistics 2016_01.xlsx"/>
    <x v="4"/>
    <n v="4142150.1797000002"/>
    <s v="2016_01.xlsx"/>
    <x v="0"/>
    <x v="0"/>
  </r>
  <r>
    <s v="MonthlyTradeStatistics 2016_01.xlsx"/>
    <x v="5"/>
    <n v="600"/>
    <s v="2016_01.xlsx"/>
    <x v="0"/>
    <x v="0"/>
  </r>
  <r>
    <s v="MonthlyTradeStatistics 2016_01.xlsx"/>
    <x v="6"/>
    <n v="3759.3833"/>
    <s v="2016_01.xlsx"/>
    <x v="0"/>
    <x v="0"/>
  </r>
  <r>
    <s v="MonthlyTradeStatistics 2016_01.xlsx"/>
    <x v="7"/>
    <n v="2808927.753"/>
    <s v="2016_01.xlsx"/>
    <x v="0"/>
    <x v="0"/>
  </r>
  <r>
    <s v="MonthlyTradeStatistics 2016_01.xlsx"/>
    <x v="8"/>
    <n v="21932.3138"/>
    <s v="2016_01.xlsx"/>
    <x v="0"/>
    <x v="0"/>
  </r>
  <r>
    <s v="MonthlyTradeStatistics 2016_01.xlsx"/>
    <x v="9"/>
    <n v="5300"/>
    <s v="2016_01.xlsx"/>
    <x v="0"/>
    <x v="0"/>
  </r>
  <r>
    <s v="MonthlyTradeStatistics 2016_01.xlsx"/>
    <x v="10"/>
    <n v="11107"/>
    <s v="2016_01.xlsx"/>
    <x v="0"/>
    <x v="0"/>
  </r>
  <r>
    <s v="MonthlyTradeStatistics 2016_01.xlsx"/>
    <x v="11"/>
    <n v="1098487.4094"/>
    <s v="2016_01.xlsx"/>
    <x v="0"/>
    <x v="0"/>
  </r>
  <r>
    <s v="MonthlyTradeStatistics 2016_01.xlsx"/>
    <x v="12"/>
    <n v="0"/>
    <s v="2016_01.xlsx"/>
    <x v="0"/>
    <x v="0"/>
  </r>
  <r>
    <s v="MonthlyTradeStatistics 2016_01.xlsx"/>
    <x v="13"/>
    <n v="66346.316699999996"/>
    <s v="2016_01.xlsx"/>
    <x v="0"/>
    <x v="0"/>
  </r>
  <r>
    <s v="MonthlyTradeStatistics 2016_01.xlsx"/>
    <x v="14"/>
    <n v="113243.1001"/>
    <s v="2016_01.xlsx"/>
    <x v="0"/>
    <x v="0"/>
  </r>
  <r>
    <s v="MonthlyTradeStatistics 2016_01.xlsx"/>
    <x v="15"/>
    <n v="6452"/>
    <s v="2016_01.xlsx"/>
    <x v="0"/>
    <x v="0"/>
  </r>
  <r>
    <s v="MonthlyTradeStatistics 2016_01.xlsx"/>
    <x v="16"/>
    <n v="7930"/>
    <s v="2016_01.xlsx"/>
    <x v="0"/>
    <x v="0"/>
  </r>
  <r>
    <s v="MonthlyTradeStatistics 2016_01.xlsx"/>
    <x v="17"/>
    <n v="1683.6111000000001"/>
    <s v="2016_01.xlsx"/>
    <x v="0"/>
    <x v="0"/>
  </r>
  <r>
    <s v="MonthlyTradeStatistics 2016_01.xlsx"/>
    <x v="18"/>
    <n v="53830.284800000001"/>
    <s v="2016_01.xlsx"/>
    <x v="0"/>
    <x v="0"/>
  </r>
  <r>
    <s v="MonthlyTradeStatistics 2016_01.xlsx"/>
    <x v="19"/>
    <n v="30263.7202"/>
    <s v="2016_01.xlsx"/>
    <x v="0"/>
    <x v="0"/>
  </r>
  <r>
    <s v="MonthlyTradeStatistics 2016_01.xlsx"/>
    <x v="20"/>
    <n v="0"/>
    <s v="2016_01.xlsx"/>
    <x v="0"/>
    <x v="0"/>
  </r>
  <r>
    <s v="MonthlyTradeStatistics 2016_01.xlsx"/>
    <x v="21"/>
    <n v="141722"/>
    <s v="2016_01.xlsx"/>
    <x v="0"/>
    <x v="0"/>
  </r>
  <r>
    <s v="MonthlyTradeStatistics 2016_01.xlsx"/>
    <x v="22"/>
    <n v="0"/>
    <s v="2016_01.xlsx"/>
    <x v="0"/>
    <x v="0"/>
  </r>
  <r>
    <s v="MonthlyTradeStatistics 2016_01.xlsx"/>
    <x v="23"/>
    <n v="1634.1953000000001"/>
    <s v="2016_01.xlsx"/>
    <x v="0"/>
    <x v="0"/>
  </r>
  <r>
    <s v="MonthlyTradeStatistics 2016_01.xlsx"/>
    <x v="24"/>
    <n v="189981.05720000001"/>
    <s v="2016_01.xlsx"/>
    <x v="0"/>
    <x v="0"/>
  </r>
  <r>
    <s v="MonthlyTradeStatistics 2016_01.xlsx"/>
    <x v="25"/>
    <n v="21067.141299999999"/>
    <s v="2016_01.xlsx"/>
    <x v="0"/>
    <x v="0"/>
  </r>
  <r>
    <s v="MonthlyTradeStatistics 2016_01.xlsx"/>
    <x v="26"/>
    <n v="2.2967"/>
    <s v="2016_01.xlsx"/>
    <x v="0"/>
    <x v="0"/>
  </r>
  <r>
    <s v="MonthlyTradeStatistics 2016_01.xlsx"/>
    <x v="27"/>
    <n v="15.889799999999999"/>
    <s v="2016_01.xlsx"/>
    <x v="0"/>
    <x v="0"/>
  </r>
  <r>
    <s v="MonthlyTradeStatistics 2016_01.xlsx"/>
    <x v="28"/>
    <n v="580080.14800000004"/>
    <s v="2016_01.xlsx"/>
    <x v="0"/>
    <x v="0"/>
  </r>
  <r>
    <s v="MonthlyTradeStatistics 2016_01.xlsx"/>
    <x v="29"/>
    <n v="369335.48499999999"/>
    <s v="2016_01.xlsx"/>
    <x v="0"/>
    <x v="0"/>
  </r>
  <r>
    <s v="MonthlyTradeStatistics 2016_01.xlsx"/>
    <x v="30"/>
    <n v="408710.09600000002"/>
    <s v="2016_01.xlsx"/>
    <x v="0"/>
    <x v="0"/>
  </r>
  <r>
    <s v="MonthlyTradeStatistics 2016_01.xlsx"/>
    <x v="31"/>
    <n v="538.94870000000003"/>
    <s v="2016_01.xlsx"/>
    <x v="0"/>
    <x v="0"/>
  </r>
  <r>
    <s v="MonthlyTradeStatistics 2016_01.xlsx"/>
    <x v="32"/>
    <n v="31752.37"/>
    <s v="2016_01.xlsx"/>
    <x v="0"/>
    <x v="0"/>
  </r>
  <r>
    <s v="MonthlyTradeStatistics 2016_01.xlsx"/>
    <x v="33"/>
    <n v="15583.8349"/>
    <s v="2016_01.xlsx"/>
    <x v="0"/>
    <x v="0"/>
  </r>
  <r>
    <s v="MonthlyTradeStatistics 2016_01.xlsx"/>
    <x v="34"/>
    <n v="1275"/>
    <s v="2016_01.xlsx"/>
    <x v="0"/>
    <x v="0"/>
  </r>
  <r>
    <s v="MonthlyTradeStatistics 2016_01.xlsx"/>
    <x v="35"/>
    <n v="1878.9025999999999"/>
    <s v="2016_01.xlsx"/>
    <x v="0"/>
    <x v="0"/>
  </r>
  <r>
    <s v="MonthlyTradeStatistics 2016_01.xlsx"/>
    <x v="36"/>
    <n v="4403.2578999999996"/>
    <s v="2016_01.xlsx"/>
    <x v="0"/>
    <x v="0"/>
  </r>
  <r>
    <s v="MonthlyTradeStatistics 2016_01.xlsx"/>
    <x v="37"/>
    <n v="152521.1349"/>
    <s v="2016_01.xlsx"/>
    <x v="0"/>
    <x v="0"/>
  </r>
  <r>
    <s v="MonthlyTradeStatistics 2016_01.xlsx"/>
    <x v="38"/>
    <n v="173.3751"/>
    <s v="2016_01.xlsx"/>
    <x v="0"/>
    <x v="0"/>
  </r>
  <r>
    <s v="MonthlyTradeStatistics 2016_01.xlsx"/>
    <x v="39"/>
    <n v="113166.7742"/>
    <s v="2016_01.xlsx"/>
    <x v="0"/>
    <x v="0"/>
  </r>
  <r>
    <s v="MonthlyTradeStatistics 2016_01.xlsx"/>
    <x v="40"/>
    <n v="0"/>
    <s v="2016_01.xlsx"/>
    <x v="0"/>
    <x v="0"/>
  </r>
  <r>
    <s v="MonthlyTradeStatistics 2016_01.xlsx"/>
    <x v="41"/>
    <n v="2807.3845000000001"/>
    <s v="2016_01.xlsx"/>
    <x v="0"/>
    <x v="0"/>
  </r>
  <r>
    <s v="MonthlyTradeStatistics 2016_01.xlsx"/>
    <x v="42"/>
    <n v="29139"/>
    <s v="2016_01.xlsx"/>
    <x v="0"/>
    <x v="0"/>
  </r>
  <r>
    <s v="MonthlyTradeStatistics 2016_01.xlsx"/>
    <x v="43"/>
    <n v="0"/>
    <s v="2016_01.xlsx"/>
    <x v="0"/>
    <x v="0"/>
  </r>
  <r>
    <s v="MonthlyTradeStatistics 2016_01.xlsx"/>
    <x v="44"/>
    <n v="160783.91"/>
    <s v="2016_01.xlsx"/>
    <x v="0"/>
    <x v="0"/>
  </r>
  <r>
    <s v="MonthlyTradeStatistics 2016_01.xlsx"/>
    <x v="45"/>
    <n v="722.3596"/>
    <s v="2016_01.xlsx"/>
    <x v="0"/>
    <x v="0"/>
  </r>
  <r>
    <s v="MonthlyTradeStatistics 2016_01.xlsx"/>
    <x v="46"/>
    <n v="17887.0458"/>
    <s v="2016_01.xlsx"/>
    <x v="0"/>
    <x v="0"/>
  </r>
  <r>
    <s v="MonthlyTradeStatistics 2016_01.xlsx"/>
    <x v="47"/>
    <n v="1806.0101999999999"/>
    <s v="2016_01.xlsx"/>
    <x v="0"/>
    <x v="0"/>
  </r>
  <r>
    <s v="MonthlyTradeStatistics 2016_01.xlsx"/>
    <x v="48"/>
    <n v="115.7966"/>
    <s v="2016_01.xlsx"/>
    <x v="0"/>
    <x v="0"/>
  </r>
  <r>
    <s v="MonthlyTradeStatistics 2016_01.xlsx"/>
    <x v="49"/>
    <n v="86914.880000000005"/>
    <s v="2016_01.xlsx"/>
    <x v="0"/>
    <x v="0"/>
  </r>
  <r>
    <s v="MonthlyTradeStatistics 2016_01.xlsx"/>
    <x v="50"/>
    <n v="10280.138300000001"/>
    <s v="2016_01.xlsx"/>
    <x v="0"/>
    <x v="0"/>
  </r>
  <r>
    <s v="MonthlyTradeStatistics 2016_01.xlsx"/>
    <x v="51"/>
    <n v="2950.7258000000002"/>
    <s v="2016_01.xlsx"/>
    <x v="0"/>
    <x v="0"/>
  </r>
  <r>
    <s v="MonthlyTradeStatistics 2016_01.xlsx"/>
    <x v="52"/>
    <n v="600"/>
    <s v="2016_01.xlsx"/>
    <x v="0"/>
    <x v="0"/>
  </r>
  <r>
    <s v="MonthlyTradeStatistics 2016_01.xlsx"/>
    <x v="53"/>
    <n v="83.003299999999996"/>
    <s v="2016_01.xlsx"/>
    <x v="0"/>
    <x v="0"/>
  </r>
  <r>
    <s v="MonthlyTradeStatistics 2016_01.xlsx"/>
    <x v="54"/>
    <n v="334727"/>
    <s v="2016_01.xlsx"/>
    <x v="0"/>
    <x v="0"/>
  </r>
  <r>
    <s v="MonthlyTradeStatistics 2016_01.xlsx"/>
    <x v="55"/>
    <n v="0"/>
    <s v="2016_01.xlsx"/>
    <x v="0"/>
    <x v="0"/>
  </r>
  <r>
    <s v="MonthlyTradeStatistics 2016_01.xlsx"/>
    <x v="56"/>
    <n v="2944269.5035000001"/>
    <s v="2016_01.xlsx"/>
    <x v="0"/>
    <x v="0"/>
  </r>
  <r>
    <s v="MonthlyTradeStatistics 2016_01.xlsx"/>
    <x v="57"/>
    <n v="3799.7251000000001"/>
    <s v="2016_01.xlsx"/>
    <x v="0"/>
    <x v="0"/>
  </r>
  <r>
    <s v="MonthlyTradeStatistics 2016_01.xlsx"/>
    <x v="58"/>
    <n v="381.10969999999998"/>
    <s v="2016_01.xlsx"/>
    <x v="0"/>
    <x v="0"/>
  </r>
  <r>
    <s v="MonthlyTradeStatistics 2016_01.xlsx"/>
    <x v="59"/>
    <n v="1003.5495"/>
    <s v="2016_01.xlsx"/>
    <x v="0"/>
    <x v="0"/>
  </r>
  <r>
    <s v="MonthlyTradeStatistics 2016_02.xlsx"/>
    <x v="0"/>
    <n v="9708590.8110000007"/>
    <s v="2016_02.xlsx"/>
    <x v="0"/>
    <x v="1"/>
  </r>
  <r>
    <s v="MonthlyTradeStatistics 2016_02.xlsx"/>
    <x v="1"/>
    <n v="1230264.7823000001"/>
    <s v="2016_02.xlsx"/>
    <x v="0"/>
    <x v="1"/>
  </r>
  <r>
    <s v="MonthlyTradeStatistics 2016_02.xlsx"/>
    <x v="2"/>
    <n v="2094779.1851999999"/>
    <s v="2016_02.xlsx"/>
    <x v="0"/>
    <x v="1"/>
  </r>
  <r>
    <s v="MonthlyTradeStatistics 2016_02.xlsx"/>
    <x v="3"/>
    <n v="2957240.9607000002"/>
    <s v="2016_02.xlsx"/>
    <x v="0"/>
    <x v="1"/>
  </r>
  <r>
    <s v="MonthlyTradeStatistics 2016_02.xlsx"/>
    <x v="4"/>
    <n v="3426305.8827999998"/>
    <s v="2016_02.xlsx"/>
    <x v="0"/>
    <x v="1"/>
  </r>
  <r>
    <s v="MonthlyTradeStatistics 2016_02.xlsx"/>
    <x v="5"/>
    <n v="0"/>
    <s v="2016_02.xlsx"/>
    <x v="0"/>
    <x v="1"/>
  </r>
  <r>
    <s v="MonthlyTradeStatistics 2016_02.xlsx"/>
    <x v="6"/>
    <n v="1760.8333"/>
    <s v="2016_02.xlsx"/>
    <x v="0"/>
    <x v="1"/>
  </r>
  <r>
    <s v="MonthlyTradeStatistics 2016_02.xlsx"/>
    <x v="7"/>
    <n v="2938277.4643999999"/>
    <s v="2016_02.xlsx"/>
    <x v="0"/>
    <x v="1"/>
  </r>
  <r>
    <s v="MonthlyTradeStatistics 2016_02.xlsx"/>
    <x v="8"/>
    <n v="18969.812099999999"/>
    <s v="2016_02.xlsx"/>
    <x v="0"/>
    <x v="1"/>
  </r>
  <r>
    <s v="MonthlyTradeStatistics 2016_02.xlsx"/>
    <x v="9"/>
    <n v="8780"/>
    <s v="2016_02.xlsx"/>
    <x v="0"/>
    <x v="1"/>
  </r>
  <r>
    <s v="MonthlyTradeStatistics 2016_02.xlsx"/>
    <x v="10"/>
    <n v="17612"/>
    <s v="2016_02.xlsx"/>
    <x v="0"/>
    <x v="1"/>
  </r>
  <r>
    <s v="MonthlyTradeStatistics 2016_02.xlsx"/>
    <x v="11"/>
    <n v="1112858.298"/>
    <s v="2016_02.xlsx"/>
    <x v="0"/>
    <x v="1"/>
  </r>
  <r>
    <s v="MonthlyTradeStatistics 2016_02.xlsx"/>
    <x v="12"/>
    <n v="0"/>
    <s v="2016_02.xlsx"/>
    <x v="0"/>
    <x v="1"/>
  </r>
  <r>
    <s v="MonthlyTradeStatistics 2016_02.xlsx"/>
    <x v="13"/>
    <n v="103670.48330000001"/>
    <s v="2016_02.xlsx"/>
    <x v="0"/>
    <x v="1"/>
  </r>
  <r>
    <s v="MonthlyTradeStatistics 2016_02.xlsx"/>
    <x v="14"/>
    <n v="100359.58289999999"/>
    <s v="2016_02.xlsx"/>
    <x v="0"/>
    <x v="1"/>
  </r>
  <r>
    <s v="MonthlyTradeStatistics 2016_02.xlsx"/>
    <x v="15"/>
    <n v="2700"/>
    <s v="2016_02.xlsx"/>
    <x v="0"/>
    <x v="1"/>
  </r>
  <r>
    <s v="MonthlyTradeStatistics 2016_02.xlsx"/>
    <x v="16"/>
    <n v="14057"/>
    <s v="2016_02.xlsx"/>
    <x v="0"/>
    <x v="1"/>
  </r>
  <r>
    <s v="MonthlyTradeStatistics 2016_02.xlsx"/>
    <x v="17"/>
    <n v="1044.0541000000001"/>
    <s v="2016_02.xlsx"/>
    <x v="0"/>
    <x v="1"/>
  </r>
  <r>
    <s v="MonthlyTradeStatistics 2016_02.xlsx"/>
    <x v="18"/>
    <n v="69819.915999999997"/>
    <s v="2016_02.xlsx"/>
    <x v="0"/>
    <x v="1"/>
  </r>
  <r>
    <s v="MonthlyTradeStatistics 2016_02.xlsx"/>
    <x v="19"/>
    <n v="55847.025199999996"/>
    <s v="2016_02.xlsx"/>
    <x v="0"/>
    <x v="1"/>
  </r>
  <r>
    <s v="MonthlyTradeStatistics 2016_02.xlsx"/>
    <x v="20"/>
    <n v="0"/>
    <s v="2016_02.xlsx"/>
    <x v="0"/>
    <x v="1"/>
  </r>
  <r>
    <s v="MonthlyTradeStatistics 2016_02.xlsx"/>
    <x v="21"/>
    <n v="183124.6667"/>
    <s v="2016_02.xlsx"/>
    <x v="0"/>
    <x v="1"/>
  </r>
  <r>
    <s v="MonthlyTradeStatistics 2016_02.xlsx"/>
    <x v="22"/>
    <n v="0"/>
    <s v="2016_02.xlsx"/>
    <x v="0"/>
    <x v="1"/>
  </r>
  <r>
    <s v="MonthlyTradeStatistics 2016_02.xlsx"/>
    <x v="23"/>
    <n v="2428.0446999999999"/>
    <s v="2016_02.xlsx"/>
    <x v="0"/>
    <x v="1"/>
  </r>
  <r>
    <s v="MonthlyTradeStatistics 2016_02.xlsx"/>
    <x v="24"/>
    <n v="286711.34460000001"/>
    <s v="2016_02.xlsx"/>
    <x v="0"/>
    <x v="1"/>
  </r>
  <r>
    <s v="MonthlyTradeStatistics 2016_02.xlsx"/>
    <x v="25"/>
    <n v="23153.811300000001"/>
    <s v="2016_02.xlsx"/>
    <x v="0"/>
    <x v="1"/>
  </r>
  <r>
    <s v="MonthlyTradeStatistics 2016_02.xlsx"/>
    <x v="26"/>
    <n v="6.11"/>
    <s v="2016_02.xlsx"/>
    <x v="0"/>
    <x v="1"/>
  </r>
  <r>
    <s v="MonthlyTradeStatistics 2016_02.xlsx"/>
    <x v="27"/>
    <n v="7.4169999999999998"/>
    <s v="2016_02.xlsx"/>
    <x v="0"/>
    <x v="1"/>
  </r>
  <r>
    <s v="MonthlyTradeStatistics 2016_02.xlsx"/>
    <x v="28"/>
    <n v="703525.20369999995"/>
    <s v="2016_02.xlsx"/>
    <x v="0"/>
    <x v="1"/>
  </r>
  <r>
    <s v="MonthlyTradeStatistics 2016_02.xlsx"/>
    <x v="29"/>
    <n v="538185.00910000002"/>
    <s v="2016_02.xlsx"/>
    <x v="0"/>
    <x v="1"/>
  </r>
  <r>
    <s v="MonthlyTradeStatistics 2016_02.xlsx"/>
    <x v="30"/>
    <n v="485579.03120000003"/>
    <s v="2016_02.xlsx"/>
    <x v="0"/>
    <x v="1"/>
  </r>
  <r>
    <s v="MonthlyTradeStatistics 2016_02.xlsx"/>
    <x v="31"/>
    <n v="48.333300000000001"/>
    <s v="2016_02.xlsx"/>
    <x v="0"/>
    <x v="1"/>
  </r>
  <r>
    <s v="MonthlyTradeStatistics 2016_02.xlsx"/>
    <x v="32"/>
    <n v="37446.183299999997"/>
    <s v="2016_02.xlsx"/>
    <x v="0"/>
    <x v="1"/>
  </r>
  <r>
    <s v="MonthlyTradeStatistics 2016_02.xlsx"/>
    <x v="33"/>
    <n v="36148.622199999998"/>
    <s v="2016_02.xlsx"/>
    <x v="0"/>
    <x v="1"/>
  </r>
  <r>
    <s v="MonthlyTradeStatistics 2016_02.xlsx"/>
    <x v="34"/>
    <n v="381.67"/>
    <s v="2016_02.xlsx"/>
    <x v="0"/>
    <x v="1"/>
  </r>
  <r>
    <s v="MonthlyTradeStatistics 2016_02.xlsx"/>
    <x v="35"/>
    <n v="624.56280000000004"/>
    <s v="2016_02.xlsx"/>
    <x v="0"/>
    <x v="1"/>
  </r>
  <r>
    <s v="MonthlyTradeStatistics 2016_02.xlsx"/>
    <x v="36"/>
    <n v="3008.6079"/>
    <s v="2016_02.xlsx"/>
    <x v="0"/>
    <x v="1"/>
  </r>
  <r>
    <s v="MonthlyTradeStatistics 2016_02.xlsx"/>
    <x v="37"/>
    <n v="180238.04060000001"/>
    <s v="2016_02.xlsx"/>
    <x v="0"/>
    <x v="1"/>
  </r>
  <r>
    <s v="MonthlyTradeStatistics 2016_02.xlsx"/>
    <x v="38"/>
    <n v="128.95509999999999"/>
    <s v="2016_02.xlsx"/>
    <x v="0"/>
    <x v="1"/>
  </r>
  <r>
    <s v="MonthlyTradeStatistics 2016_02.xlsx"/>
    <x v="39"/>
    <n v="182296.90030000001"/>
    <s v="2016_02.xlsx"/>
    <x v="0"/>
    <x v="1"/>
  </r>
  <r>
    <s v="MonthlyTradeStatistics 2016_02.xlsx"/>
    <x v="40"/>
    <n v="0.19170000000000001"/>
    <s v="2016_02.xlsx"/>
    <x v="0"/>
    <x v="1"/>
  </r>
  <r>
    <s v="MonthlyTradeStatistics 2016_02.xlsx"/>
    <x v="41"/>
    <n v="1731.3692000000001"/>
    <s v="2016_02.xlsx"/>
    <x v="0"/>
    <x v="1"/>
  </r>
  <r>
    <s v="MonthlyTradeStatistics 2016_02.xlsx"/>
    <x v="42"/>
    <n v="38886"/>
    <s v="2016_02.xlsx"/>
    <x v="0"/>
    <x v="1"/>
  </r>
  <r>
    <s v="MonthlyTradeStatistics 2016_02.xlsx"/>
    <x v="43"/>
    <n v="0"/>
    <s v="2016_02.xlsx"/>
    <x v="0"/>
    <x v="1"/>
  </r>
  <r>
    <s v="MonthlyTradeStatistics 2016_02.xlsx"/>
    <x v="44"/>
    <n v="122571.56"/>
    <s v="2016_02.xlsx"/>
    <x v="0"/>
    <x v="1"/>
  </r>
  <r>
    <s v="MonthlyTradeStatistics 2016_02.xlsx"/>
    <x v="45"/>
    <n v="557.42520000000002"/>
    <s v="2016_02.xlsx"/>
    <x v="0"/>
    <x v="1"/>
  </r>
  <r>
    <s v="MonthlyTradeStatistics 2016_02.xlsx"/>
    <x v="46"/>
    <n v="20061.845799999999"/>
    <s v="2016_02.xlsx"/>
    <x v="0"/>
    <x v="1"/>
  </r>
  <r>
    <s v="MonthlyTradeStatistics 2016_02.xlsx"/>
    <x v="47"/>
    <n v="1124.3402000000001"/>
    <s v="2016_02.xlsx"/>
    <x v="0"/>
    <x v="1"/>
  </r>
  <r>
    <s v="MonthlyTradeStatistics 2016_02.xlsx"/>
    <x v="48"/>
    <n v="119.9259"/>
    <s v="2016_02.xlsx"/>
    <x v="0"/>
    <x v="1"/>
  </r>
  <r>
    <s v="MonthlyTradeStatistics 2016_02.xlsx"/>
    <x v="49"/>
    <n v="135213.402"/>
    <s v="2016_02.xlsx"/>
    <x v="0"/>
    <x v="1"/>
  </r>
  <r>
    <s v="MonthlyTradeStatistics 2016_02.xlsx"/>
    <x v="50"/>
    <n v="10843.463100000001"/>
    <s v="2016_02.xlsx"/>
    <x v="0"/>
    <x v="1"/>
  </r>
  <r>
    <s v="MonthlyTradeStatistics 2016_02.xlsx"/>
    <x v="51"/>
    <n v="6795.0457999999999"/>
    <s v="2016_02.xlsx"/>
    <x v="0"/>
    <x v="1"/>
  </r>
  <r>
    <s v="MonthlyTradeStatistics 2016_02.xlsx"/>
    <x v="52"/>
    <n v="11236.2333"/>
    <s v="2016_02.xlsx"/>
    <x v="0"/>
    <x v="1"/>
  </r>
  <r>
    <s v="MonthlyTradeStatistics 2016_02.xlsx"/>
    <x v="53"/>
    <n v="61.421300000000002"/>
    <s v="2016_02.xlsx"/>
    <x v="0"/>
    <x v="1"/>
  </r>
  <r>
    <s v="MonthlyTradeStatistics 2016_02.xlsx"/>
    <x v="54"/>
    <n v="271941"/>
    <s v="2016_02.xlsx"/>
    <x v="0"/>
    <x v="1"/>
  </r>
  <r>
    <s v="MonthlyTradeStatistics 2016_02.xlsx"/>
    <x v="55"/>
    <n v="0"/>
    <s v="2016_02.xlsx"/>
    <x v="0"/>
    <x v="1"/>
  </r>
  <r>
    <s v="MonthlyTradeStatistics 2016_02.xlsx"/>
    <x v="56"/>
    <n v="1976422.1189999999"/>
    <s v="2016_02.xlsx"/>
    <x v="0"/>
    <x v="1"/>
  </r>
  <r>
    <s v="MonthlyTradeStatistics 2016_02.xlsx"/>
    <x v="57"/>
    <n v="1100.8499999999999"/>
    <s v="2016_02.xlsx"/>
    <x v="0"/>
    <x v="1"/>
  </r>
  <r>
    <s v="MonthlyTradeStatistics 2016_02.xlsx"/>
    <x v="58"/>
    <n v="766.10969999999998"/>
    <s v="2016_02.xlsx"/>
    <x v="0"/>
    <x v="1"/>
  </r>
  <r>
    <s v="MonthlyTradeStatistics 2016_02.xlsx"/>
    <x v="59"/>
    <n v="359.52569999999997"/>
    <s v="2016_02.xlsx"/>
    <x v="0"/>
    <x v="1"/>
  </r>
  <r>
    <s v="MonthlyTradeStatistics 2016_03.xlsx"/>
    <x v="0"/>
    <n v="11151174.5844"/>
    <s v="2016_03.xlsx"/>
    <x v="0"/>
    <x v="2"/>
  </r>
  <r>
    <s v="MonthlyTradeStatistics 2016_03.xlsx"/>
    <x v="1"/>
    <n v="1237665.0271999999"/>
    <s v="2016_03.xlsx"/>
    <x v="0"/>
    <x v="2"/>
  </r>
  <r>
    <s v="MonthlyTradeStatistics 2016_03.xlsx"/>
    <x v="2"/>
    <n v="2258747.5929"/>
    <s v="2016_03.xlsx"/>
    <x v="0"/>
    <x v="2"/>
  </r>
  <r>
    <s v="MonthlyTradeStatistics 2016_03.xlsx"/>
    <x v="3"/>
    <n v="3140506.0103000002"/>
    <s v="2016_03.xlsx"/>
    <x v="0"/>
    <x v="2"/>
  </r>
  <r>
    <s v="MonthlyTradeStatistics 2016_03.xlsx"/>
    <x v="4"/>
    <n v="4514255.9539999999"/>
    <s v="2016_03.xlsx"/>
    <x v="0"/>
    <x v="2"/>
  </r>
  <r>
    <s v="MonthlyTradeStatistics 2016_03.xlsx"/>
    <x v="5"/>
    <n v="0"/>
    <s v="2016_03.xlsx"/>
    <x v="0"/>
    <x v="2"/>
  </r>
  <r>
    <s v="MonthlyTradeStatistics 2016_03.xlsx"/>
    <x v="6"/>
    <n v="1437.7583"/>
    <s v="2016_03.xlsx"/>
    <x v="0"/>
    <x v="2"/>
  </r>
  <r>
    <s v="MonthlyTradeStatistics 2016_03.xlsx"/>
    <x v="7"/>
    <n v="3102405.7878"/>
    <s v="2016_03.xlsx"/>
    <x v="0"/>
    <x v="2"/>
  </r>
  <r>
    <s v="MonthlyTradeStatistics 2016_03.xlsx"/>
    <x v="8"/>
    <n v="19528.864799999999"/>
    <s v="2016_03.xlsx"/>
    <x v="0"/>
    <x v="2"/>
  </r>
  <r>
    <s v="MonthlyTradeStatistics 2016_03.xlsx"/>
    <x v="9"/>
    <n v="23542"/>
    <s v="2016_03.xlsx"/>
    <x v="0"/>
    <x v="2"/>
  </r>
  <r>
    <s v="MonthlyTradeStatistics 2016_03.xlsx"/>
    <x v="10"/>
    <n v="17576"/>
    <s v="2016_03.xlsx"/>
    <x v="0"/>
    <x v="2"/>
  </r>
  <r>
    <s v="MonthlyTradeStatistics 2016_03.xlsx"/>
    <x v="11"/>
    <n v="1091991.7216"/>
    <s v="2016_03.xlsx"/>
    <x v="0"/>
    <x v="2"/>
  </r>
  <r>
    <s v="MonthlyTradeStatistics 2016_03.xlsx"/>
    <x v="12"/>
    <n v="0"/>
    <s v="2016_03.xlsx"/>
    <x v="0"/>
    <x v="2"/>
  </r>
  <r>
    <s v="MonthlyTradeStatistics 2016_03.xlsx"/>
    <x v="13"/>
    <n v="114632.6833"/>
    <s v="2016_03.xlsx"/>
    <x v="0"/>
    <x v="2"/>
  </r>
  <r>
    <s v="MonthlyTradeStatistics 2016_03.xlsx"/>
    <x v="14"/>
    <n v="160170.6998"/>
    <s v="2016_03.xlsx"/>
    <x v="0"/>
    <x v="2"/>
  </r>
  <r>
    <s v="MonthlyTradeStatistics 2016_03.xlsx"/>
    <x v="15"/>
    <n v="1350"/>
    <s v="2016_03.xlsx"/>
    <x v="0"/>
    <x v="2"/>
  </r>
  <r>
    <s v="MonthlyTradeStatistics 2016_03.xlsx"/>
    <x v="16"/>
    <n v="14920"/>
    <s v="2016_03.xlsx"/>
    <x v="0"/>
    <x v="2"/>
  </r>
  <r>
    <s v="MonthlyTradeStatistics 2016_03.xlsx"/>
    <x v="17"/>
    <n v="3110.9495000000002"/>
    <s v="2016_03.xlsx"/>
    <x v="0"/>
    <x v="2"/>
  </r>
  <r>
    <s v="MonthlyTradeStatistics 2016_03.xlsx"/>
    <x v="18"/>
    <n v="83683.414799999999"/>
    <s v="2016_03.xlsx"/>
    <x v="0"/>
    <x v="2"/>
  </r>
  <r>
    <s v="MonthlyTradeStatistics 2016_03.xlsx"/>
    <x v="19"/>
    <n v="52817.204700000002"/>
    <s v="2016_03.xlsx"/>
    <x v="0"/>
    <x v="2"/>
  </r>
  <r>
    <s v="MonthlyTradeStatistics 2016_03.xlsx"/>
    <x v="20"/>
    <n v="0"/>
    <s v="2016_03.xlsx"/>
    <x v="0"/>
    <x v="2"/>
  </r>
  <r>
    <s v="MonthlyTradeStatistics 2016_03.xlsx"/>
    <x v="21"/>
    <n v="227656.8333"/>
    <s v="2016_03.xlsx"/>
    <x v="0"/>
    <x v="2"/>
  </r>
  <r>
    <s v="MonthlyTradeStatistics 2016_03.xlsx"/>
    <x v="22"/>
    <n v="0"/>
    <s v="2016_03.xlsx"/>
    <x v="0"/>
    <x v="2"/>
  </r>
  <r>
    <s v="MonthlyTradeStatistics 2016_03.xlsx"/>
    <x v="23"/>
    <n v="1709.578"/>
    <s v="2016_03.xlsx"/>
    <x v="0"/>
    <x v="2"/>
  </r>
  <r>
    <s v="MonthlyTradeStatistics 2016_03.xlsx"/>
    <x v="24"/>
    <n v="340122.45659999998"/>
    <s v="2016_03.xlsx"/>
    <x v="0"/>
    <x v="2"/>
  </r>
  <r>
    <s v="MonthlyTradeStatistics 2016_03.xlsx"/>
    <x v="25"/>
    <n v="19757.651300000001"/>
    <s v="2016_03.xlsx"/>
    <x v="0"/>
    <x v="2"/>
  </r>
  <r>
    <s v="MonthlyTradeStatistics 2016_03.xlsx"/>
    <x v="26"/>
    <n v="89.8352"/>
    <s v="2016_03.xlsx"/>
    <x v="0"/>
    <x v="2"/>
  </r>
  <r>
    <s v="MonthlyTradeStatistics 2016_03.xlsx"/>
    <x v="27"/>
    <n v="23.016999999999999"/>
    <s v="2016_03.xlsx"/>
    <x v="0"/>
    <x v="2"/>
  </r>
  <r>
    <s v="MonthlyTradeStatistics 2016_03.xlsx"/>
    <x v="28"/>
    <n v="633593.78799999994"/>
    <s v="2016_03.xlsx"/>
    <x v="0"/>
    <x v="2"/>
  </r>
  <r>
    <s v="MonthlyTradeStatistics 2016_03.xlsx"/>
    <x v="29"/>
    <n v="701781.70189999999"/>
    <s v="2016_03.xlsx"/>
    <x v="0"/>
    <x v="2"/>
  </r>
  <r>
    <s v="MonthlyTradeStatistics 2016_03.xlsx"/>
    <x v="30"/>
    <n v="370219.05"/>
    <s v="2016_03.xlsx"/>
    <x v="0"/>
    <x v="2"/>
  </r>
  <r>
    <s v="MonthlyTradeStatistics 2016_03.xlsx"/>
    <x v="31"/>
    <n v="1455.2512999999999"/>
    <s v="2016_03.xlsx"/>
    <x v="0"/>
    <x v="2"/>
  </r>
  <r>
    <s v="MonthlyTradeStatistics 2016_03.xlsx"/>
    <x v="32"/>
    <n v="77508.935599999997"/>
    <s v="2016_03.xlsx"/>
    <x v="0"/>
    <x v="2"/>
  </r>
  <r>
    <s v="MonthlyTradeStatistics 2016_03.xlsx"/>
    <x v="33"/>
    <n v="59707.233699999997"/>
    <s v="2016_03.xlsx"/>
    <x v="0"/>
    <x v="2"/>
  </r>
  <r>
    <s v="MonthlyTradeStatistics 2016_03.xlsx"/>
    <x v="34"/>
    <n v="0"/>
    <s v="2016_03.xlsx"/>
    <x v="0"/>
    <x v="2"/>
  </r>
  <r>
    <s v="MonthlyTradeStatistics 2016_03.xlsx"/>
    <x v="35"/>
    <n v="980.52499999999998"/>
    <s v="2016_03.xlsx"/>
    <x v="0"/>
    <x v="2"/>
  </r>
  <r>
    <s v="MonthlyTradeStatistics 2016_03.xlsx"/>
    <x v="36"/>
    <n v="1103.6378999999999"/>
    <s v="2016_03.xlsx"/>
    <x v="0"/>
    <x v="2"/>
  </r>
  <r>
    <s v="MonthlyTradeStatistics 2016_03.xlsx"/>
    <x v="37"/>
    <n v="225537.13010000001"/>
    <s v="2016_03.xlsx"/>
    <x v="0"/>
    <x v="2"/>
  </r>
  <r>
    <s v="MonthlyTradeStatistics 2016_03.xlsx"/>
    <x v="38"/>
    <n v="92.455100000000002"/>
    <s v="2016_03.xlsx"/>
    <x v="0"/>
    <x v="2"/>
  </r>
  <r>
    <s v="MonthlyTradeStatistics 2016_03.xlsx"/>
    <x v="39"/>
    <n v="227122.7433"/>
    <s v="2016_03.xlsx"/>
    <x v="0"/>
    <x v="2"/>
  </r>
  <r>
    <s v="MonthlyTradeStatistics 2016_03.xlsx"/>
    <x v="40"/>
    <n v="0"/>
    <s v="2016_03.xlsx"/>
    <x v="0"/>
    <x v="2"/>
  </r>
  <r>
    <s v="MonthlyTradeStatistics 2016_03.xlsx"/>
    <x v="41"/>
    <n v="3686.8011000000001"/>
    <s v="2016_03.xlsx"/>
    <x v="0"/>
    <x v="2"/>
  </r>
  <r>
    <s v="MonthlyTradeStatistics 2016_03.xlsx"/>
    <x v="42"/>
    <n v="41972.56"/>
    <s v="2016_03.xlsx"/>
    <x v="0"/>
    <x v="2"/>
  </r>
  <r>
    <s v="MonthlyTradeStatistics 2016_03.xlsx"/>
    <x v="43"/>
    <n v="0"/>
    <s v="2016_03.xlsx"/>
    <x v="0"/>
    <x v="2"/>
  </r>
  <r>
    <s v="MonthlyTradeStatistics 2016_03.xlsx"/>
    <x v="44"/>
    <n v="110624.48"/>
    <s v="2016_03.xlsx"/>
    <x v="0"/>
    <x v="2"/>
  </r>
  <r>
    <s v="MonthlyTradeStatistics 2016_03.xlsx"/>
    <x v="45"/>
    <n v="506.63029999999998"/>
    <s v="2016_03.xlsx"/>
    <x v="0"/>
    <x v="2"/>
  </r>
  <r>
    <s v="MonthlyTradeStatistics 2016_03.xlsx"/>
    <x v="46"/>
    <n v="30656.933099999998"/>
    <s v="2016_03.xlsx"/>
    <x v="0"/>
    <x v="2"/>
  </r>
  <r>
    <s v="MonthlyTradeStatistics 2016_03.xlsx"/>
    <x v="47"/>
    <n v="352.67020000000002"/>
    <s v="2016_03.xlsx"/>
    <x v="0"/>
    <x v="2"/>
  </r>
  <r>
    <s v="MonthlyTradeStatistics 2016_03.xlsx"/>
    <x v="48"/>
    <n v="116.4466"/>
    <s v="2016_03.xlsx"/>
    <x v="0"/>
    <x v="2"/>
  </r>
  <r>
    <s v="MonthlyTradeStatistics 2016_03.xlsx"/>
    <x v="49"/>
    <n v="103425.45"/>
    <s v="2016_03.xlsx"/>
    <x v="0"/>
    <x v="2"/>
  </r>
  <r>
    <s v="MonthlyTradeStatistics 2016_03.xlsx"/>
    <x v="50"/>
    <n v="11131.582"/>
    <s v="2016_03.xlsx"/>
    <x v="0"/>
    <x v="2"/>
  </r>
  <r>
    <s v="MonthlyTradeStatistics 2016_03.xlsx"/>
    <x v="51"/>
    <n v="7049.7557999999999"/>
    <s v="2016_03.xlsx"/>
    <x v="0"/>
    <x v="2"/>
  </r>
  <r>
    <s v="MonthlyTradeStatistics 2016_03.xlsx"/>
    <x v="52"/>
    <n v="10547.2333"/>
    <s v="2016_03.xlsx"/>
    <x v="0"/>
    <x v="2"/>
  </r>
  <r>
    <s v="MonthlyTradeStatistics 2016_03.xlsx"/>
    <x v="53"/>
    <n v="100.578"/>
    <s v="2016_03.xlsx"/>
    <x v="0"/>
    <x v="2"/>
  </r>
  <r>
    <s v="MonthlyTradeStatistics 2016_03.xlsx"/>
    <x v="54"/>
    <n v="247798"/>
    <s v="2016_03.xlsx"/>
    <x v="0"/>
    <x v="2"/>
  </r>
  <r>
    <s v="MonthlyTradeStatistics 2016_03.xlsx"/>
    <x v="55"/>
    <n v="0"/>
    <s v="2016_03.xlsx"/>
    <x v="0"/>
    <x v="2"/>
  </r>
  <r>
    <s v="MonthlyTradeStatistics 2016_03.xlsx"/>
    <x v="56"/>
    <n v="2999155.2204999998"/>
    <s v="2016_03.xlsx"/>
    <x v="0"/>
    <x v="2"/>
  </r>
  <r>
    <s v="MonthlyTradeStatistics 2016_03.xlsx"/>
    <x v="57"/>
    <n v="7282.2502000000004"/>
    <s v="2016_03.xlsx"/>
    <x v="0"/>
    <x v="2"/>
  </r>
  <r>
    <s v="MonthlyTradeStatistics 2016_03.xlsx"/>
    <x v="58"/>
    <n v="769.60969999999998"/>
    <s v="2016_03.xlsx"/>
    <x v="0"/>
    <x v="2"/>
  </r>
  <r>
    <s v="MonthlyTradeStatistics 2016_03.xlsx"/>
    <x v="59"/>
    <n v="369.47570000000002"/>
    <s v="2016_03.xlsx"/>
    <x v="0"/>
    <x v="2"/>
  </r>
  <r>
    <s v="MonthlyTradeStatistics 2016_04.xlsx"/>
    <x v="0"/>
    <n v="10589184.2848"/>
    <s v="2016_04.xlsx"/>
    <x v="0"/>
    <x v="3"/>
  </r>
  <r>
    <s v="MonthlyTradeStatistics 2016_04.xlsx"/>
    <x v="1"/>
    <n v="1074928.9793"/>
    <s v="2016_04.xlsx"/>
    <x v="0"/>
    <x v="3"/>
  </r>
  <r>
    <s v="MonthlyTradeStatistics 2016_04.xlsx"/>
    <x v="2"/>
    <n v="2417611.7041000002"/>
    <s v="2016_04.xlsx"/>
    <x v="0"/>
    <x v="3"/>
  </r>
  <r>
    <s v="MonthlyTradeStatistics 2016_04.xlsx"/>
    <x v="3"/>
    <n v="2560434.2069999999"/>
    <s v="2016_04.xlsx"/>
    <x v="0"/>
    <x v="3"/>
  </r>
  <r>
    <s v="MonthlyTradeStatistics 2016_04.xlsx"/>
    <x v="4"/>
    <n v="4536209.3943999996"/>
    <s v="2016_04.xlsx"/>
    <x v="0"/>
    <x v="3"/>
  </r>
  <r>
    <s v="MonthlyTradeStatistics 2016_04.xlsx"/>
    <x v="5"/>
    <n v="2975"/>
    <s v="2016_04.xlsx"/>
    <x v="0"/>
    <x v="3"/>
  </r>
  <r>
    <s v="MonthlyTradeStatistics 2016_04.xlsx"/>
    <x v="6"/>
    <n v="128.33330000000001"/>
    <s v="2016_04.xlsx"/>
    <x v="0"/>
    <x v="3"/>
  </r>
  <r>
    <s v="MonthlyTradeStatistics 2016_04.xlsx"/>
    <x v="7"/>
    <n v="2458143.3232"/>
    <s v="2016_04.xlsx"/>
    <x v="0"/>
    <x v="3"/>
  </r>
  <r>
    <s v="MonthlyTradeStatistics 2016_04.xlsx"/>
    <x v="8"/>
    <n v="15885.5121"/>
    <s v="2016_04.xlsx"/>
    <x v="0"/>
    <x v="3"/>
  </r>
  <r>
    <s v="MonthlyTradeStatistics 2016_04.xlsx"/>
    <x v="9"/>
    <n v="38225.666599999997"/>
    <s v="2016_04.xlsx"/>
    <x v="0"/>
    <x v="3"/>
  </r>
  <r>
    <s v="MonthlyTradeStatistics 2016_04.xlsx"/>
    <x v="10"/>
    <n v="16902"/>
    <s v="2016_04.xlsx"/>
    <x v="0"/>
    <x v="3"/>
  </r>
  <r>
    <s v="MonthlyTradeStatistics 2016_04.xlsx"/>
    <x v="11"/>
    <n v="931121.89159999997"/>
    <s v="2016_04.xlsx"/>
    <x v="0"/>
    <x v="3"/>
  </r>
  <r>
    <s v="MonthlyTradeStatistics 2016_04.xlsx"/>
    <x v="12"/>
    <n v="0"/>
    <s v="2016_04.xlsx"/>
    <x v="0"/>
    <x v="3"/>
  </r>
  <r>
    <s v="MonthlyTradeStatistics 2016_04.xlsx"/>
    <x v="13"/>
    <n v="139758.89180000001"/>
    <s v="2016_04.xlsx"/>
    <x v="0"/>
    <x v="3"/>
  </r>
  <r>
    <s v="MonthlyTradeStatistics 2016_04.xlsx"/>
    <x v="14"/>
    <n v="85981.316999999995"/>
    <s v="2016_04.xlsx"/>
    <x v="0"/>
    <x v="3"/>
  </r>
  <r>
    <s v="MonthlyTradeStatistics 2016_04.xlsx"/>
    <x v="15"/>
    <n v="300"/>
    <s v="2016_04.xlsx"/>
    <x v="0"/>
    <x v="3"/>
  </r>
  <r>
    <s v="MonthlyTradeStatistics 2016_04.xlsx"/>
    <x v="16"/>
    <n v="23722"/>
    <s v="2016_04.xlsx"/>
    <x v="0"/>
    <x v="3"/>
  </r>
  <r>
    <s v="MonthlyTradeStatistics 2016_04.xlsx"/>
    <x v="17"/>
    <n v="2327.9427999999998"/>
    <s v="2016_04.xlsx"/>
    <x v="0"/>
    <x v="3"/>
  </r>
  <r>
    <s v="MonthlyTradeStatistics 2016_04.xlsx"/>
    <x v="18"/>
    <n v="62743.820800000001"/>
    <s v="2016_04.xlsx"/>
    <x v="0"/>
    <x v="3"/>
  </r>
  <r>
    <s v="MonthlyTradeStatistics 2016_04.xlsx"/>
    <x v="19"/>
    <n v="82735.5092"/>
    <s v="2016_04.xlsx"/>
    <x v="0"/>
    <x v="3"/>
  </r>
  <r>
    <s v="MonthlyTradeStatistics 2016_04.xlsx"/>
    <x v="20"/>
    <n v="0"/>
    <s v="2016_04.xlsx"/>
    <x v="0"/>
    <x v="3"/>
  </r>
  <r>
    <s v="MonthlyTradeStatistics 2016_04.xlsx"/>
    <x v="21"/>
    <n v="263895.21669999999"/>
    <s v="2016_04.xlsx"/>
    <x v="0"/>
    <x v="3"/>
  </r>
  <r>
    <s v="MonthlyTradeStatistics 2016_04.xlsx"/>
    <x v="22"/>
    <n v="0"/>
    <s v="2016_04.xlsx"/>
    <x v="0"/>
    <x v="3"/>
  </r>
  <r>
    <s v="MonthlyTradeStatistics 2016_04.xlsx"/>
    <x v="23"/>
    <n v="1762.6310000000001"/>
    <s v="2016_04.xlsx"/>
    <x v="0"/>
    <x v="3"/>
  </r>
  <r>
    <s v="MonthlyTradeStatistics 2016_04.xlsx"/>
    <x v="24"/>
    <n v="405929.56949999998"/>
    <s v="2016_04.xlsx"/>
    <x v="0"/>
    <x v="3"/>
  </r>
  <r>
    <s v="MonthlyTradeStatistics 2016_04.xlsx"/>
    <x v="25"/>
    <n v="19353.811300000001"/>
    <s v="2016_04.xlsx"/>
    <x v="0"/>
    <x v="3"/>
  </r>
  <r>
    <s v="MonthlyTradeStatistics 2016_04.xlsx"/>
    <x v="26"/>
    <n v="1110.8610000000001"/>
    <s v="2016_04.xlsx"/>
    <x v="0"/>
    <x v="3"/>
  </r>
  <r>
    <s v="MonthlyTradeStatistics 2016_04.xlsx"/>
    <x v="27"/>
    <n v="14.987"/>
    <s v="2016_04.xlsx"/>
    <x v="0"/>
    <x v="3"/>
  </r>
  <r>
    <s v="MonthlyTradeStatistics 2016_04.xlsx"/>
    <x v="28"/>
    <n v="713122.44429999997"/>
    <s v="2016_04.xlsx"/>
    <x v="0"/>
    <x v="3"/>
  </r>
  <r>
    <s v="MonthlyTradeStatistics 2016_04.xlsx"/>
    <x v="29"/>
    <n v="644766.29280000005"/>
    <s v="2016_04.xlsx"/>
    <x v="0"/>
    <x v="3"/>
  </r>
  <r>
    <s v="MonthlyTradeStatistics 2016_04.xlsx"/>
    <x v="30"/>
    <n v="336635.23560000001"/>
    <s v="2016_04.xlsx"/>
    <x v="0"/>
    <x v="3"/>
  </r>
  <r>
    <s v="MonthlyTradeStatistics 2016_04.xlsx"/>
    <x v="31"/>
    <n v="825.85199999999998"/>
    <s v="2016_04.xlsx"/>
    <x v="0"/>
    <x v="3"/>
  </r>
  <r>
    <s v="MonthlyTradeStatistics 2016_04.xlsx"/>
    <x v="32"/>
    <n v="77027.706699999995"/>
    <s v="2016_04.xlsx"/>
    <x v="0"/>
    <x v="3"/>
  </r>
  <r>
    <s v="MonthlyTradeStatistics 2016_04.xlsx"/>
    <x v="33"/>
    <n v="43485.986199999999"/>
    <s v="2016_04.xlsx"/>
    <x v="0"/>
    <x v="3"/>
  </r>
  <r>
    <s v="MonthlyTradeStatistics 2016_04.xlsx"/>
    <x v="34"/>
    <n v="0"/>
    <s v="2016_04.xlsx"/>
    <x v="0"/>
    <x v="3"/>
  </r>
  <r>
    <s v="MonthlyTradeStatistics 2016_04.xlsx"/>
    <x v="35"/>
    <n v="4727.2610000000004"/>
    <s v="2016_04.xlsx"/>
    <x v="0"/>
    <x v="3"/>
  </r>
  <r>
    <s v="MonthlyTradeStatistics 2016_04.xlsx"/>
    <x v="36"/>
    <n v="2591.3651"/>
    <s v="2016_04.xlsx"/>
    <x v="0"/>
    <x v="3"/>
  </r>
  <r>
    <s v="MonthlyTradeStatistics 2016_04.xlsx"/>
    <x v="37"/>
    <n v="203472.4008"/>
    <s v="2016_04.xlsx"/>
    <x v="0"/>
    <x v="3"/>
  </r>
  <r>
    <s v="MonthlyTradeStatistics 2016_04.xlsx"/>
    <x v="38"/>
    <n v="250.55510000000001"/>
    <s v="2016_04.xlsx"/>
    <x v="0"/>
    <x v="3"/>
  </r>
  <r>
    <s v="MonthlyTradeStatistics 2016_04.xlsx"/>
    <x v="39"/>
    <n v="305943.995"/>
    <s v="2016_04.xlsx"/>
    <x v="0"/>
    <x v="3"/>
  </r>
  <r>
    <s v="MonthlyTradeStatistics 2016_04.xlsx"/>
    <x v="40"/>
    <n v="0"/>
    <s v="2016_04.xlsx"/>
    <x v="0"/>
    <x v="3"/>
  </r>
  <r>
    <s v="MonthlyTradeStatistics 2016_04.xlsx"/>
    <x v="41"/>
    <n v="7948.1611999999996"/>
    <s v="2016_04.xlsx"/>
    <x v="0"/>
    <x v="3"/>
  </r>
  <r>
    <s v="MonthlyTradeStatistics 2016_04.xlsx"/>
    <x v="42"/>
    <n v="45770.445"/>
    <s v="2016_04.xlsx"/>
    <x v="0"/>
    <x v="3"/>
  </r>
  <r>
    <s v="MonthlyTradeStatistics 2016_04.xlsx"/>
    <x v="43"/>
    <n v="0"/>
    <s v="2016_04.xlsx"/>
    <x v="0"/>
    <x v="3"/>
  </r>
  <r>
    <s v="MonthlyTradeStatistics 2016_04.xlsx"/>
    <x v="44"/>
    <n v="58415.57"/>
    <s v="2016_04.xlsx"/>
    <x v="0"/>
    <x v="3"/>
  </r>
  <r>
    <s v="MonthlyTradeStatistics 2016_04.xlsx"/>
    <x v="45"/>
    <n v="170.477"/>
    <s v="2016_04.xlsx"/>
    <x v="0"/>
    <x v="3"/>
  </r>
  <r>
    <s v="MonthlyTradeStatistics 2016_04.xlsx"/>
    <x v="46"/>
    <n v="8354.6435000000001"/>
    <s v="2016_04.xlsx"/>
    <x v="0"/>
    <x v="3"/>
  </r>
  <r>
    <s v="MonthlyTradeStatistics 2016_04.xlsx"/>
    <x v="47"/>
    <n v="4022.6702"/>
    <s v="2016_04.xlsx"/>
    <x v="0"/>
    <x v="3"/>
  </r>
  <r>
    <s v="MonthlyTradeStatistics 2016_04.xlsx"/>
    <x v="48"/>
    <n v="119.0682"/>
    <s v="2016_04.xlsx"/>
    <x v="0"/>
    <x v="3"/>
  </r>
  <r>
    <s v="MonthlyTradeStatistics 2016_04.xlsx"/>
    <x v="49"/>
    <n v="90083.411999999997"/>
    <s v="2016_04.xlsx"/>
    <x v="0"/>
    <x v="3"/>
  </r>
  <r>
    <s v="MonthlyTradeStatistics 2016_04.xlsx"/>
    <x v="50"/>
    <n v="12450.281499999999"/>
    <s v="2016_04.xlsx"/>
    <x v="0"/>
    <x v="3"/>
  </r>
  <r>
    <s v="MonthlyTradeStatistics 2016_04.xlsx"/>
    <x v="51"/>
    <n v="2266.8957999999998"/>
    <s v="2016_04.xlsx"/>
    <x v="0"/>
    <x v="3"/>
  </r>
  <r>
    <s v="MonthlyTradeStatistics 2016_04.xlsx"/>
    <x v="52"/>
    <n v="8222.6"/>
    <s v="2016_04.xlsx"/>
    <x v="0"/>
    <x v="3"/>
  </r>
  <r>
    <s v="MonthlyTradeStatistics 2016_04.xlsx"/>
    <x v="53"/>
    <n v="80.552700000000002"/>
    <s v="2016_04.xlsx"/>
    <x v="0"/>
    <x v="3"/>
  </r>
  <r>
    <s v="MonthlyTradeStatistics 2016_04.xlsx"/>
    <x v="54"/>
    <n v="326793"/>
    <s v="2016_04.xlsx"/>
    <x v="0"/>
    <x v="3"/>
  </r>
  <r>
    <s v="MonthlyTradeStatistics 2016_04.xlsx"/>
    <x v="55"/>
    <n v="0"/>
    <s v="2016_04.xlsx"/>
    <x v="0"/>
    <x v="3"/>
  </r>
  <r>
    <s v="MonthlyTradeStatistics 2016_04.xlsx"/>
    <x v="56"/>
    <n v="3133299.5748000001"/>
    <s v="2016_04.xlsx"/>
    <x v="0"/>
    <x v="3"/>
  </r>
  <r>
    <s v="MonthlyTradeStatistics 2016_04.xlsx"/>
    <x v="57"/>
    <n v="3823.9180000000001"/>
    <s v="2016_04.xlsx"/>
    <x v="0"/>
    <x v="3"/>
  </r>
  <r>
    <s v="MonthlyTradeStatistics 2016_04.xlsx"/>
    <x v="58"/>
    <n v="56.109699999999997"/>
    <s v="2016_04.xlsx"/>
    <x v="0"/>
    <x v="3"/>
  </r>
  <r>
    <s v="MonthlyTradeStatistics 2016_04.xlsx"/>
    <x v="59"/>
    <n v="1439.5256999999999"/>
    <s v="2016_04.xlsx"/>
    <x v="0"/>
    <x v="3"/>
  </r>
  <r>
    <s v="MonthlyTradeStatistics 2016_05.xlsx"/>
    <x v="0"/>
    <n v="10235612.897399999"/>
    <s v="2016_05.xlsx"/>
    <x v="0"/>
    <x v="4"/>
  </r>
  <r>
    <s v="MonthlyTradeStatistics 2016_05.xlsx"/>
    <x v="1"/>
    <n v="1009732.8317"/>
    <s v="2016_05.xlsx"/>
    <x v="0"/>
    <x v="4"/>
  </r>
  <r>
    <s v="MonthlyTradeStatistics 2016_05.xlsx"/>
    <x v="2"/>
    <n v="2410548.7938999999"/>
    <s v="2016_05.xlsx"/>
    <x v="0"/>
    <x v="4"/>
  </r>
  <r>
    <s v="MonthlyTradeStatistics 2016_05.xlsx"/>
    <x v="3"/>
    <n v="2638918.9347999999"/>
    <s v="2016_05.xlsx"/>
    <x v="0"/>
    <x v="4"/>
  </r>
  <r>
    <s v="MonthlyTradeStatistics 2016_05.xlsx"/>
    <x v="4"/>
    <n v="4176412.3369999998"/>
    <s v="2016_05.xlsx"/>
    <x v="0"/>
    <x v="4"/>
  </r>
  <r>
    <s v="MonthlyTradeStatistics 2016_05.xlsx"/>
    <x v="5"/>
    <n v="0"/>
    <s v="2016_05.xlsx"/>
    <x v="0"/>
    <x v="4"/>
  </r>
  <r>
    <s v="MonthlyTradeStatistics 2016_05.xlsx"/>
    <x v="6"/>
    <n v="1396.5"/>
    <s v="2016_05.xlsx"/>
    <x v="0"/>
    <x v="4"/>
  </r>
  <r>
    <s v="MonthlyTradeStatistics 2016_05.xlsx"/>
    <x v="7"/>
    <n v="2528952.0764000001"/>
    <s v="2016_05.xlsx"/>
    <x v="0"/>
    <x v="4"/>
  </r>
  <r>
    <s v="MonthlyTradeStatistics 2016_05.xlsx"/>
    <x v="8"/>
    <n v="13214.2521"/>
    <s v="2016_05.xlsx"/>
    <x v="0"/>
    <x v="4"/>
  </r>
  <r>
    <s v="MonthlyTradeStatistics 2016_05.xlsx"/>
    <x v="9"/>
    <n v="41984.466699999997"/>
    <s v="2016_05.xlsx"/>
    <x v="0"/>
    <x v="4"/>
  </r>
  <r>
    <s v="MonthlyTradeStatistics 2016_05.xlsx"/>
    <x v="10"/>
    <n v="13401"/>
    <s v="2016_05.xlsx"/>
    <x v="0"/>
    <x v="4"/>
  </r>
  <r>
    <s v="MonthlyTradeStatistics 2016_05.xlsx"/>
    <x v="11"/>
    <n v="891377.75989999995"/>
    <s v="2016_05.xlsx"/>
    <x v="0"/>
    <x v="4"/>
  </r>
  <r>
    <s v="MonthlyTradeStatistics 2016_05.xlsx"/>
    <x v="12"/>
    <n v="0"/>
    <s v="2016_05.xlsx"/>
    <x v="0"/>
    <x v="4"/>
  </r>
  <r>
    <s v="MonthlyTradeStatistics 2016_05.xlsx"/>
    <x v="13"/>
    <n v="140439.11970000001"/>
    <s v="2016_05.xlsx"/>
    <x v="0"/>
    <x v="4"/>
  </r>
  <r>
    <s v="MonthlyTradeStatistics 2016_05.xlsx"/>
    <x v="14"/>
    <n v="195084.2996"/>
    <s v="2016_05.xlsx"/>
    <x v="0"/>
    <x v="4"/>
  </r>
  <r>
    <s v="MonthlyTradeStatistics 2016_05.xlsx"/>
    <x v="15"/>
    <n v="1200"/>
    <s v="2016_05.xlsx"/>
    <x v="0"/>
    <x v="4"/>
  </r>
  <r>
    <s v="MonthlyTradeStatistics 2016_05.xlsx"/>
    <x v="16"/>
    <n v="16310"/>
    <s v="2016_05.xlsx"/>
    <x v="0"/>
    <x v="4"/>
  </r>
  <r>
    <s v="MonthlyTradeStatistics 2016_05.xlsx"/>
    <x v="17"/>
    <n v="2376.2964999999999"/>
    <s v="2016_05.xlsx"/>
    <x v="0"/>
    <x v="4"/>
  </r>
  <r>
    <s v="MonthlyTradeStatistics 2016_05.xlsx"/>
    <x v="18"/>
    <n v="74089.462400000004"/>
    <s v="2016_05.xlsx"/>
    <x v="0"/>
    <x v="4"/>
  </r>
  <r>
    <s v="MonthlyTradeStatistics 2016_05.xlsx"/>
    <x v="19"/>
    <n v="76013.996799999994"/>
    <s v="2016_05.xlsx"/>
    <x v="0"/>
    <x v="4"/>
  </r>
  <r>
    <s v="MonthlyTradeStatistics 2016_05.xlsx"/>
    <x v="20"/>
    <n v="0"/>
    <s v="2016_05.xlsx"/>
    <x v="0"/>
    <x v="4"/>
  </r>
  <r>
    <s v="MonthlyTradeStatistics 2016_05.xlsx"/>
    <x v="21"/>
    <n v="300807.5834"/>
    <s v="2016_05.xlsx"/>
    <x v="0"/>
    <x v="4"/>
  </r>
  <r>
    <s v="MonthlyTradeStatistics 2016_05.xlsx"/>
    <x v="22"/>
    <n v="0"/>
    <s v="2016_05.xlsx"/>
    <x v="0"/>
    <x v="4"/>
  </r>
  <r>
    <s v="MonthlyTradeStatistics 2016_05.xlsx"/>
    <x v="23"/>
    <n v="1468.123"/>
    <s v="2016_05.xlsx"/>
    <x v="0"/>
    <x v="4"/>
  </r>
  <r>
    <s v="MonthlyTradeStatistics 2016_05.xlsx"/>
    <x v="24"/>
    <n v="353150.94059999997"/>
    <s v="2016_05.xlsx"/>
    <x v="0"/>
    <x v="4"/>
  </r>
  <r>
    <s v="MonthlyTradeStatistics 2016_05.xlsx"/>
    <x v="25"/>
    <n v="22290.471300000001"/>
    <s v="2016_05.xlsx"/>
    <x v="0"/>
    <x v="4"/>
  </r>
  <r>
    <s v="MonthlyTradeStatistics 2016_05.xlsx"/>
    <x v="26"/>
    <n v="89.2667"/>
    <s v="2016_05.xlsx"/>
    <x v="0"/>
    <x v="4"/>
  </r>
  <r>
    <s v="MonthlyTradeStatistics 2016_05.xlsx"/>
    <x v="27"/>
    <n v="30.516999999999999"/>
    <s v="2016_05.xlsx"/>
    <x v="0"/>
    <x v="4"/>
  </r>
  <r>
    <s v="MonthlyTradeStatistics 2016_05.xlsx"/>
    <x v="28"/>
    <n v="722010.97829999996"/>
    <s v="2016_05.xlsx"/>
    <x v="0"/>
    <x v="4"/>
  </r>
  <r>
    <s v="MonthlyTradeStatistics 2016_05.xlsx"/>
    <x v="29"/>
    <n v="626843.43590000004"/>
    <s v="2016_05.xlsx"/>
    <x v="0"/>
    <x v="4"/>
  </r>
  <r>
    <s v="MonthlyTradeStatistics 2016_05.xlsx"/>
    <x v="30"/>
    <n v="339986.06040000002"/>
    <s v="2016_05.xlsx"/>
    <x v="0"/>
    <x v="4"/>
  </r>
  <r>
    <s v="MonthlyTradeStatistics 2016_05.xlsx"/>
    <x v="31"/>
    <n v="1480.1941999999999"/>
    <s v="2016_05.xlsx"/>
    <x v="0"/>
    <x v="4"/>
  </r>
  <r>
    <s v="MonthlyTradeStatistics 2016_05.xlsx"/>
    <x v="32"/>
    <n v="75024.661800000002"/>
    <s v="2016_05.xlsx"/>
    <x v="0"/>
    <x v="4"/>
  </r>
  <r>
    <s v="MonthlyTradeStatistics 2016_05.xlsx"/>
    <x v="33"/>
    <n v="44769.284200000002"/>
    <s v="2016_05.xlsx"/>
    <x v="0"/>
    <x v="4"/>
  </r>
  <r>
    <s v="MonthlyTradeStatistics 2016_05.xlsx"/>
    <x v="34"/>
    <n v="0"/>
    <s v="2016_05.xlsx"/>
    <x v="0"/>
    <x v="4"/>
  </r>
  <r>
    <s v="MonthlyTradeStatistics 2016_05.xlsx"/>
    <x v="35"/>
    <n v="3982.4706999999999"/>
    <s v="2016_05.xlsx"/>
    <x v="0"/>
    <x v="4"/>
  </r>
  <r>
    <s v="MonthlyTradeStatistics 2016_05.xlsx"/>
    <x v="36"/>
    <n v="2009.8714"/>
    <s v="2016_05.xlsx"/>
    <x v="0"/>
    <x v="4"/>
  </r>
  <r>
    <s v="MonthlyTradeStatistics 2016_05.xlsx"/>
    <x v="37"/>
    <n v="231875.86040000001"/>
    <s v="2016_05.xlsx"/>
    <x v="0"/>
    <x v="4"/>
  </r>
  <r>
    <s v="MonthlyTradeStatistics 2016_05.xlsx"/>
    <x v="38"/>
    <n v="140.2724"/>
    <s v="2016_05.xlsx"/>
    <x v="0"/>
    <x v="4"/>
  </r>
  <r>
    <s v="MonthlyTradeStatistics 2016_05.xlsx"/>
    <x v="39"/>
    <n v="296068.40879999998"/>
    <s v="2016_05.xlsx"/>
    <x v="0"/>
    <x v="4"/>
  </r>
  <r>
    <s v="MonthlyTradeStatistics 2016_05.xlsx"/>
    <x v="40"/>
    <n v="0"/>
    <s v="2016_05.xlsx"/>
    <x v="0"/>
    <x v="4"/>
  </r>
  <r>
    <s v="MonthlyTradeStatistics 2016_05.xlsx"/>
    <x v="41"/>
    <n v="4389.1192000000001"/>
    <s v="2016_05.xlsx"/>
    <x v="0"/>
    <x v="4"/>
  </r>
  <r>
    <s v="MonthlyTradeStatistics 2016_05.xlsx"/>
    <x v="42"/>
    <n v="52148.818800000001"/>
    <s v="2016_05.xlsx"/>
    <x v="0"/>
    <x v="4"/>
  </r>
  <r>
    <s v="MonthlyTradeStatistics 2016_05.xlsx"/>
    <x v="43"/>
    <n v="0"/>
    <s v="2016_05.xlsx"/>
    <x v="0"/>
    <x v="4"/>
  </r>
  <r>
    <s v="MonthlyTradeStatistics 2016_05.xlsx"/>
    <x v="44"/>
    <n v="78739.58"/>
    <s v="2016_05.xlsx"/>
    <x v="0"/>
    <x v="4"/>
  </r>
  <r>
    <s v="MonthlyTradeStatistics 2016_05.xlsx"/>
    <x v="45"/>
    <n v="189.30179999999999"/>
    <s v="2016_05.xlsx"/>
    <x v="0"/>
    <x v="4"/>
  </r>
  <r>
    <s v="MonthlyTradeStatistics 2016_05.xlsx"/>
    <x v="46"/>
    <n v="6805.1259"/>
    <s v="2016_05.xlsx"/>
    <x v="0"/>
    <x v="4"/>
  </r>
  <r>
    <s v="MonthlyTradeStatistics 2016_05.xlsx"/>
    <x v="47"/>
    <n v="1786.0101999999999"/>
    <s v="2016_05.xlsx"/>
    <x v="0"/>
    <x v="4"/>
  </r>
  <r>
    <s v="MonthlyTradeStatistics 2016_05.xlsx"/>
    <x v="48"/>
    <n v="116.1108"/>
    <s v="2016_05.xlsx"/>
    <x v="0"/>
    <x v="4"/>
  </r>
  <r>
    <s v="MonthlyTradeStatistics 2016_05.xlsx"/>
    <x v="49"/>
    <n v="71818.41"/>
    <s v="2016_05.xlsx"/>
    <x v="0"/>
    <x v="4"/>
  </r>
  <r>
    <s v="MonthlyTradeStatistics 2016_05.xlsx"/>
    <x v="50"/>
    <n v="11058.2749"/>
    <s v="2016_05.xlsx"/>
    <x v="0"/>
    <x v="4"/>
  </r>
  <r>
    <s v="MonthlyTradeStatistics 2016_05.xlsx"/>
    <x v="51"/>
    <n v="4481.2358000000004"/>
    <s v="2016_05.xlsx"/>
    <x v="0"/>
    <x v="4"/>
  </r>
  <r>
    <s v="MonthlyTradeStatistics 2016_05.xlsx"/>
    <x v="52"/>
    <n v="7035.35"/>
    <s v="2016_05.xlsx"/>
    <x v="0"/>
    <x v="4"/>
  </r>
  <r>
    <s v="MonthlyTradeStatistics 2016_05.xlsx"/>
    <x v="53"/>
    <n v="50.857799999999997"/>
    <s v="2016_05.xlsx"/>
    <x v="0"/>
    <x v="4"/>
  </r>
  <r>
    <s v="MonthlyTradeStatistics 2016_05.xlsx"/>
    <x v="54"/>
    <n v="285945"/>
    <s v="2016_05.xlsx"/>
    <x v="0"/>
    <x v="4"/>
  </r>
  <r>
    <s v="MonthlyTradeStatistics 2016_05.xlsx"/>
    <x v="55"/>
    <n v="0"/>
    <s v="2016_05.xlsx"/>
    <x v="0"/>
    <x v="4"/>
  </r>
  <r>
    <s v="MonthlyTradeStatistics 2016_05.xlsx"/>
    <x v="56"/>
    <n v="2683432.0693999999"/>
    <s v="2016_05.xlsx"/>
    <x v="0"/>
    <x v="4"/>
  </r>
  <r>
    <s v="MonthlyTradeStatistics 2016_05.xlsx"/>
    <x v="57"/>
    <n v="7539.3667999999998"/>
    <s v="2016_05.xlsx"/>
    <x v="0"/>
    <x v="4"/>
  </r>
  <r>
    <s v="MonthlyTradeStatistics 2016_05.xlsx"/>
    <x v="58"/>
    <n v="51.109699999999997"/>
    <s v="2016_05.xlsx"/>
    <x v="0"/>
    <x v="4"/>
  </r>
  <r>
    <s v="MonthlyTradeStatistics 2016_05.xlsx"/>
    <x v="59"/>
    <n v="2159.5257000000001"/>
    <s v="2016_05.xlsx"/>
    <x v="0"/>
    <x v="4"/>
  </r>
  <r>
    <s v="MonthlyTradeStatistics 2016_06.xlsx"/>
    <x v="0"/>
    <n v="10072647.249399999"/>
    <s v="2016_06.xlsx"/>
    <x v="0"/>
    <x v="5"/>
  </r>
  <r>
    <s v="MonthlyTradeStatistics 2016_06.xlsx"/>
    <x v="1"/>
    <n v="1050357.3759999999"/>
    <s v="2016_06.xlsx"/>
    <x v="0"/>
    <x v="5"/>
  </r>
  <r>
    <s v="MonthlyTradeStatistics 2016_06.xlsx"/>
    <x v="2"/>
    <n v="2245509.5872"/>
    <s v="2016_06.xlsx"/>
    <x v="0"/>
    <x v="5"/>
  </r>
  <r>
    <s v="MonthlyTradeStatistics 2016_06.xlsx"/>
    <x v="3"/>
    <n v="2584881.0643000002"/>
    <s v="2016_06.xlsx"/>
    <x v="0"/>
    <x v="5"/>
  </r>
  <r>
    <s v="MonthlyTradeStatistics 2016_06.xlsx"/>
    <x v="4"/>
    <n v="4191899.2218999998"/>
    <s v="2016_06.xlsx"/>
    <x v="0"/>
    <x v="5"/>
  </r>
  <r>
    <s v="MonthlyTradeStatistics 2016_06.xlsx"/>
    <x v="5"/>
    <n v="600"/>
    <s v="2016_06.xlsx"/>
    <x v="0"/>
    <x v="5"/>
  </r>
  <r>
    <s v="MonthlyTradeStatistics 2016_06.xlsx"/>
    <x v="6"/>
    <n v="884"/>
    <s v="2016_06.xlsx"/>
    <x v="0"/>
    <x v="5"/>
  </r>
  <r>
    <s v="MonthlyTradeStatistics 2016_06.xlsx"/>
    <x v="7"/>
    <n v="2450865.2281999998"/>
    <s v="2016_06.xlsx"/>
    <x v="0"/>
    <x v="5"/>
  </r>
  <r>
    <s v="MonthlyTradeStatistics 2016_06.xlsx"/>
    <x v="8"/>
    <n v="11440.652899999999"/>
    <s v="2016_06.xlsx"/>
    <x v="0"/>
    <x v="5"/>
  </r>
  <r>
    <s v="MonthlyTradeStatistics 2016_06.xlsx"/>
    <x v="9"/>
    <n v="62329.666700000002"/>
    <s v="2016_06.xlsx"/>
    <x v="0"/>
    <x v="5"/>
  </r>
  <r>
    <s v="MonthlyTradeStatistics 2016_06.xlsx"/>
    <x v="10"/>
    <n v="3420"/>
    <s v="2016_06.xlsx"/>
    <x v="0"/>
    <x v="5"/>
  </r>
  <r>
    <s v="MonthlyTradeStatistics 2016_06.xlsx"/>
    <x v="11"/>
    <n v="935420.25710000005"/>
    <s v="2016_06.xlsx"/>
    <x v="0"/>
    <x v="5"/>
  </r>
  <r>
    <s v="MonthlyTradeStatistics 2016_06.xlsx"/>
    <x v="12"/>
    <n v="0"/>
    <s v="2016_06.xlsx"/>
    <x v="0"/>
    <x v="5"/>
  </r>
  <r>
    <s v="MonthlyTradeStatistics 2016_06.xlsx"/>
    <x v="13"/>
    <n v="114114.1358"/>
    <s v="2016_06.xlsx"/>
    <x v="0"/>
    <x v="5"/>
  </r>
  <r>
    <s v="MonthlyTradeStatistics 2016_06.xlsx"/>
    <x v="14"/>
    <n v="135876.63389999999"/>
    <s v="2016_06.xlsx"/>
    <x v="0"/>
    <x v="5"/>
  </r>
  <r>
    <s v="MonthlyTradeStatistics 2016_06.xlsx"/>
    <x v="15"/>
    <n v="1200.0999999999999"/>
    <s v="2016_06.xlsx"/>
    <x v="0"/>
    <x v="5"/>
  </r>
  <r>
    <s v="MonthlyTradeStatistics 2016_06.xlsx"/>
    <x v="16"/>
    <n v="20480"/>
    <s v="2016_06.xlsx"/>
    <x v="0"/>
    <x v="5"/>
  </r>
  <r>
    <s v="MonthlyTradeStatistics 2016_06.xlsx"/>
    <x v="17"/>
    <n v="1370.9649999999999"/>
    <s v="2016_06.xlsx"/>
    <x v="0"/>
    <x v="5"/>
  </r>
  <r>
    <s v="MonthlyTradeStatistics 2016_06.xlsx"/>
    <x v="18"/>
    <n v="70377.043799999999"/>
    <s v="2016_06.xlsx"/>
    <x v="0"/>
    <x v="5"/>
  </r>
  <r>
    <s v="MonthlyTradeStatistics 2016_06.xlsx"/>
    <x v="19"/>
    <n v="56651.848700000002"/>
    <s v="2016_06.xlsx"/>
    <x v="0"/>
    <x v="5"/>
  </r>
  <r>
    <s v="MonthlyTradeStatistics 2016_06.xlsx"/>
    <x v="20"/>
    <n v="0"/>
    <s v="2016_06.xlsx"/>
    <x v="0"/>
    <x v="5"/>
  </r>
  <r>
    <s v="MonthlyTradeStatistics 2016_06.xlsx"/>
    <x v="21"/>
    <n v="358198.65"/>
    <s v="2016_06.xlsx"/>
    <x v="0"/>
    <x v="5"/>
  </r>
  <r>
    <s v="MonthlyTradeStatistics 2016_06.xlsx"/>
    <x v="22"/>
    <n v="0"/>
    <s v="2016_06.xlsx"/>
    <x v="0"/>
    <x v="5"/>
  </r>
  <r>
    <s v="MonthlyTradeStatistics 2016_06.xlsx"/>
    <x v="23"/>
    <n v="1603.7840000000001"/>
    <s v="2016_06.xlsx"/>
    <x v="0"/>
    <x v="5"/>
  </r>
  <r>
    <s v="MonthlyTradeStatistics 2016_06.xlsx"/>
    <x v="24"/>
    <n v="350287.26280000003"/>
    <s v="2016_06.xlsx"/>
    <x v="0"/>
    <x v="5"/>
  </r>
  <r>
    <s v="MonthlyTradeStatistics 2016_06.xlsx"/>
    <x v="25"/>
    <n v="25718.1613"/>
    <s v="2016_06.xlsx"/>
    <x v="0"/>
    <x v="5"/>
  </r>
  <r>
    <s v="MonthlyTradeStatistics 2016_06.xlsx"/>
    <x v="26"/>
    <n v="1.04"/>
    <s v="2016_06.xlsx"/>
    <x v="0"/>
    <x v="5"/>
  </r>
  <r>
    <s v="MonthlyTradeStatistics 2016_06.xlsx"/>
    <x v="27"/>
    <n v="132.417"/>
    <s v="2016_06.xlsx"/>
    <x v="0"/>
    <x v="5"/>
  </r>
  <r>
    <s v="MonthlyTradeStatistics 2016_06.xlsx"/>
    <x v="28"/>
    <n v="567754.61100000003"/>
    <s v="2016_06.xlsx"/>
    <x v="0"/>
    <x v="5"/>
  </r>
  <r>
    <s v="MonthlyTradeStatistics 2016_06.xlsx"/>
    <x v="29"/>
    <n v="619842.30149999994"/>
    <s v="2016_06.xlsx"/>
    <x v="0"/>
    <x v="5"/>
  </r>
  <r>
    <s v="MonthlyTradeStatistics 2016_06.xlsx"/>
    <x v="30"/>
    <n v="426283.22779999999"/>
    <s v="2016_06.xlsx"/>
    <x v="0"/>
    <x v="5"/>
  </r>
  <r>
    <s v="MonthlyTradeStatistics 2016_06.xlsx"/>
    <x v="31"/>
    <n v="2391.8806"/>
    <s v="2016_06.xlsx"/>
    <x v="0"/>
    <x v="5"/>
  </r>
  <r>
    <s v="MonthlyTradeStatistics 2016_06.xlsx"/>
    <x v="32"/>
    <n v="86056.472200000004"/>
    <s v="2016_06.xlsx"/>
    <x v="0"/>
    <x v="5"/>
  </r>
  <r>
    <s v="MonthlyTradeStatistics 2016_06.xlsx"/>
    <x v="33"/>
    <n v="45177.948900000003"/>
    <s v="2016_06.xlsx"/>
    <x v="0"/>
    <x v="5"/>
  </r>
  <r>
    <s v="MonthlyTradeStatistics 2016_06.xlsx"/>
    <x v="34"/>
    <n v="313.33"/>
    <s v="2016_06.xlsx"/>
    <x v="0"/>
    <x v="5"/>
  </r>
  <r>
    <s v="MonthlyTradeStatistics 2016_06.xlsx"/>
    <x v="35"/>
    <n v="6391.2981"/>
    <s v="2016_06.xlsx"/>
    <x v="0"/>
    <x v="5"/>
  </r>
  <r>
    <s v="MonthlyTradeStatistics 2016_06.xlsx"/>
    <x v="36"/>
    <n v="2073.8579"/>
    <s v="2016_06.xlsx"/>
    <x v="0"/>
    <x v="5"/>
  </r>
  <r>
    <s v="MonthlyTradeStatistics 2016_06.xlsx"/>
    <x v="37"/>
    <n v="211018.82070000001"/>
    <s v="2016_06.xlsx"/>
    <x v="0"/>
    <x v="5"/>
  </r>
  <r>
    <s v="MonthlyTradeStatistics 2016_06.xlsx"/>
    <x v="38"/>
    <n v="360.62509999999997"/>
    <s v="2016_06.xlsx"/>
    <x v="0"/>
    <x v="5"/>
  </r>
  <r>
    <s v="MonthlyTradeStatistics 2016_06.xlsx"/>
    <x v="39"/>
    <n v="253258.48879999999"/>
    <s v="2016_06.xlsx"/>
    <x v="0"/>
    <x v="5"/>
  </r>
  <r>
    <s v="MonthlyTradeStatistics 2016_06.xlsx"/>
    <x v="40"/>
    <n v="0"/>
    <s v="2016_06.xlsx"/>
    <x v="0"/>
    <x v="5"/>
  </r>
  <r>
    <s v="MonthlyTradeStatistics 2016_06.xlsx"/>
    <x v="41"/>
    <n v="6749.4434000000001"/>
    <s v="2016_06.xlsx"/>
    <x v="0"/>
    <x v="5"/>
  </r>
  <r>
    <s v="MonthlyTradeStatistics 2016_06.xlsx"/>
    <x v="42"/>
    <n v="90326.592000000004"/>
    <s v="2016_06.xlsx"/>
    <x v="0"/>
    <x v="5"/>
  </r>
  <r>
    <s v="MonthlyTradeStatistics 2016_06.xlsx"/>
    <x v="43"/>
    <n v="0"/>
    <s v="2016_06.xlsx"/>
    <x v="0"/>
    <x v="5"/>
  </r>
  <r>
    <s v="MonthlyTradeStatistics 2016_06.xlsx"/>
    <x v="44"/>
    <n v="163718.34"/>
    <s v="2016_06.xlsx"/>
    <x v="0"/>
    <x v="5"/>
  </r>
  <r>
    <s v="MonthlyTradeStatistics 2016_06.xlsx"/>
    <x v="45"/>
    <n v="2724.9018000000001"/>
    <s v="2016_06.xlsx"/>
    <x v="0"/>
    <x v="5"/>
  </r>
  <r>
    <s v="MonthlyTradeStatistics 2016_06.xlsx"/>
    <x v="46"/>
    <n v="9224.2196000000004"/>
    <s v="2016_06.xlsx"/>
    <x v="0"/>
    <x v="5"/>
  </r>
  <r>
    <s v="MonthlyTradeStatistics 2016_06.xlsx"/>
    <x v="47"/>
    <n v="3944.3402000000001"/>
    <s v="2016_06.xlsx"/>
    <x v="0"/>
    <x v="5"/>
  </r>
  <r>
    <s v="MonthlyTradeStatistics 2016_06.xlsx"/>
    <x v="48"/>
    <n v="130.37389999999999"/>
    <s v="2016_06.xlsx"/>
    <x v="0"/>
    <x v="5"/>
  </r>
  <r>
    <s v="MonthlyTradeStatistics 2016_06.xlsx"/>
    <x v="49"/>
    <n v="48595.97"/>
    <s v="2016_06.xlsx"/>
    <x v="0"/>
    <x v="5"/>
  </r>
  <r>
    <s v="MonthlyTradeStatistics 2016_06.xlsx"/>
    <x v="50"/>
    <n v="10944.938899999999"/>
    <s v="2016_06.xlsx"/>
    <x v="0"/>
    <x v="5"/>
  </r>
  <r>
    <s v="MonthlyTradeStatistics 2016_06.xlsx"/>
    <x v="51"/>
    <n v="2931.2357999999999"/>
    <s v="2016_06.xlsx"/>
    <x v="0"/>
    <x v="5"/>
  </r>
  <r>
    <s v="MonthlyTradeStatistics 2016_06.xlsx"/>
    <x v="52"/>
    <n v="6205.2166999999999"/>
    <s v="2016_06.xlsx"/>
    <x v="0"/>
    <x v="5"/>
  </r>
  <r>
    <s v="MonthlyTradeStatistics 2016_06.xlsx"/>
    <x v="53"/>
    <n v="103.3074"/>
    <s v="2016_06.xlsx"/>
    <x v="0"/>
    <x v="5"/>
  </r>
  <r>
    <s v="MonthlyTradeStatistics 2016_06.xlsx"/>
    <x v="54"/>
    <n v="265650"/>
    <s v="2016_06.xlsx"/>
    <x v="0"/>
    <x v="5"/>
  </r>
  <r>
    <s v="MonthlyTradeStatistics 2016_06.xlsx"/>
    <x v="55"/>
    <n v="0"/>
    <s v="2016_06.xlsx"/>
    <x v="0"/>
    <x v="5"/>
  </r>
  <r>
    <s v="MonthlyTradeStatistics 2016_06.xlsx"/>
    <x v="56"/>
    <n v="2634229.1655999999"/>
    <s v="2016_06.xlsx"/>
    <x v="0"/>
    <x v="5"/>
  </r>
  <r>
    <s v="MonthlyTradeStatistics 2016_06.xlsx"/>
    <x v="57"/>
    <n v="3705.0751"/>
    <s v="2016_06.xlsx"/>
    <x v="0"/>
    <x v="5"/>
  </r>
  <r>
    <s v="MonthlyTradeStatistics 2016_06.xlsx"/>
    <x v="58"/>
    <n v="222.77969999999999"/>
    <s v="2016_06.xlsx"/>
    <x v="0"/>
    <x v="5"/>
  </r>
  <r>
    <s v="MonthlyTradeStatistics 2016_06.xlsx"/>
    <x v="59"/>
    <n v="1346.6395"/>
    <s v="2016_06.xlsx"/>
    <x v="0"/>
    <x v="5"/>
  </r>
  <r>
    <s v="MonthlyTradeStatistics 2016_07.xlsx"/>
    <x v="0"/>
    <n v="8524537.9335999992"/>
    <s v="2016_07.xlsx"/>
    <x v="0"/>
    <x v="6"/>
  </r>
  <r>
    <s v="MonthlyTradeStatistics 2016_07.xlsx"/>
    <x v="1"/>
    <n v="572424.38789999997"/>
    <s v="2016_07.xlsx"/>
    <x v="0"/>
    <x v="6"/>
  </r>
  <r>
    <s v="MonthlyTradeStatistics 2016_07.xlsx"/>
    <x v="2"/>
    <n v="2111451.3179000001"/>
    <s v="2016_07.xlsx"/>
    <x v="0"/>
    <x v="6"/>
  </r>
  <r>
    <s v="MonthlyTradeStatistics 2016_07.xlsx"/>
    <x v="3"/>
    <n v="2087988.5645000001"/>
    <s v="2016_07.xlsx"/>
    <x v="0"/>
    <x v="6"/>
  </r>
  <r>
    <s v="MonthlyTradeStatistics 2016_07.xlsx"/>
    <x v="4"/>
    <n v="3752673.6633000001"/>
    <s v="2016_07.xlsx"/>
    <x v="0"/>
    <x v="6"/>
  </r>
  <r>
    <s v="MonthlyTradeStatistics 2016_07.xlsx"/>
    <x v="5"/>
    <n v="575"/>
    <s v="2016_07.xlsx"/>
    <x v="0"/>
    <x v="6"/>
  </r>
  <r>
    <s v="MonthlyTradeStatistics 2016_07.xlsx"/>
    <x v="6"/>
    <n v="1039.1667"/>
    <s v="2016_07.xlsx"/>
    <x v="0"/>
    <x v="6"/>
  </r>
  <r>
    <s v="MonthlyTradeStatistics 2016_07.xlsx"/>
    <x v="7"/>
    <n v="1967243.2716000001"/>
    <s v="2016_07.xlsx"/>
    <x v="0"/>
    <x v="6"/>
  </r>
  <r>
    <s v="MonthlyTradeStatistics 2016_07.xlsx"/>
    <x v="8"/>
    <n v="5936.7208000000001"/>
    <s v="2016_07.xlsx"/>
    <x v="0"/>
    <x v="6"/>
  </r>
  <r>
    <s v="MonthlyTradeStatistics 2016_07.xlsx"/>
    <x v="9"/>
    <n v="22964.1"/>
    <s v="2016_07.xlsx"/>
    <x v="0"/>
    <x v="6"/>
  </r>
  <r>
    <s v="MonthlyTradeStatistics 2016_07.xlsx"/>
    <x v="10"/>
    <n v="0"/>
    <s v="2016_07.xlsx"/>
    <x v="0"/>
    <x v="6"/>
  </r>
  <r>
    <s v="MonthlyTradeStatistics 2016_07.xlsx"/>
    <x v="11"/>
    <n v="489326.08480000001"/>
    <s v="2016_07.xlsx"/>
    <x v="0"/>
    <x v="6"/>
  </r>
  <r>
    <s v="MonthlyTradeStatistics 2016_07.xlsx"/>
    <x v="12"/>
    <n v="0"/>
    <s v="2016_07.xlsx"/>
    <x v="0"/>
    <x v="6"/>
  </r>
  <r>
    <s v="MonthlyTradeStatistics 2016_07.xlsx"/>
    <x v="13"/>
    <n v="94457.65"/>
    <s v="2016_07.xlsx"/>
    <x v="0"/>
    <x v="6"/>
  </r>
  <r>
    <s v="MonthlyTradeStatistics 2016_07.xlsx"/>
    <x v="14"/>
    <n v="183423.11720000001"/>
    <s v="2016_07.xlsx"/>
    <x v="0"/>
    <x v="6"/>
  </r>
  <r>
    <s v="MonthlyTradeStatistics 2016_07.xlsx"/>
    <x v="15"/>
    <n v="1000"/>
    <s v="2016_07.xlsx"/>
    <x v="0"/>
    <x v="6"/>
  </r>
  <r>
    <s v="MonthlyTradeStatistics 2016_07.xlsx"/>
    <x v="16"/>
    <n v="26333.333299999998"/>
    <s v="2016_07.xlsx"/>
    <x v="0"/>
    <x v="6"/>
  </r>
  <r>
    <s v="MonthlyTradeStatistics 2016_07.xlsx"/>
    <x v="17"/>
    <n v="2717.3220999999999"/>
    <s v="2016_07.xlsx"/>
    <x v="0"/>
    <x v="6"/>
  </r>
  <r>
    <s v="MonthlyTradeStatistics 2016_07.xlsx"/>
    <x v="18"/>
    <n v="65610.606"/>
    <s v="2016_07.xlsx"/>
    <x v="0"/>
    <x v="6"/>
  </r>
  <r>
    <s v="MonthlyTradeStatistics 2016_07.xlsx"/>
    <x v="19"/>
    <n v="48818.828000000001"/>
    <s v="2016_07.xlsx"/>
    <x v="0"/>
    <x v="6"/>
  </r>
  <r>
    <s v="MonthlyTradeStatistics 2016_07.xlsx"/>
    <x v="20"/>
    <n v="0"/>
    <s v="2016_07.xlsx"/>
    <x v="0"/>
    <x v="6"/>
  </r>
  <r>
    <s v="MonthlyTradeStatistics 2016_07.xlsx"/>
    <x v="21"/>
    <n v="352923.8333"/>
    <s v="2016_07.xlsx"/>
    <x v="0"/>
    <x v="6"/>
  </r>
  <r>
    <s v="MonthlyTradeStatistics 2016_07.xlsx"/>
    <x v="22"/>
    <n v="0"/>
    <s v="2016_07.xlsx"/>
    <x v="0"/>
    <x v="6"/>
  </r>
  <r>
    <s v="MonthlyTradeStatistics 2016_07.xlsx"/>
    <x v="23"/>
    <n v="1772.9052999999999"/>
    <s v="2016_07.xlsx"/>
    <x v="0"/>
    <x v="6"/>
  </r>
  <r>
    <s v="MonthlyTradeStatistics 2016_07.xlsx"/>
    <x v="24"/>
    <n v="344930.15240000002"/>
    <s v="2016_07.xlsx"/>
    <x v="0"/>
    <x v="6"/>
  </r>
  <r>
    <s v="MonthlyTradeStatistics 2016_07.xlsx"/>
    <x v="25"/>
    <n v="22527.141299999999"/>
    <s v="2016_07.xlsx"/>
    <x v="0"/>
    <x v="6"/>
  </r>
  <r>
    <s v="MonthlyTradeStatistics 2016_07.xlsx"/>
    <x v="26"/>
    <n v="444.68669999999997"/>
    <s v="2016_07.xlsx"/>
    <x v="0"/>
    <x v="6"/>
  </r>
  <r>
    <s v="MonthlyTradeStatistics 2016_07.xlsx"/>
    <x v="27"/>
    <n v="240.76650000000001"/>
    <s v="2016_07.xlsx"/>
    <x v="0"/>
    <x v="6"/>
  </r>
  <r>
    <s v="MonthlyTradeStatistics 2016_07.xlsx"/>
    <x v="28"/>
    <n v="403206.69799999997"/>
    <s v="2016_07.xlsx"/>
    <x v="0"/>
    <x v="6"/>
  </r>
  <r>
    <s v="MonthlyTradeStatistics 2016_07.xlsx"/>
    <x v="29"/>
    <n v="412402.34210000001"/>
    <s v="2016_07.xlsx"/>
    <x v="0"/>
    <x v="6"/>
  </r>
  <r>
    <s v="MonthlyTradeStatistics 2016_07.xlsx"/>
    <x v="30"/>
    <n v="413420.25640000001"/>
    <s v="2016_07.xlsx"/>
    <x v="0"/>
    <x v="6"/>
  </r>
  <r>
    <s v="MonthlyTradeStatistics 2016_07.xlsx"/>
    <x v="31"/>
    <n v="1329.9935"/>
    <s v="2016_07.xlsx"/>
    <x v="0"/>
    <x v="6"/>
  </r>
  <r>
    <s v="MonthlyTradeStatistics 2016_07.xlsx"/>
    <x v="32"/>
    <n v="68754.282099999997"/>
    <s v="2016_07.xlsx"/>
    <x v="0"/>
    <x v="6"/>
  </r>
  <r>
    <s v="MonthlyTradeStatistics 2016_07.xlsx"/>
    <x v="33"/>
    <n v="46971.722199999997"/>
    <s v="2016_07.xlsx"/>
    <x v="0"/>
    <x v="6"/>
  </r>
  <r>
    <s v="MonthlyTradeStatistics 2016_07.xlsx"/>
    <x v="34"/>
    <n v="0"/>
    <s v="2016_07.xlsx"/>
    <x v="0"/>
    <x v="6"/>
  </r>
  <r>
    <s v="MonthlyTradeStatistics 2016_07.xlsx"/>
    <x v="35"/>
    <n v="5138.6386000000002"/>
    <s v="2016_07.xlsx"/>
    <x v="0"/>
    <x v="6"/>
  </r>
  <r>
    <s v="MonthlyTradeStatistics 2016_07.xlsx"/>
    <x v="36"/>
    <n v="773.27790000000005"/>
    <s v="2016_07.xlsx"/>
    <x v="0"/>
    <x v="6"/>
  </r>
  <r>
    <s v="MonthlyTradeStatistics 2016_07.xlsx"/>
    <x v="37"/>
    <n v="169292.26569999999"/>
    <s v="2016_07.xlsx"/>
    <x v="0"/>
    <x v="6"/>
  </r>
  <r>
    <s v="MonthlyTradeStatistics 2016_07.xlsx"/>
    <x v="38"/>
    <n v="127.7851"/>
    <s v="2016_07.xlsx"/>
    <x v="0"/>
    <x v="6"/>
  </r>
  <r>
    <s v="MonthlyTradeStatistics 2016_07.xlsx"/>
    <x v="39"/>
    <n v="199846.95199999999"/>
    <s v="2016_07.xlsx"/>
    <x v="0"/>
    <x v="6"/>
  </r>
  <r>
    <s v="MonthlyTradeStatistics 2016_07.xlsx"/>
    <x v="40"/>
    <n v="0"/>
    <s v="2016_07.xlsx"/>
    <x v="0"/>
    <x v="6"/>
  </r>
  <r>
    <s v="MonthlyTradeStatistics 2016_07.xlsx"/>
    <x v="41"/>
    <n v="6819.9444999999996"/>
    <s v="2016_07.xlsx"/>
    <x v="0"/>
    <x v="6"/>
  </r>
  <r>
    <s v="MonthlyTradeStatistics 2016_07.xlsx"/>
    <x v="42"/>
    <n v="124956.66"/>
    <s v="2016_07.xlsx"/>
    <x v="0"/>
    <x v="6"/>
  </r>
  <r>
    <s v="MonthlyTradeStatistics 2016_07.xlsx"/>
    <x v="43"/>
    <n v="0"/>
    <s v="2016_07.xlsx"/>
    <x v="0"/>
    <x v="6"/>
  </r>
  <r>
    <s v="MonthlyTradeStatistics 2016_07.xlsx"/>
    <x v="44"/>
    <n v="366779.24"/>
    <s v="2016_07.xlsx"/>
    <x v="0"/>
    <x v="6"/>
  </r>
  <r>
    <s v="MonthlyTradeStatistics 2016_07.xlsx"/>
    <x v="45"/>
    <n v="415.79199999999997"/>
    <s v="2016_07.xlsx"/>
    <x v="0"/>
    <x v="6"/>
  </r>
  <r>
    <s v="MonthlyTradeStatistics 2016_07.xlsx"/>
    <x v="46"/>
    <n v="13980.5296"/>
    <s v="2016_07.xlsx"/>
    <x v="0"/>
    <x v="6"/>
  </r>
  <r>
    <s v="MonthlyTradeStatistics 2016_07.xlsx"/>
    <x v="47"/>
    <n v="3677.6702"/>
    <s v="2016_07.xlsx"/>
    <x v="0"/>
    <x v="6"/>
  </r>
  <r>
    <s v="MonthlyTradeStatistics 2016_07.xlsx"/>
    <x v="48"/>
    <n v="124.38249999999999"/>
    <s v="2016_07.xlsx"/>
    <x v="0"/>
    <x v="6"/>
  </r>
  <r>
    <s v="MonthlyTradeStatistics 2016_07.xlsx"/>
    <x v="49"/>
    <n v="40207.962"/>
    <s v="2016_07.xlsx"/>
    <x v="0"/>
    <x v="6"/>
  </r>
  <r>
    <s v="MonthlyTradeStatistics 2016_07.xlsx"/>
    <x v="50"/>
    <n v="10184.886699999999"/>
    <s v="2016_07.xlsx"/>
    <x v="0"/>
    <x v="6"/>
  </r>
  <r>
    <s v="MonthlyTradeStatistics 2016_07.xlsx"/>
    <x v="51"/>
    <n v="1811.2357999999999"/>
    <s v="2016_07.xlsx"/>
    <x v="0"/>
    <x v="6"/>
  </r>
  <r>
    <s v="MonthlyTradeStatistics 2016_07.xlsx"/>
    <x v="52"/>
    <n v="8663.7999999999993"/>
    <s v="2016_07.xlsx"/>
    <x v="0"/>
    <x v="6"/>
  </r>
  <r>
    <s v="MonthlyTradeStatistics 2016_07.xlsx"/>
    <x v="53"/>
    <n v="70.349199999999996"/>
    <s v="2016_07.xlsx"/>
    <x v="0"/>
    <x v="6"/>
  </r>
  <r>
    <s v="MonthlyTradeStatistics 2016_07.xlsx"/>
    <x v="54"/>
    <n v="268150"/>
    <s v="2016_07.xlsx"/>
    <x v="0"/>
    <x v="6"/>
  </r>
  <r>
    <s v="MonthlyTradeStatistics 2016_07.xlsx"/>
    <x v="55"/>
    <n v="0"/>
    <s v="2016_07.xlsx"/>
    <x v="0"/>
    <x v="6"/>
  </r>
  <r>
    <s v="MonthlyTradeStatistics 2016_07.xlsx"/>
    <x v="56"/>
    <n v="2321896.0460999999"/>
    <s v="2016_07.xlsx"/>
    <x v="0"/>
    <x v="6"/>
  </r>
  <r>
    <s v="MonthlyTradeStatistics 2016_07.xlsx"/>
    <x v="57"/>
    <n v="2578.9"/>
    <s v="2016_07.xlsx"/>
    <x v="0"/>
    <x v="6"/>
  </r>
  <r>
    <s v="MonthlyTradeStatistics 2016_07.xlsx"/>
    <x v="58"/>
    <n v="51.109699999999997"/>
    <s v="2016_07.xlsx"/>
    <x v="0"/>
    <x v="6"/>
  </r>
  <r>
    <s v="MonthlyTradeStatistics 2016_07.xlsx"/>
    <x v="59"/>
    <n v="620.52570000000003"/>
    <s v="2016_07.xlsx"/>
    <x v="0"/>
    <x v="6"/>
  </r>
  <r>
    <s v="MonthlyTradeStatistics 2016_08.xlsx"/>
    <x v="0"/>
    <n v="10811420.192500001"/>
    <s v="2016_08.xlsx"/>
    <x v="0"/>
    <x v="7"/>
  </r>
  <r>
    <s v="MonthlyTradeStatistics 2016_08.xlsx"/>
    <x v="1"/>
    <n v="1335876.8243"/>
    <s v="2016_08.xlsx"/>
    <x v="0"/>
    <x v="7"/>
  </r>
  <r>
    <s v="MonthlyTradeStatistics 2016_08.xlsx"/>
    <x v="2"/>
    <n v="2196159.1789000002"/>
    <s v="2016_08.xlsx"/>
    <x v="0"/>
    <x v="7"/>
  </r>
  <r>
    <s v="MonthlyTradeStatistics 2016_08.xlsx"/>
    <x v="3"/>
    <n v="3142949.5614999998"/>
    <s v="2016_08.xlsx"/>
    <x v="0"/>
    <x v="7"/>
  </r>
  <r>
    <s v="MonthlyTradeStatistics 2016_08.xlsx"/>
    <x v="4"/>
    <n v="4136434.6277999999"/>
    <s v="2016_08.xlsx"/>
    <x v="0"/>
    <x v="7"/>
  </r>
  <r>
    <s v="MonthlyTradeStatistics 2016_08.xlsx"/>
    <x v="5"/>
    <n v="2515"/>
    <s v="2016_08.xlsx"/>
    <x v="0"/>
    <x v="7"/>
  </r>
  <r>
    <s v="MonthlyTradeStatistics 2016_08.xlsx"/>
    <x v="6"/>
    <n v="1875.4167"/>
    <s v="2016_08.xlsx"/>
    <x v="0"/>
    <x v="7"/>
  </r>
  <r>
    <s v="MonthlyTradeStatistics 2016_08.xlsx"/>
    <x v="7"/>
    <n v="3044358.361"/>
    <s v="2016_08.xlsx"/>
    <x v="0"/>
    <x v="7"/>
  </r>
  <r>
    <s v="MonthlyTradeStatistics 2016_08.xlsx"/>
    <x v="8"/>
    <n v="8678.3821000000007"/>
    <s v="2016_08.xlsx"/>
    <x v="0"/>
    <x v="7"/>
  </r>
  <r>
    <s v="MonthlyTradeStatistics 2016_08.xlsx"/>
    <x v="9"/>
    <n v="33059.066700000003"/>
    <s v="2016_08.xlsx"/>
    <x v="0"/>
    <x v="7"/>
  </r>
  <r>
    <s v="MonthlyTradeStatistics 2016_08.xlsx"/>
    <x v="10"/>
    <n v="0"/>
    <s v="2016_08.xlsx"/>
    <x v="0"/>
    <x v="7"/>
  </r>
  <r>
    <s v="MonthlyTradeStatistics 2016_08.xlsx"/>
    <x v="11"/>
    <n v="1258075.6876000001"/>
    <s v="2016_08.xlsx"/>
    <x v="0"/>
    <x v="7"/>
  </r>
  <r>
    <s v="MonthlyTradeStatistics 2016_08.xlsx"/>
    <x v="12"/>
    <n v="0"/>
    <s v="2016_08.xlsx"/>
    <x v="0"/>
    <x v="7"/>
  </r>
  <r>
    <s v="MonthlyTradeStatistics 2016_08.xlsx"/>
    <x v="13"/>
    <n v="81937.266699999993"/>
    <s v="2016_08.xlsx"/>
    <x v="0"/>
    <x v="7"/>
  </r>
  <r>
    <s v="MonthlyTradeStatistics 2016_08.xlsx"/>
    <x v="14"/>
    <n v="60042.583500000001"/>
    <s v="2016_08.xlsx"/>
    <x v="0"/>
    <x v="7"/>
  </r>
  <r>
    <s v="MonthlyTradeStatistics 2016_08.xlsx"/>
    <x v="15"/>
    <n v="0"/>
    <s v="2016_08.xlsx"/>
    <x v="0"/>
    <x v="7"/>
  </r>
  <r>
    <s v="MonthlyTradeStatistics 2016_08.xlsx"/>
    <x v="16"/>
    <n v="17702"/>
    <s v="2016_08.xlsx"/>
    <x v="0"/>
    <x v="7"/>
  </r>
  <r>
    <s v="MonthlyTradeStatistics 2016_08.xlsx"/>
    <x v="17"/>
    <n v="667.53459999999995"/>
    <s v="2016_08.xlsx"/>
    <x v="0"/>
    <x v="7"/>
  </r>
  <r>
    <s v="MonthlyTradeStatistics 2016_08.xlsx"/>
    <x v="18"/>
    <n v="70701.91"/>
    <s v="2016_08.xlsx"/>
    <x v="0"/>
    <x v="7"/>
  </r>
  <r>
    <s v="MonthlyTradeStatistics 2016_08.xlsx"/>
    <x v="19"/>
    <n v="36155.978799999997"/>
    <s v="2016_08.xlsx"/>
    <x v="0"/>
    <x v="7"/>
  </r>
  <r>
    <s v="MonthlyTradeStatistics 2016_08.xlsx"/>
    <x v="20"/>
    <n v="0"/>
    <s v="2016_08.xlsx"/>
    <x v="0"/>
    <x v="7"/>
  </r>
  <r>
    <s v="MonthlyTradeStatistics 2016_08.xlsx"/>
    <x v="21"/>
    <n v="315674"/>
    <s v="2016_08.xlsx"/>
    <x v="0"/>
    <x v="7"/>
  </r>
  <r>
    <s v="MonthlyTradeStatistics 2016_08.xlsx"/>
    <x v="22"/>
    <n v="0"/>
    <s v="2016_08.xlsx"/>
    <x v="0"/>
    <x v="7"/>
  </r>
  <r>
    <s v="MonthlyTradeStatistics 2016_08.xlsx"/>
    <x v="23"/>
    <n v="3830.2197000000001"/>
    <s v="2016_08.xlsx"/>
    <x v="0"/>
    <x v="7"/>
  </r>
  <r>
    <s v="MonthlyTradeStatistics 2016_08.xlsx"/>
    <x v="24"/>
    <n v="311865.49670000002"/>
    <s v="2016_08.xlsx"/>
    <x v="0"/>
    <x v="7"/>
  </r>
  <r>
    <s v="MonthlyTradeStatistics 2016_08.xlsx"/>
    <x v="25"/>
    <n v="21138.811300000001"/>
    <s v="2016_08.xlsx"/>
    <x v="0"/>
    <x v="7"/>
  </r>
  <r>
    <s v="MonthlyTradeStatistics 2016_08.xlsx"/>
    <x v="26"/>
    <n v="17.896699999999999"/>
    <s v="2016_08.xlsx"/>
    <x v="0"/>
    <x v="7"/>
  </r>
  <r>
    <s v="MonthlyTradeStatistics 2016_08.xlsx"/>
    <x v="27"/>
    <n v="411.86930000000001"/>
    <s v="2016_08.xlsx"/>
    <x v="0"/>
    <x v="7"/>
  </r>
  <r>
    <s v="MonthlyTradeStatistics 2016_08.xlsx"/>
    <x v="28"/>
    <n v="235808.3817"/>
    <s v="2016_08.xlsx"/>
    <x v="0"/>
    <x v="7"/>
  </r>
  <r>
    <s v="MonthlyTradeStatistics 2016_08.xlsx"/>
    <x v="29"/>
    <n v="448884.62400000001"/>
    <s v="2016_08.xlsx"/>
    <x v="0"/>
    <x v="7"/>
  </r>
  <r>
    <s v="MonthlyTradeStatistics 2016_08.xlsx"/>
    <x v="30"/>
    <n v="679137.16240000003"/>
    <s v="2016_08.xlsx"/>
    <x v="0"/>
    <x v="7"/>
  </r>
  <r>
    <s v="MonthlyTradeStatistics 2016_08.xlsx"/>
    <x v="31"/>
    <n v="1153.7716"/>
    <s v="2016_08.xlsx"/>
    <x v="0"/>
    <x v="7"/>
  </r>
  <r>
    <s v="MonthlyTradeStatistics 2016_08.xlsx"/>
    <x v="32"/>
    <n v="60163.7667"/>
    <s v="2016_08.xlsx"/>
    <x v="0"/>
    <x v="7"/>
  </r>
  <r>
    <s v="MonthlyTradeStatistics 2016_08.xlsx"/>
    <x v="33"/>
    <n v="21575.577099999999"/>
    <s v="2016_08.xlsx"/>
    <x v="0"/>
    <x v="7"/>
  </r>
  <r>
    <s v="MonthlyTradeStatistics 2016_08.xlsx"/>
    <x v="34"/>
    <n v="0"/>
    <s v="2016_08.xlsx"/>
    <x v="0"/>
    <x v="7"/>
  </r>
  <r>
    <s v="MonthlyTradeStatistics 2016_08.xlsx"/>
    <x v="35"/>
    <n v="5648.1559999999999"/>
    <s v="2016_08.xlsx"/>
    <x v="0"/>
    <x v="7"/>
  </r>
  <r>
    <s v="MonthlyTradeStatistics 2016_08.xlsx"/>
    <x v="36"/>
    <n v="1440.6864"/>
    <s v="2016_08.xlsx"/>
    <x v="0"/>
    <x v="7"/>
  </r>
  <r>
    <s v="MonthlyTradeStatistics 2016_08.xlsx"/>
    <x v="37"/>
    <n v="200117.53659999999"/>
    <s v="2016_08.xlsx"/>
    <x v="0"/>
    <x v="7"/>
  </r>
  <r>
    <s v="MonthlyTradeStatistics 2016_08.xlsx"/>
    <x v="38"/>
    <n v="82.462599999999995"/>
    <s v="2016_08.xlsx"/>
    <x v="0"/>
    <x v="7"/>
  </r>
  <r>
    <s v="MonthlyTradeStatistics 2016_08.xlsx"/>
    <x v="39"/>
    <n v="159084.4754"/>
    <s v="2016_08.xlsx"/>
    <x v="0"/>
    <x v="7"/>
  </r>
  <r>
    <s v="MonthlyTradeStatistics 2016_08.xlsx"/>
    <x v="40"/>
    <n v="0"/>
    <s v="2016_08.xlsx"/>
    <x v="0"/>
    <x v="7"/>
  </r>
  <r>
    <s v="MonthlyTradeStatistics 2016_08.xlsx"/>
    <x v="41"/>
    <n v="6837.9047"/>
    <s v="2016_08.xlsx"/>
    <x v="0"/>
    <x v="7"/>
  </r>
  <r>
    <s v="MonthlyTradeStatistics 2016_08.xlsx"/>
    <x v="42"/>
    <n v="187872.83"/>
    <s v="2016_08.xlsx"/>
    <x v="0"/>
    <x v="7"/>
  </r>
  <r>
    <s v="MonthlyTradeStatistics 2016_08.xlsx"/>
    <x v="43"/>
    <n v="3.1238000000000001"/>
    <s v="2016_08.xlsx"/>
    <x v="0"/>
    <x v="7"/>
  </r>
  <r>
    <s v="MonthlyTradeStatistics 2016_08.xlsx"/>
    <x v="44"/>
    <n v="622899.28"/>
    <s v="2016_08.xlsx"/>
    <x v="0"/>
    <x v="7"/>
  </r>
  <r>
    <s v="MonthlyTradeStatistics 2016_08.xlsx"/>
    <x v="45"/>
    <n v="724.19680000000005"/>
    <s v="2016_08.xlsx"/>
    <x v="0"/>
    <x v="7"/>
  </r>
  <r>
    <s v="MonthlyTradeStatistics 2016_08.xlsx"/>
    <x v="46"/>
    <n v="18345.782800000001"/>
    <s v="2016_08.xlsx"/>
    <x v="0"/>
    <x v="7"/>
  </r>
  <r>
    <s v="MonthlyTradeStatistics 2016_08.xlsx"/>
    <x v="47"/>
    <n v="2371.0102000000002"/>
    <s v="2016_08.xlsx"/>
    <x v="0"/>
    <x v="7"/>
  </r>
  <r>
    <s v="MonthlyTradeStatistics 2016_08.xlsx"/>
    <x v="48"/>
    <n v="122.43089999999999"/>
    <s v="2016_08.xlsx"/>
    <x v="0"/>
    <x v="7"/>
  </r>
  <r>
    <s v="MonthlyTradeStatistics 2016_08.xlsx"/>
    <x v="49"/>
    <n v="49277.93"/>
    <s v="2016_08.xlsx"/>
    <x v="0"/>
    <x v="7"/>
  </r>
  <r>
    <s v="MonthlyTradeStatistics 2016_08.xlsx"/>
    <x v="50"/>
    <n v="11413.162899999999"/>
    <s v="2016_08.xlsx"/>
    <x v="0"/>
    <x v="7"/>
  </r>
  <r>
    <s v="MonthlyTradeStatistics 2016_08.xlsx"/>
    <x v="51"/>
    <n v="2591.2357999999999"/>
    <s v="2016_08.xlsx"/>
    <x v="0"/>
    <x v="7"/>
  </r>
  <r>
    <s v="MonthlyTradeStatistics 2016_08.xlsx"/>
    <x v="52"/>
    <n v="5066.2166999999999"/>
    <s v="2016_08.xlsx"/>
    <x v="0"/>
    <x v="7"/>
  </r>
  <r>
    <s v="MonthlyTradeStatistics 2016_08.xlsx"/>
    <x v="53"/>
    <n v="54.011800000000001"/>
    <s v="2016_08.xlsx"/>
    <x v="0"/>
    <x v="7"/>
  </r>
  <r>
    <s v="MonthlyTradeStatistics 2016_08.xlsx"/>
    <x v="54"/>
    <n v="291059"/>
    <s v="2016_08.xlsx"/>
    <x v="0"/>
    <x v="7"/>
  </r>
  <r>
    <s v="MonthlyTradeStatistics 2016_08.xlsx"/>
    <x v="55"/>
    <n v="0"/>
    <s v="2016_08.xlsx"/>
    <x v="0"/>
    <x v="7"/>
  </r>
  <r>
    <s v="MonthlyTradeStatistics 2016_08.xlsx"/>
    <x v="56"/>
    <n v="2526278.3132000002"/>
    <s v="2016_08.xlsx"/>
    <x v="0"/>
    <x v="7"/>
  </r>
  <r>
    <s v="MonthlyTradeStatistics 2016_08.xlsx"/>
    <x v="57"/>
    <n v="3998.0918000000001"/>
    <s v="2016_08.xlsx"/>
    <x v="0"/>
    <x v="7"/>
  </r>
  <r>
    <s v="MonthlyTradeStatistics 2016_08.xlsx"/>
    <x v="58"/>
    <n v="51.109699999999997"/>
    <s v="2016_08.xlsx"/>
    <x v="0"/>
    <x v="7"/>
  </r>
  <r>
    <s v="MonthlyTradeStatistics 2016_08.xlsx"/>
    <x v="59"/>
    <n v="650.47950000000003"/>
    <s v="2016_08.xlsx"/>
    <x v="0"/>
    <x v="7"/>
  </r>
  <r>
    <s v="MonthlyTradeStatistics 2016_09.xlsx"/>
    <x v="0"/>
    <n v="9736917.2835000008"/>
    <s v="2016_09.xlsx"/>
    <x v="0"/>
    <x v="8"/>
  </r>
  <r>
    <s v="MonthlyTradeStatistics 2016_09.xlsx"/>
    <x v="1"/>
    <n v="1076524.5952000001"/>
    <s v="2016_09.xlsx"/>
    <x v="0"/>
    <x v="8"/>
  </r>
  <r>
    <s v="MonthlyTradeStatistics 2016_09.xlsx"/>
    <x v="2"/>
    <n v="1802747.0571000001"/>
    <s v="2016_09.xlsx"/>
    <x v="0"/>
    <x v="8"/>
  </r>
  <r>
    <s v="MonthlyTradeStatistics 2016_09.xlsx"/>
    <x v="3"/>
    <n v="3117039.7752"/>
    <s v="2016_09.xlsx"/>
    <x v="0"/>
    <x v="8"/>
  </r>
  <r>
    <s v="MonthlyTradeStatistics 2016_09.xlsx"/>
    <x v="4"/>
    <n v="3740605.8560000001"/>
    <s v="2016_09.xlsx"/>
    <x v="0"/>
    <x v="8"/>
  </r>
  <r>
    <s v="MonthlyTradeStatistics 2016_09.xlsx"/>
    <x v="5"/>
    <n v="600"/>
    <s v="2016_09.xlsx"/>
    <x v="0"/>
    <x v="8"/>
  </r>
  <r>
    <s v="MonthlyTradeStatistics 2016_09.xlsx"/>
    <x v="6"/>
    <n v="1451.25"/>
    <s v="2016_09.xlsx"/>
    <x v="0"/>
    <x v="8"/>
  </r>
  <r>
    <s v="MonthlyTradeStatistics 2016_09.xlsx"/>
    <x v="7"/>
    <n v="3068226.0144000002"/>
    <s v="2016_09.xlsx"/>
    <x v="0"/>
    <x v="8"/>
  </r>
  <r>
    <s v="MonthlyTradeStatistics 2016_09.xlsx"/>
    <x v="8"/>
    <n v="11200.122100000001"/>
    <s v="2016_09.xlsx"/>
    <x v="0"/>
    <x v="8"/>
  </r>
  <r>
    <s v="MonthlyTradeStatistics 2016_09.xlsx"/>
    <x v="9"/>
    <n v="24559"/>
    <s v="2016_09.xlsx"/>
    <x v="0"/>
    <x v="8"/>
  </r>
  <r>
    <s v="MonthlyTradeStatistics 2016_09.xlsx"/>
    <x v="10"/>
    <n v="0"/>
    <s v="2016_09.xlsx"/>
    <x v="0"/>
    <x v="8"/>
  </r>
  <r>
    <s v="MonthlyTradeStatistics 2016_09.xlsx"/>
    <x v="11"/>
    <n v="1012263.8095"/>
    <s v="2016_09.xlsx"/>
    <x v="0"/>
    <x v="8"/>
  </r>
  <r>
    <s v="MonthlyTradeStatistics 2016_09.xlsx"/>
    <x v="12"/>
    <n v="0"/>
    <s v="2016_09.xlsx"/>
    <x v="0"/>
    <x v="8"/>
  </r>
  <r>
    <s v="MonthlyTradeStatistics 2016_09.xlsx"/>
    <x v="13"/>
    <n v="49679"/>
    <s v="2016_09.xlsx"/>
    <x v="0"/>
    <x v="8"/>
  </r>
  <r>
    <s v="MonthlyTradeStatistics 2016_09.xlsx"/>
    <x v="14"/>
    <n v="180527.2996"/>
    <s v="2016_09.xlsx"/>
    <x v="0"/>
    <x v="8"/>
  </r>
  <r>
    <s v="MonthlyTradeStatistics 2016_09.xlsx"/>
    <x v="15"/>
    <n v="0"/>
    <s v="2016_09.xlsx"/>
    <x v="0"/>
    <x v="8"/>
  </r>
  <r>
    <s v="MonthlyTradeStatistics 2016_09.xlsx"/>
    <x v="16"/>
    <n v="11814"/>
    <s v="2016_09.xlsx"/>
    <x v="0"/>
    <x v="8"/>
  </r>
  <r>
    <s v="MonthlyTradeStatistics 2016_09.xlsx"/>
    <x v="17"/>
    <n v="982.38909999999998"/>
    <s v="2016_09.xlsx"/>
    <x v="0"/>
    <x v="8"/>
  </r>
  <r>
    <s v="MonthlyTradeStatistics 2016_09.xlsx"/>
    <x v="18"/>
    <n v="89619.934599999993"/>
    <s v="2016_09.xlsx"/>
    <x v="0"/>
    <x v="8"/>
  </r>
  <r>
    <s v="MonthlyTradeStatistics 2016_09.xlsx"/>
    <x v="19"/>
    <n v="27732.159299999999"/>
    <s v="2016_09.xlsx"/>
    <x v="0"/>
    <x v="8"/>
  </r>
  <r>
    <s v="MonthlyTradeStatistics 2016_09.xlsx"/>
    <x v="20"/>
    <n v="0"/>
    <s v="2016_09.xlsx"/>
    <x v="0"/>
    <x v="8"/>
  </r>
  <r>
    <s v="MonthlyTradeStatistics 2016_09.xlsx"/>
    <x v="21"/>
    <n v="261808.3334"/>
    <s v="2016_09.xlsx"/>
    <x v="0"/>
    <x v="8"/>
  </r>
  <r>
    <s v="MonthlyTradeStatistics 2016_09.xlsx"/>
    <x v="22"/>
    <n v="0"/>
    <s v="2016_09.xlsx"/>
    <x v="0"/>
    <x v="8"/>
  </r>
  <r>
    <s v="MonthlyTradeStatistics 2016_09.xlsx"/>
    <x v="23"/>
    <n v="1390.701"/>
    <s v="2016_09.xlsx"/>
    <x v="0"/>
    <x v="8"/>
  </r>
  <r>
    <s v="MonthlyTradeStatistics 2016_09.xlsx"/>
    <x v="24"/>
    <n v="200249.43359999999"/>
    <s v="2016_09.xlsx"/>
    <x v="0"/>
    <x v="8"/>
  </r>
  <r>
    <s v="MonthlyTradeStatistics 2016_09.xlsx"/>
    <x v="25"/>
    <n v="18665.471300000001"/>
    <s v="2016_09.xlsx"/>
    <x v="0"/>
    <x v="8"/>
  </r>
  <r>
    <s v="MonthlyTradeStatistics 2016_09.xlsx"/>
    <x v="26"/>
    <n v="88.703299999999999"/>
    <s v="2016_09.xlsx"/>
    <x v="0"/>
    <x v="8"/>
  </r>
  <r>
    <s v="MonthlyTradeStatistics 2016_09.xlsx"/>
    <x v="27"/>
    <n v="341.17599999999999"/>
    <s v="2016_09.xlsx"/>
    <x v="0"/>
    <x v="8"/>
  </r>
  <r>
    <s v="MonthlyTradeStatistics 2016_09.xlsx"/>
    <x v="28"/>
    <n v="157850.53330000001"/>
    <s v="2016_09.xlsx"/>
    <x v="0"/>
    <x v="8"/>
  </r>
  <r>
    <s v="MonthlyTradeStatistics 2016_09.xlsx"/>
    <x v="29"/>
    <n v="406595.58059999999"/>
    <s v="2016_09.xlsx"/>
    <x v="0"/>
    <x v="8"/>
  </r>
  <r>
    <s v="MonthlyTradeStatistics 2016_09.xlsx"/>
    <x v="30"/>
    <n v="651335.7868"/>
    <s v="2016_09.xlsx"/>
    <x v="0"/>
    <x v="8"/>
  </r>
  <r>
    <s v="MonthlyTradeStatistics 2016_09.xlsx"/>
    <x v="31"/>
    <n v="996.07339999999999"/>
    <s v="2016_09.xlsx"/>
    <x v="0"/>
    <x v="8"/>
  </r>
  <r>
    <s v="MonthlyTradeStatistics 2016_09.xlsx"/>
    <x v="32"/>
    <n v="49379.966699999997"/>
    <s v="2016_09.xlsx"/>
    <x v="0"/>
    <x v="8"/>
  </r>
  <r>
    <s v="MonthlyTradeStatistics 2016_09.xlsx"/>
    <x v="33"/>
    <n v="20982.179499999998"/>
    <s v="2016_09.xlsx"/>
    <x v="0"/>
    <x v="8"/>
  </r>
  <r>
    <s v="MonthlyTradeStatistics 2016_09.xlsx"/>
    <x v="34"/>
    <n v="985"/>
    <s v="2016_09.xlsx"/>
    <x v="0"/>
    <x v="8"/>
  </r>
  <r>
    <s v="MonthlyTradeStatistics 2016_09.xlsx"/>
    <x v="35"/>
    <n v="12895.0425"/>
    <s v="2016_09.xlsx"/>
    <x v="0"/>
    <x v="8"/>
  </r>
  <r>
    <s v="MonthlyTradeStatistics 2016_09.xlsx"/>
    <x v="36"/>
    <n v="763.60789999999997"/>
    <s v="2016_09.xlsx"/>
    <x v="0"/>
    <x v="8"/>
  </r>
  <r>
    <s v="MonthlyTradeStatistics 2016_09.xlsx"/>
    <x v="37"/>
    <n v="170222.09779999999"/>
    <s v="2016_09.xlsx"/>
    <x v="0"/>
    <x v="8"/>
  </r>
  <r>
    <s v="MonthlyTradeStatistics 2016_09.xlsx"/>
    <x v="38"/>
    <n v="145.7851"/>
    <s v="2016_09.xlsx"/>
    <x v="0"/>
    <x v="8"/>
  </r>
  <r>
    <s v="MonthlyTradeStatistics 2016_09.xlsx"/>
    <x v="39"/>
    <n v="71801.074800000002"/>
    <s v="2016_09.xlsx"/>
    <x v="0"/>
    <x v="8"/>
  </r>
  <r>
    <s v="MonthlyTradeStatistics 2016_09.xlsx"/>
    <x v="40"/>
    <n v="0"/>
    <s v="2016_09.xlsx"/>
    <x v="0"/>
    <x v="8"/>
  </r>
  <r>
    <s v="MonthlyTradeStatistics 2016_09.xlsx"/>
    <x v="41"/>
    <n v="4626.9677000000001"/>
    <s v="2016_09.xlsx"/>
    <x v="0"/>
    <x v="8"/>
  </r>
  <r>
    <s v="MonthlyTradeStatistics 2016_09.xlsx"/>
    <x v="42"/>
    <n v="139781"/>
    <s v="2016_09.xlsx"/>
    <x v="0"/>
    <x v="8"/>
  </r>
  <r>
    <s v="MonthlyTradeStatistics 2016_09.xlsx"/>
    <x v="43"/>
    <n v="0"/>
    <s v="2016_09.xlsx"/>
    <x v="0"/>
    <x v="8"/>
  </r>
  <r>
    <s v="MonthlyTradeStatistics 2016_09.xlsx"/>
    <x v="44"/>
    <n v="618884.25"/>
    <s v="2016_09.xlsx"/>
    <x v="0"/>
    <x v="8"/>
  </r>
  <r>
    <s v="MonthlyTradeStatistics 2016_09.xlsx"/>
    <x v="45"/>
    <n v="1319.24"/>
    <s v="2016_09.xlsx"/>
    <x v="0"/>
    <x v="8"/>
  </r>
  <r>
    <s v="MonthlyTradeStatistics 2016_09.xlsx"/>
    <x v="46"/>
    <n v="23195.722300000001"/>
    <s v="2016_09.xlsx"/>
    <x v="0"/>
    <x v="8"/>
  </r>
  <r>
    <s v="MonthlyTradeStatistics 2016_09.xlsx"/>
    <x v="47"/>
    <n v="2584.3402000000001"/>
    <s v="2016_09.xlsx"/>
    <x v="0"/>
    <x v="8"/>
  </r>
  <r>
    <s v="MonthlyTradeStatistics 2016_09.xlsx"/>
    <x v="48"/>
    <n v="122.3389"/>
    <s v="2016_09.xlsx"/>
    <x v="0"/>
    <x v="8"/>
  </r>
  <r>
    <s v="MonthlyTradeStatistics 2016_09.xlsx"/>
    <x v="49"/>
    <n v="48231.767999999996"/>
    <s v="2016_09.xlsx"/>
    <x v="0"/>
    <x v="8"/>
  </r>
  <r>
    <s v="MonthlyTradeStatistics 2016_09.xlsx"/>
    <x v="50"/>
    <n v="11273.3256"/>
    <s v="2016_09.xlsx"/>
    <x v="0"/>
    <x v="8"/>
  </r>
  <r>
    <s v="MonthlyTradeStatistics 2016_09.xlsx"/>
    <x v="51"/>
    <n v="3389.5758000000001"/>
    <s v="2016_09.xlsx"/>
    <x v="0"/>
    <x v="8"/>
  </r>
  <r>
    <s v="MonthlyTradeStatistics 2016_09.xlsx"/>
    <x v="52"/>
    <n v="10000.6667"/>
    <s v="2016_09.xlsx"/>
    <x v="0"/>
    <x v="8"/>
  </r>
  <r>
    <s v="MonthlyTradeStatistics 2016_09.xlsx"/>
    <x v="53"/>
    <n v="153.49100000000001"/>
    <s v="2016_09.xlsx"/>
    <x v="0"/>
    <x v="8"/>
  </r>
  <r>
    <s v="MonthlyTradeStatistics 2016_09.xlsx"/>
    <x v="54"/>
    <n v="208956"/>
    <s v="2016_09.xlsx"/>
    <x v="0"/>
    <x v="8"/>
  </r>
  <r>
    <s v="MonthlyTradeStatistics 2016_09.xlsx"/>
    <x v="55"/>
    <n v="0"/>
    <s v="2016_09.xlsx"/>
    <x v="0"/>
    <x v="8"/>
  </r>
  <r>
    <s v="MonthlyTradeStatistics 2016_09.xlsx"/>
    <x v="56"/>
    <n v="2157780.6063000001"/>
    <s v="2016_09.xlsx"/>
    <x v="0"/>
    <x v="8"/>
  </r>
  <r>
    <s v="MonthlyTradeStatistics 2016_09.xlsx"/>
    <x v="57"/>
    <n v="0"/>
    <s v="2016_09.xlsx"/>
    <x v="0"/>
    <x v="8"/>
  </r>
  <r>
    <s v="MonthlyTradeStatistics 2016_09.xlsx"/>
    <x v="58"/>
    <n v="1106.9396999999999"/>
    <s v="2016_09.xlsx"/>
    <x v="0"/>
    <x v="8"/>
  </r>
  <r>
    <s v="MonthlyTradeStatistics 2016_09.xlsx"/>
    <x v="59"/>
    <n v="359.52569999999997"/>
    <s v="2016_09.xlsx"/>
    <x v="0"/>
    <x v="8"/>
  </r>
  <r>
    <s v="MonthlyTradeStatistics 2016_10.xlsx"/>
    <x v="0"/>
    <n v="9898002.3587999996"/>
    <s v="2016_10.xlsx"/>
    <x v="0"/>
    <x v="9"/>
  </r>
  <r>
    <s v="MonthlyTradeStatistics 2016_10.xlsx"/>
    <x v="1"/>
    <n v="1315433.1276"/>
    <s v="2016_10.xlsx"/>
    <x v="0"/>
    <x v="9"/>
  </r>
  <r>
    <s v="MonthlyTradeStatistics 2016_10.xlsx"/>
    <x v="2"/>
    <n v="1546796.9454999999"/>
    <s v="2016_10.xlsx"/>
    <x v="0"/>
    <x v="9"/>
  </r>
  <r>
    <s v="MonthlyTradeStatistics 2016_10.xlsx"/>
    <x v="3"/>
    <n v="3439257.5147000002"/>
    <s v="2016_10.xlsx"/>
    <x v="0"/>
    <x v="9"/>
  </r>
  <r>
    <s v="MonthlyTradeStatistics 2016_10.xlsx"/>
    <x v="4"/>
    <n v="3596514.7710000002"/>
    <s v="2016_10.xlsx"/>
    <x v="0"/>
    <x v="9"/>
  </r>
  <r>
    <s v="MonthlyTradeStatistics 2016_10.xlsx"/>
    <x v="5"/>
    <n v="0"/>
    <s v="2016_10.xlsx"/>
    <x v="0"/>
    <x v="9"/>
  </r>
  <r>
    <s v="MonthlyTradeStatistics 2016_10.xlsx"/>
    <x v="6"/>
    <n v="2567.0832999999998"/>
    <s v="2016_10.xlsx"/>
    <x v="0"/>
    <x v="9"/>
  </r>
  <r>
    <s v="MonthlyTradeStatistics 2016_10.xlsx"/>
    <x v="7"/>
    <n v="3362927.9485999998"/>
    <s v="2016_10.xlsx"/>
    <x v="0"/>
    <x v="9"/>
  </r>
  <r>
    <s v="MonthlyTradeStatistics 2016_10.xlsx"/>
    <x v="8"/>
    <n v="24508.5821"/>
    <s v="2016_10.xlsx"/>
    <x v="0"/>
    <x v="9"/>
  </r>
  <r>
    <s v="MonthlyTradeStatistics 2016_10.xlsx"/>
    <x v="9"/>
    <n v="7728"/>
    <s v="2016_10.xlsx"/>
    <x v="0"/>
    <x v="9"/>
  </r>
  <r>
    <s v="MonthlyTradeStatistics 2016_10.xlsx"/>
    <x v="10"/>
    <n v="0"/>
    <s v="2016_10.xlsx"/>
    <x v="0"/>
    <x v="9"/>
  </r>
  <r>
    <s v="MonthlyTradeStatistics 2016_10.xlsx"/>
    <x v="11"/>
    <n v="1230415.6133000001"/>
    <s v="2016_10.xlsx"/>
    <x v="0"/>
    <x v="9"/>
  </r>
  <r>
    <s v="MonthlyTradeStatistics 2016_10.xlsx"/>
    <x v="12"/>
    <n v="0"/>
    <s v="2016_10.xlsx"/>
    <x v="0"/>
    <x v="9"/>
  </r>
  <r>
    <s v="MonthlyTradeStatistics 2016_10.xlsx"/>
    <x v="13"/>
    <n v="42708.583299999998"/>
    <s v="2016_10.xlsx"/>
    <x v="0"/>
    <x v="9"/>
  </r>
  <r>
    <s v="MonthlyTradeStatistics 2016_10.xlsx"/>
    <x v="14"/>
    <n v="51866.333299999998"/>
    <s v="2016_10.xlsx"/>
    <x v="0"/>
    <x v="9"/>
  </r>
  <r>
    <s v="MonthlyTradeStatistics 2016_10.xlsx"/>
    <x v="15"/>
    <n v="0"/>
    <s v="2016_10.xlsx"/>
    <x v="0"/>
    <x v="9"/>
  </r>
  <r>
    <s v="MonthlyTradeStatistics 2016_10.xlsx"/>
    <x v="16"/>
    <n v="3007"/>
    <s v="2016_10.xlsx"/>
    <x v="0"/>
    <x v="9"/>
  </r>
  <r>
    <s v="MonthlyTradeStatistics 2016_10.xlsx"/>
    <x v="17"/>
    <n v="967.51170000000002"/>
    <s v="2016_10.xlsx"/>
    <x v="0"/>
    <x v="9"/>
  </r>
  <r>
    <s v="MonthlyTradeStatistics 2016_10.xlsx"/>
    <x v="18"/>
    <n v="105171.1838"/>
    <s v="2016_10.xlsx"/>
    <x v="0"/>
    <x v="9"/>
  </r>
  <r>
    <s v="MonthlyTradeStatistics 2016_10.xlsx"/>
    <x v="19"/>
    <n v="11172.416800000001"/>
    <s v="2016_10.xlsx"/>
    <x v="0"/>
    <x v="9"/>
  </r>
  <r>
    <s v="MonthlyTradeStatistics 2016_10.xlsx"/>
    <x v="20"/>
    <n v="0"/>
    <s v="2016_10.xlsx"/>
    <x v="0"/>
    <x v="9"/>
  </r>
  <r>
    <s v="MonthlyTradeStatistics 2016_10.xlsx"/>
    <x v="21"/>
    <n v="209900.1666"/>
    <s v="2016_10.xlsx"/>
    <x v="0"/>
    <x v="9"/>
  </r>
  <r>
    <s v="MonthlyTradeStatistics 2016_10.xlsx"/>
    <x v="22"/>
    <n v="0"/>
    <s v="2016_10.xlsx"/>
    <x v="0"/>
    <x v="9"/>
  </r>
  <r>
    <s v="MonthlyTradeStatistics 2016_10.xlsx"/>
    <x v="23"/>
    <n v="1678.4073000000001"/>
    <s v="2016_10.xlsx"/>
    <x v="0"/>
    <x v="9"/>
  </r>
  <r>
    <s v="MonthlyTradeStatistics 2016_10.xlsx"/>
    <x v="24"/>
    <n v="47110.299200000001"/>
    <s v="2016_10.xlsx"/>
    <x v="0"/>
    <x v="9"/>
  </r>
  <r>
    <s v="MonthlyTradeStatistics 2016_10.xlsx"/>
    <x v="25"/>
    <n v="18407.061300000001"/>
    <s v="2016_10.xlsx"/>
    <x v="0"/>
    <x v="9"/>
  </r>
  <r>
    <s v="MonthlyTradeStatistics 2016_10.xlsx"/>
    <x v="26"/>
    <n v="53.82"/>
    <s v="2016_10.xlsx"/>
    <x v="0"/>
    <x v="9"/>
  </r>
  <r>
    <s v="MonthlyTradeStatistics 2016_10.xlsx"/>
    <x v="27"/>
    <n v="7.4169999999999998"/>
    <s v="2016_10.xlsx"/>
    <x v="0"/>
    <x v="9"/>
  </r>
  <r>
    <s v="MonthlyTradeStatistics 2016_10.xlsx"/>
    <x v="28"/>
    <n v="65158.586000000003"/>
    <s v="2016_10.xlsx"/>
    <x v="0"/>
    <x v="9"/>
  </r>
  <r>
    <s v="MonthlyTradeStatistics 2016_10.xlsx"/>
    <x v="29"/>
    <n v="433919.04749999999"/>
    <s v="2016_10.xlsx"/>
    <x v="0"/>
    <x v="9"/>
  </r>
  <r>
    <s v="MonthlyTradeStatistics 2016_10.xlsx"/>
    <x v="30"/>
    <n v="901004.63179999997"/>
    <s v="2016_10.xlsx"/>
    <x v="0"/>
    <x v="9"/>
  </r>
  <r>
    <s v="MonthlyTradeStatistics 2016_10.xlsx"/>
    <x v="31"/>
    <n v="259.92959999999999"/>
    <s v="2016_10.xlsx"/>
    <x v="0"/>
    <x v="9"/>
  </r>
  <r>
    <s v="MonthlyTradeStatistics 2016_10.xlsx"/>
    <x v="32"/>
    <n v="53325.4643"/>
    <s v="2016_10.xlsx"/>
    <x v="0"/>
    <x v="9"/>
  </r>
  <r>
    <s v="MonthlyTradeStatistics 2016_10.xlsx"/>
    <x v="33"/>
    <n v="22754.992300000002"/>
    <s v="2016_10.xlsx"/>
    <x v="0"/>
    <x v="9"/>
  </r>
  <r>
    <s v="MonthlyTradeStatistics 2016_10.xlsx"/>
    <x v="34"/>
    <n v="0"/>
    <s v="2016_10.xlsx"/>
    <x v="0"/>
    <x v="9"/>
  </r>
  <r>
    <s v="MonthlyTradeStatistics 2016_10.xlsx"/>
    <x v="35"/>
    <n v="12427.0416"/>
    <s v="2016_10.xlsx"/>
    <x v="0"/>
    <x v="9"/>
  </r>
  <r>
    <s v="MonthlyTradeStatistics 2016_10.xlsx"/>
    <x v="36"/>
    <n v="775.27790000000005"/>
    <s v="2016_10.xlsx"/>
    <x v="0"/>
    <x v="9"/>
  </r>
  <r>
    <s v="MonthlyTradeStatistics 2016_10.xlsx"/>
    <x v="37"/>
    <n v="174232.984"/>
    <s v="2016_10.xlsx"/>
    <x v="0"/>
    <x v="9"/>
  </r>
  <r>
    <s v="MonthlyTradeStatistics 2016_10.xlsx"/>
    <x v="38"/>
    <n v="296.96820000000002"/>
    <s v="2016_10.xlsx"/>
    <x v="0"/>
    <x v="9"/>
  </r>
  <r>
    <s v="MonthlyTradeStatistics 2016_10.xlsx"/>
    <x v="39"/>
    <n v="56638.193200000002"/>
    <s v="2016_10.xlsx"/>
    <x v="0"/>
    <x v="9"/>
  </r>
  <r>
    <s v="MonthlyTradeStatistics 2016_10.xlsx"/>
    <x v="40"/>
    <n v="0"/>
    <s v="2016_10.xlsx"/>
    <x v="0"/>
    <x v="9"/>
  </r>
  <r>
    <s v="MonthlyTradeStatistics 2016_10.xlsx"/>
    <x v="41"/>
    <n v="5650.0257000000001"/>
    <s v="2016_10.xlsx"/>
    <x v="0"/>
    <x v="9"/>
  </r>
  <r>
    <s v="MonthlyTradeStatistics 2016_10.xlsx"/>
    <x v="42"/>
    <n v="141544.51319999999"/>
    <s v="2016_10.xlsx"/>
    <x v="0"/>
    <x v="9"/>
  </r>
  <r>
    <s v="MonthlyTradeStatistics 2016_10.xlsx"/>
    <x v="43"/>
    <n v="0"/>
    <s v="2016_10.xlsx"/>
    <x v="0"/>
    <x v="9"/>
  </r>
  <r>
    <s v="MonthlyTradeStatistics 2016_10.xlsx"/>
    <x v="44"/>
    <n v="589868.07999999996"/>
    <s v="2016_10.xlsx"/>
    <x v="0"/>
    <x v="9"/>
  </r>
  <r>
    <s v="MonthlyTradeStatistics 2016_10.xlsx"/>
    <x v="45"/>
    <n v="2387.3438000000001"/>
    <s v="2016_10.xlsx"/>
    <x v="0"/>
    <x v="9"/>
  </r>
  <r>
    <s v="MonthlyTradeStatistics 2016_10.xlsx"/>
    <x v="46"/>
    <n v="38803.308199999999"/>
    <s v="2016_10.xlsx"/>
    <x v="0"/>
    <x v="9"/>
  </r>
  <r>
    <s v="MonthlyTradeStatistics 2016_10.xlsx"/>
    <x v="47"/>
    <n v="1812.6702"/>
    <s v="2016_10.xlsx"/>
    <x v="0"/>
    <x v="9"/>
  </r>
  <r>
    <s v="MonthlyTradeStatistics 2016_10.xlsx"/>
    <x v="48"/>
    <n v="119.9239"/>
    <s v="2016_10.xlsx"/>
    <x v="0"/>
    <x v="9"/>
  </r>
  <r>
    <s v="MonthlyTradeStatistics 2016_10.xlsx"/>
    <x v="49"/>
    <n v="69022.64"/>
    <s v="2016_10.xlsx"/>
    <x v="0"/>
    <x v="9"/>
  </r>
  <r>
    <s v="MonthlyTradeStatistics 2016_10.xlsx"/>
    <x v="50"/>
    <n v="11174.753000000001"/>
    <s v="2016_10.xlsx"/>
    <x v="0"/>
    <x v="9"/>
  </r>
  <r>
    <s v="MonthlyTradeStatistics 2016_10.xlsx"/>
    <x v="51"/>
    <n v="10946.9658"/>
    <s v="2016_10.xlsx"/>
    <x v="0"/>
    <x v="9"/>
  </r>
  <r>
    <s v="MonthlyTradeStatistics 2016_10.xlsx"/>
    <x v="52"/>
    <n v="1282.3333"/>
    <s v="2016_10.xlsx"/>
    <x v="0"/>
    <x v="9"/>
  </r>
  <r>
    <s v="MonthlyTradeStatistics 2016_10.xlsx"/>
    <x v="53"/>
    <n v="228.51329999999999"/>
    <s v="2016_10.xlsx"/>
    <x v="0"/>
    <x v="9"/>
  </r>
  <r>
    <s v="MonthlyTradeStatistics 2016_10.xlsx"/>
    <x v="54"/>
    <n v="209144"/>
    <s v="2016_10.xlsx"/>
    <x v="0"/>
    <x v="9"/>
  </r>
  <r>
    <s v="MonthlyTradeStatistics 2016_10.xlsx"/>
    <x v="55"/>
    <n v="0"/>
    <s v="2016_10.xlsx"/>
    <x v="0"/>
    <x v="9"/>
  </r>
  <r>
    <s v="MonthlyTradeStatistics 2016_10.xlsx"/>
    <x v="56"/>
    <n v="1973594.7790000001"/>
    <s v="2016_10.xlsx"/>
    <x v="0"/>
    <x v="9"/>
  </r>
  <r>
    <s v="MonthlyTradeStatistics 2016_10.xlsx"/>
    <x v="57"/>
    <n v="0"/>
    <s v="2016_10.xlsx"/>
    <x v="0"/>
    <x v="9"/>
  </r>
  <r>
    <s v="MonthlyTradeStatistics 2016_10.xlsx"/>
    <x v="58"/>
    <n v="771.10969999999998"/>
    <s v="2016_10.xlsx"/>
    <x v="0"/>
    <x v="9"/>
  </r>
  <r>
    <s v="MonthlyTradeStatistics 2016_10.xlsx"/>
    <x v="59"/>
    <n v="660.85569999999996"/>
    <s v="2016_10.xlsx"/>
    <x v="0"/>
    <x v="9"/>
  </r>
  <r>
    <s v="MonthlyTradeStatistics 2016_11.xlsx"/>
    <x v="0"/>
    <n v="9948661.2468999997"/>
    <s v="2016_11.xlsx"/>
    <x v="0"/>
    <x v="10"/>
  </r>
  <r>
    <s v="MonthlyTradeStatistics 2016_11.xlsx"/>
    <x v="1"/>
    <n v="1437118.7027"/>
    <s v="2016_11.xlsx"/>
    <x v="0"/>
    <x v="10"/>
  </r>
  <r>
    <s v="MonthlyTradeStatistics 2016_11.xlsx"/>
    <x v="2"/>
    <n v="1550857.1906999999"/>
    <s v="2016_11.xlsx"/>
    <x v="0"/>
    <x v="10"/>
  </r>
  <r>
    <s v="MonthlyTradeStatistics 2016_11.xlsx"/>
    <x v="3"/>
    <n v="3384675.2615"/>
    <s v="2016_11.xlsx"/>
    <x v="0"/>
    <x v="10"/>
  </r>
  <r>
    <s v="MonthlyTradeStatistics 2016_11.xlsx"/>
    <x v="4"/>
    <n v="3576010.0920000002"/>
    <s v="2016_11.xlsx"/>
    <x v="0"/>
    <x v="10"/>
  </r>
  <r>
    <s v="MonthlyTradeStatistics 2016_11.xlsx"/>
    <x v="5"/>
    <n v="380"/>
    <s v="2016_11.xlsx"/>
    <x v="0"/>
    <x v="10"/>
  </r>
  <r>
    <s v="MonthlyTradeStatistics 2016_11.xlsx"/>
    <x v="6"/>
    <n v="2806.4167000000002"/>
    <s v="2016_11.xlsx"/>
    <x v="0"/>
    <x v="10"/>
  </r>
  <r>
    <s v="MonthlyTradeStatistics 2016_11.xlsx"/>
    <x v="7"/>
    <n v="3276941.2110000001"/>
    <s v="2016_11.xlsx"/>
    <x v="0"/>
    <x v="10"/>
  </r>
  <r>
    <s v="MonthlyTradeStatistics 2016_11.xlsx"/>
    <x v="8"/>
    <n v="19977.2729"/>
    <s v="2016_11.xlsx"/>
    <x v="0"/>
    <x v="10"/>
  </r>
  <r>
    <s v="MonthlyTradeStatistics 2016_11.xlsx"/>
    <x v="9"/>
    <n v="7669"/>
    <s v="2016_11.xlsx"/>
    <x v="0"/>
    <x v="10"/>
  </r>
  <r>
    <s v="MonthlyTradeStatistics 2016_11.xlsx"/>
    <x v="10"/>
    <n v="0"/>
    <s v="2016_11.xlsx"/>
    <x v="0"/>
    <x v="10"/>
  </r>
  <r>
    <s v="MonthlyTradeStatistics 2016_11.xlsx"/>
    <x v="11"/>
    <n v="1329845.8642"/>
    <s v="2016_11.xlsx"/>
    <x v="0"/>
    <x v="10"/>
  </r>
  <r>
    <s v="MonthlyTradeStatistics 2016_11.xlsx"/>
    <x v="12"/>
    <n v="0"/>
    <s v="2016_11.xlsx"/>
    <x v="0"/>
    <x v="10"/>
  </r>
  <r>
    <s v="MonthlyTradeStatistics 2016_11.xlsx"/>
    <x v="13"/>
    <n v="27875.873"/>
    <s v="2016_11.xlsx"/>
    <x v="0"/>
    <x v="10"/>
  </r>
  <r>
    <s v="MonthlyTradeStatistics 2016_11.xlsx"/>
    <x v="14"/>
    <n v="113595.4335"/>
    <s v="2016_11.xlsx"/>
    <x v="0"/>
    <x v="10"/>
  </r>
  <r>
    <s v="MonthlyTradeStatistics 2016_11.xlsx"/>
    <x v="15"/>
    <n v="300"/>
    <s v="2016_11.xlsx"/>
    <x v="0"/>
    <x v="10"/>
  </r>
  <r>
    <s v="MonthlyTradeStatistics 2016_11.xlsx"/>
    <x v="16"/>
    <n v="3520"/>
    <s v="2016_11.xlsx"/>
    <x v="0"/>
    <x v="10"/>
  </r>
  <r>
    <s v="MonthlyTradeStatistics 2016_11.xlsx"/>
    <x v="17"/>
    <n v="678.88599999999997"/>
    <s v="2016_11.xlsx"/>
    <x v="0"/>
    <x v="10"/>
  </r>
  <r>
    <s v="MonthlyTradeStatistics 2016_11.xlsx"/>
    <x v="18"/>
    <n v="86533.252800000002"/>
    <s v="2016_11.xlsx"/>
    <x v="0"/>
    <x v="10"/>
  </r>
  <r>
    <s v="MonthlyTradeStatistics 2016_11.xlsx"/>
    <x v="19"/>
    <n v="5305.0865000000003"/>
    <s v="2016_11.xlsx"/>
    <x v="0"/>
    <x v="10"/>
  </r>
  <r>
    <s v="MonthlyTradeStatistics 2016_11.xlsx"/>
    <x v="20"/>
    <n v="0"/>
    <s v="2016_11.xlsx"/>
    <x v="0"/>
    <x v="10"/>
  </r>
  <r>
    <s v="MonthlyTradeStatistics 2016_11.xlsx"/>
    <x v="21"/>
    <n v="214578.6833"/>
    <s v="2016_11.xlsx"/>
    <x v="0"/>
    <x v="10"/>
  </r>
  <r>
    <s v="MonthlyTradeStatistics 2016_11.xlsx"/>
    <x v="22"/>
    <n v="0"/>
    <s v="2016_11.xlsx"/>
    <x v="0"/>
    <x v="10"/>
  </r>
  <r>
    <s v="MonthlyTradeStatistics 2016_11.xlsx"/>
    <x v="23"/>
    <n v="4727.7786999999998"/>
    <s v="2016_11.xlsx"/>
    <x v="0"/>
    <x v="10"/>
  </r>
  <r>
    <s v="MonthlyTradeStatistics 2016_11.xlsx"/>
    <x v="24"/>
    <n v="57895.745600000002"/>
    <s v="2016_11.xlsx"/>
    <x v="0"/>
    <x v="10"/>
  </r>
  <r>
    <s v="MonthlyTradeStatistics 2016_11.xlsx"/>
    <x v="25"/>
    <n v="18810.883300000001"/>
    <s v="2016_11.xlsx"/>
    <x v="0"/>
    <x v="10"/>
  </r>
  <r>
    <s v="MonthlyTradeStatistics 2016_11.xlsx"/>
    <x v="26"/>
    <n v="59.93"/>
    <s v="2016_11.xlsx"/>
    <x v="0"/>
    <x v="10"/>
  </r>
  <r>
    <s v="MonthlyTradeStatistics 2016_11.xlsx"/>
    <x v="27"/>
    <n v="13.962"/>
    <s v="2016_11.xlsx"/>
    <x v="0"/>
    <x v="10"/>
  </r>
  <r>
    <s v="MonthlyTradeStatistics 2016_11.xlsx"/>
    <x v="28"/>
    <n v="148785.25200000001"/>
    <s v="2016_11.xlsx"/>
    <x v="0"/>
    <x v="10"/>
  </r>
  <r>
    <s v="MonthlyTradeStatistics 2016_11.xlsx"/>
    <x v="29"/>
    <n v="452605.22289999999"/>
    <s v="2016_11.xlsx"/>
    <x v="0"/>
    <x v="10"/>
  </r>
  <r>
    <s v="MonthlyTradeStatistics 2016_11.xlsx"/>
    <x v="30"/>
    <n v="742287.14520000003"/>
    <s v="2016_11.xlsx"/>
    <x v="0"/>
    <x v="10"/>
  </r>
  <r>
    <s v="MonthlyTradeStatistics 2016_11.xlsx"/>
    <x v="31"/>
    <n v="425.89609999999999"/>
    <s v="2016_11.xlsx"/>
    <x v="0"/>
    <x v="10"/>
  </r>
  <r>
    <s v="MonthlyTradeStatistics 2016_11.xlsx"/>
    <x v="32"/>
    <n v="59658.339500000002"/>
    <s v="2016_11.xlsx"/>
    <x v="0"/>
    <x v="10"/>
  </r>
  <r>
    <s v="MonthlyTradeStatistics 2016_11.xlsx"/>
    <x v="33"/>
    <n v="14379.6324"/>
    <s v="2016_11.xlsx"/>
    <x v="0"/>
    <x v="10"/>
  </r>
  <r>
    <s v="MonthlyTradeStatistics 2016_11.xlsx"/>
    <x v="34"/>
    <n v="0"/>
    <s v="2016_11.xlsx"/>
    <x v="0"/>
    <x v="10"/>
  </r>
  <r>
    <s v="MonthlyTradeStatistics 2016_11.xlsx"/>
    <x v="35"/>
    <n v="10566.028700000001"/>
    <s v="2016_11.xlsx"/>
    <x v="0"/>
    <x v="10"/>
  </r>
  <r>
    <s v="MonthlyTradeStatistics 2016_11.xlsx"/>
    <x v="36"/>
    <n v="2437.6079"/>
    <s v="2016_11.xlsx"/>
    <x v="0"/>
    <x v="10"/>
  </r>
  <r>
    <s v="MonthlyTradeStatistics 2016_11.xlsx"/>
    <x v="37"/>
    <n v="133681.0932"/>
    <s v="2016_11.xlsx"/>
    <x v="0"/>
    <x v="10"/>
  </r>
  <r>
    <s v="MonthlyTradeStatistics 2016_11.xlsx"/>
    <x v="38"/>
    <n v="69.386899999999997"/>
    <s v="2016_11.xlsx"/>
    <x v="0"/>
    <x v="10"/>
  </r>
  <r>
    <s v="MonthlyTradeStatistics 2016_11.xlsx"/>
    <x v="39"/>
    <n v="41976.894200000002"/>
    <s v="2016_11.xlsx"/>
    <x v="0"/>
    <x v="10"/>
  </r>
  <r>
    <s v="MonthlyTradeStatistics 2016_11.xlsx"/>
    <x v="40"/>
    <n v="0"/>
    <s v="2016_11.xlsx"/>
    <x v="0"/>
    <x v="10"/>
  </r>
  <r>
    <s v="MonthlyTradeStatistics 2016_11.xlsx"/>
    <x v="41"/>
    <n v="2662.6588999999999"/>
    <s v="2016_11.xlsx"/>
    <x v="0"/>
    <x v="10"/>
  </r>
  <r>
    <s v="MonthlyTradeStatistics 2016_11.xlsx"/>
    <x v="42"/>
    <n v="114088.33"/>
    <s v="2016_11.xlsx"/>
    <x v="0"/>
    <x v="10"/>
  </r>
  <r>
    <s v="MonthlyTradeStatistics 2016_11.xlsx"/>
    <x v="43"/>
    <n v="6.2474999999999996"/>
    <s v="2016_11.xlsx"/>
    <x v="0"/>
    <x v="10"/>
  </r>
  <r>
    <s v="MonthlyTradeStatistics 2016_11.xlsx"/>
    <x v="44"/>
    <n v="585249.07999999996"/>
    <s v="2016_11.xlsx"/>
    <x v="0"/>
    <x v="10"/>
  </r>
  <r>
    <s v="MonthlyTradeStatistics 2016_11.xlsx"/>
    <x v="45"/>
    <n v="2390.9989999999998"/>
    <s v="2016_11.xlsx"/>
    <x v="0"/>
    <x v="10"/>
  </r>
  <r>
    <s v="MonthlyTradeStatistics 2016_11.xlsx"/>
    <x v="46"/>
    <n v="36024.868499999997"/>
    <s v="2016_11.xlsx"/>
    <x v="0"/>
    <x v="10"/>
  </r>
  <r>
    <s v="MonthlyTradeStatistics 2016_11.xlsx"/>
    <x v="47"/>
    <n v="1399.3402000000001"/>
    <s v="2016_11.xlsx"/>
    <x v="0"/>
    <x v="10"/>
  </r>
  <r>
    <s v="MonthlyTradeStatistics 2016_11.xlsx"/>
    <x v="48"/>
    <n v="115.76090000000001"/>
    <s v="2016_11.xlsx"/>
    <x v="0"/>
    <x v="10"/>
  </r>
  <r>
    <s v="MonthlyTradeStatistics 2016_11.xlsx"/>
    <x v="49"/>
    <n v="80642.928"/>
    <s v="2016_11.xlsx"/>
    <x v="0"/>
    <x v="10"/>
  </r>
  <r>
    <s v="MonthlyTradeStatistics 2016_11.xlsx"/>
    <x v="50"/>
    <n v="10048.706"/>
    <s v="2016_11.xlsx"/>
    <x v="0"/>
    <x v="10"/>
  </r>
  <r>
    <s v="MonthlyTradeStatistics 2016_11.xlsx"/>
    <x v="51"/>
    <n v="13632.8158"/>
    <s v="2016_11.xlsx"/>
    <x v="0"/>
    <x v="10"/>
  </r>
  <r>
    <s v="MonthlyTradeStatistics 2016_11.xlsx"/>
    <x v="52"/>
    <n v="2496.9167000000002"/>
    <s v="2016_11.xlsx"/>
    <x v="0"/>
    <x v="10"/>
  </r>
  <r>
    <s v="MonthlyTradeStatistics 2016_11.xlsx"/>
    <x v="53"/>
    <n v="92.442899999999995"/>
    <s v="2016_11.xlsx"/>
    <x v="0"/>
    <x v="10"/>
  </r>
  <r>
    <s v="MonthlyTradeStatistics 2016_11.xlsx"/>
    <x v="54"/>
    <n v="407693"/>
    <s v="2016_11.xlsx"/>
    <x v="0"/>
    <x v="10"/>
  </r>
  <r>
    <s v="MonthlyTradeStatistics 2016_11.xlsx"/>
    <x v="55"/>
    <n v="0"/>
    <s v="2016_11.xlsx"/>
    <x v="0"/>
    <x v="10"/>
  </r>
  <r>
    <s v="MonthlyTradeStatistics 2016_11.xlsx"/>
    <x v="56"/>
    <n v="1909658.7386"/>
    <s v="2016_11.xlsx"/>
    <x v="0"/>
    <x v="10"/>
  </r>
  <r>
    <s v="MonthlyTradeStatistics 2016_11.xlsx"/>
    <x v="57"/>
    <n v="0"/>
    <s v="2016_11.xlsx"/>
    <x v="0"/>
    <x v="10"/>
  </r>
  <r>
    <s v="MonthlyTradeStatistics 2016_11.xlsx"/>
    <x v="58"/>
    <n v="3112.7797"/>
    <s v="2016_11.xlsx"/>
    <x v="0"/>
    <x v="10"/>
  </r>
  <r>
    <s v="MonthlyTradeStatistics 2016_11.xlsx"/>
    <x v="59"/>
    <n v="957.85569999999996"/>
    <s v="2016_11.xlsx"/>
    <x v="0"/>
    <x v="10"/>
  </r>
  <r>
    <s v="MonthlyTradeStatistics 2016_12.xlsx"/>
    <x v="0"/>
    <n v="10789553.6448"/>
    <s v="2016_12.xlsx"/>
    <x v="0"/>
    <x v="11"/>
  </r>
  <r>
    <s v="MonthlyTradeStatistics 2016_12.xlsx"/>
    <x v="1"/>
    <n v="1559980.2497"/>
    <s v="2016_12.xlsx"/>
    <x v="0"/>
    <x v="11"/>
  </r>
  <r>
    <s v="MonthlyTradeStatistics 2016_12.xlsx"/>
    <x v="2"/>
    <n v="1741004.3330000001"/>
    <s v="2016_12.xlsx"/>
    <x v="0"/>
    <x v="11"/>
  </r>
  <r>
    <s v="MonthlyTradeStatistics 2016_12.xlsx"/>
    <x v="3"/>
    <n v="3402804.7947999998"/>
    <s v="2016_12.xlsx"/>
    <x v="0"/>
    <x v="11"/>
  </r>
  <r>
    <s v="MonthlyTradeStatistics 2016_12.xlsx"/>
    <x v="4"/>
    <n v="4085764.2672999999"/>
    <s v="2016_12.xlsx"/>
    <x v="0"/>
    <x v="11"/>
  </r>
  <r>
    <s v="MonthlyTradeStatistics 2016_12.xlsx"/>
    <x v="5"/>
    <n v="2700"/>
    <s v="2016_12.xlsx"/>
    <x v="0"/>
    <x v="11"/>
  </r>
  <r>
    <s v="MonthlyTradeStatistics 2016_12.xlsx"/>
    <x v="6"/>
    <n v="3341.0333000000001"/>
    <s v="2016_12.xlsx"/>
    <x v="0"/>
    <x v="11"/>
  </r>
  <r>
    <s v="MonthlyTradeStatistics 2016_12.xlsx"/>
    <x v="7"/>
    <n v="3261882.1011999999"/>
    <s v="2016_12.xlsx"/>
    <x v="0"/>
    <x v="11"/>
  </r>
  <r>
    <s v="MonthlyTradeStatistics 2016_12.xlsx"/>
    <x v="8"/>
    <n v="32998.132100000003"/>
    <s v="2016_12.xlsx"/>
    <x v="0"/>
    <x v="11"/>
  </r>
  <r>
    <s v="MonthlyTradeStatistics 2016_12.xlsx"/>
    <x v="9"/>
    <n v="4988"/>
    <s v="2016_12.xlsx"/>
    <x v="0"/>
    <x v="11"/>
  </r>
  <r>
    <s v="MonthlyTradeStatistics 2016_12.xlsx"/>
    <x v="10"/>
    <n v="0"/>
    <s v="2016_12.xlsx"/>
    <x v="0"/>
    <x v="11"/>
  </r>
  <r>
    <s v="MonthlyTradeStatistics 2016_12.xlsx"/>
    <x v="11"/>
    <n v="1450206.3296999999"/>
    <s v="2016_12.xlsx"/>
    <x v="0"/>
    <x v="11"/>
  </r>
  <r>
    <s v="MonthlyTradeStatistics 2016_12.xlsx"/>
    <x v="12"/>
    <n v="0"/>
    <s v="2016_12.xlsx"/>
    <x v="0"/>
    <x v="11"/>
  </r>
  <r>
    <s v="MonthlyTradeStatistics 2016_12.xlsx"/>
    <x v="13"/>
    <n v="31308.35"/>
    <s v="2016_12.xlsx"/>
    <x v="0"/>
    <x v="11"/>
  </r>
  <r>
    <s v="MonthlyTradeStatistics 2016_12.xlsx"/>
    <x v="14"/>
    <n v="51873.200100000002"/>
    <s v="2016_12.xlsx"/>
    <x v="0"/>
    <x v="11"/>
  </r>
  <r>
    <s v="MonthlyTradeStatistics 2016_12.xlsx"/>
    <x v="15"/>
    <n v="900"/>
    <s v="2016_12.xlsx"/>
    <x v="0"/>
    <x v="11"/>
  </r>
  <r>
    <s v="MonthlyTradeStatistics 2016_12.xlsx"/>
    <x v="16"/>
    <n v="11160"/>
    <s v="2016_12.xlsx"/>
    <x v="0"/>
    <x v="11"/>
  </r>
  <r>
    <s v="MonthlyTradeStatistics 2016_12.xlsx"/>
    <x v="17"/>
    <n v="1435.0735"/>
    <s v="2016_12.xlsx"/>
    <x v="0"/>
    <x v="11"/>
  </r>
  <r>
    <s v="MonthlyTradeStatistics 2016_12.xlsx"/>
    <x v="18"/>
    <n v="90445.578800000003"/>
    <s v="2016_12.xlsx"/>
    <x v="0"/>
    <x v="11"/>
  </r>
  <r>
    <s v="MonthlyTradeStatistics 2016_12.xlsx"/>
    <x v="19"/>
    <n v="12479.2662"/>
    <s v="2016_12.xlsx"/>
    <x v="0"/>
    <x v="11"/>
  </r>
  <r>
    <s v="MonthlyTradeStatistics 2016_12.xlsx"/>
    <x v="20"/>
    <n v="0"/>
    <s v="2016_12.xlsx"/>
    <x v="0"/>
    <x v="11"/>
  </r>
  <r>
    <s v="MonthlyTradeStatistics 2016_12.xlsx"/>
    <x v="21"/>
    <n v="170434.48329999999"/>
    <s v="2016_12.xlsx"/>
    <x v="0"/>
    <x v="11"/>
  </r>
  <r>
    <s v="MonthlyTradeStatistics 2016_12.xlsx"/>
    <x v="22"/>
    <n v="0"/>
    <s v="2016_12.xlsx"/>
    <x v="0"/>
    <x v="11"/>
  </r>
  <r>
    <s v="MonthlyTradeStatistics 2016_12.xlsx"/>
    <x v="23"/>
    <n v="2795.3453"/>
    <s v="2016_12.xlsx"/>
    <x v="0"/>
    <x v="11"/>
  </r>
  <r>
    <s v="MonthlyTradeStatistics 2016_12.xlsx"/>
    <x v="24"/>
    <n v="102886.9993"/>
    <s v="2016_12.xlsx"/>
    <x v="0"/>
    <x v="11"/>
  </r>
  <r>
    <s v="MonthlyTradeStatistics 2016_12.xlsx"/>
    <x v="25"/>
    <n v="19138.811300000001"/>
    <s v="2016_12.xlsx"/>
    <x v="0"/>
    <x v="11"/>
  </r>
  <r>
    <s v="MonthlyTradeStatistics 2016_12.xlsx"/>
    <x v="26"/>
    <n v="2.6867000000000001"/>
    <s v="2016_12.xlsx"/>
    <x v="0"/>
    <x v="11"/>
  </r>
  <r>
    <s v="MonthlyTradeStatistics 2016_12.xlsx"/>
    <x v="27"/>
    <n v="37.546999999999997"/>
    <s v="2016_12.xlsx"/>
    <x v="0"/>
    <x v="11"/>
  </r>
  <r>
    <s v="MonthlyTradeStatistics 2016_12.xlsx"/>
    <x v="28"/>
    <n v="375054.15370000002"/>
    <s v="2016_12.xlsx"/>
    <x v="0"/>
    <x v="11"/>
  </r>
  <r>
    <s v="MonthlyTradeStatistics 2016_12.xlsx"/>
    <x v="29"/>
    <n v="430958.69329999998"/>
    <s v="2016_12.xlsx"/>
    <x v="0"/>
    <x v="11"/>
  </r>
  <r>
    <s v="MonthlyTradeStatistics 2016_12.xlsx"/>
    <x v="30"/>
    <n v="790794.37919999997"/>
    <s v="2016_12.xlsx"/>
    <x v="0"/>
    <x v="11"/>
  </r>
  <r>
    <s v="MonthlyTradeStatistics 2016_12.xlsx"/>
    <x v="31"/>
    <n v="317.87599999999998"/>
    <s v="2016_12.xlsx"/>
    <x v="0"/>
    <x v="11"/>
  </r>
  <r>
    <s v="MonthlyTradeStatistics 2016_12.xlsx"/>
    <x v="32"/>
    <n v="50945"/>
    <s v="2016_12.xlsx"/>
    <x v="0"/>
    <x v="11"/>
  </r>
  <r>
    <s v="MonthlyTradeStatistics 2016_12.xlsx"/>
    <x v="33"/>
    <n v="14242.284900000001"/>
    <s v="2016_12.xlsx"/>
    <x v="0"/>
    <x v="11"/>
  </r>
  <r>
    <s v="MonthlyTradeStatistics 2016_12.xlsx"/>
    <x v="34"/>
    <n v="0"/>
    <s v="2016_12.xlsx"/>
    <x v="0"/>
    <x v="11"/>
  </r>
  <r>
    <s v="MonthlyTradeStatistics 2016_12.xlsx"/>
    <x v="35"/>
    <n v="10535.9125"/>
    <s v="2016_12.xlsx"/>
    <x v="0"/>
    <x v="11"/>
  </r>
  <r>
    <s v="MonthlyTradeStatistics 2016_12.xlsx"/>
    <x v="36"/>
    <n v="767.60789999999997"/>
    <s v="2016_12.xlsx"/>
    <x v="0"/>
    <x v="11"/>
  </r>
  <r>
    <s v="MonthlyTradeStatistics 2016_12.xlsx"/>
    <x v="37"/>
    <n v="180703.70980000001"/>
    <s v="2016_12.xlsx"/>
    <x v="0"/>
    <x v="11"/>
  </r>
  <r>
    <s v="MonthlyTradeStatistics 2016_12.xlsx"/>
    <x v="38"/>
    <n v="202.61420000000001"/>
    <s v="2016_12.xlsx"/>
    <x v="0"/>
    <x v="11"/>
  </r>
  <r>
    <s v="MonthlyTradeStatistics 2016_12.xlsx"/>
    <x v="39"/>
    <n v="56262.412300000004"/>
    <s v="2016_12.xlsx"/>
    <x v="0"/>
    <x v="11"/>
  </r>
  <r>
    <s v="MonthlyTradeStatistics 2016_12.xlsx"/>
    <x v="40"/>
    <n v="0"/>
    <s v="2016_12.xlsx"/>
    <x v="0"/>
    <x v="11"/>
  </r>
  <r>
    <s v="MonthlyTradeStatistics 2016_12.xlsx"/>
    <x v="41"/>
    <n v="1675.8651"/>
    <s v="2016_12.xlsx"/>
    <x v="0"/>
    <x v="11"/>
  </r>
  <r>
    <s v="MonthlyTradeStatistics 2016_12.xlsx"/>
    <x v="42"/>
    <n v="126693.514"/>
    <s v="2016_12.xlsx"/>
    <x v="0"/>
    <x v="11"/>
  </r>
  <r>
    <s v="MonthlyTradeStatistics 2016_12.xlsx"/>
    <x v="43"/>
    <n v="0"/>
    <s v="2016_12.xlsx"/>
    <x v="0"/>
    <x v="11"/>
  </r>
  <r>
    <s v="MonthlyTradeStatistics 2016_12.xlsx"/>
    <x v="44"/>
    <n v="481050.19"/>
    <s v="2016_12.xlsx"/>
    <x v="0"/>
    <x v="11"/>
  </r>
  <r>
    <s v="MonthlyTradeStatistics 2016_12.xlsx"/>
    <x v="45"/>
    <n v="834.82380000000001"/>
    <s v="2016_12.xlsx"/>
    <x v="0"/>
    <x v="11"/>
  </r>
  <r>
    <s v="MonthlyTradeStatistics 2016_12.xlsx"/>
    <x v="46"/>
    <n v="20995.642100000001"/>
    <s v="2016_12.xlsx"/>
    <x v="0"/>
    <x v="11"/>
  </r>
  <r>
    <s v="MonthlyTradeStatistics 2016_12.xlsx"/>
    <x v="47"/>
    <n v="926.01020000000005"/>
    <s v="2016_12.xlsx"/>
    <x v="0"/>
    <x v="11"/>
  </r>
  <r>
    <s v="MonthlyTradeStatistics 2016_12.xlsx"/>
    <x v="48"/>
    <n v="127.05419999999999"/>
    <s v="2016_12.xlsx"/>
    <x v="0"/>
    <x v="11"/>
  </r>
  <r>
    <s v="MonthlyTradeStatistics 2016_12.xlsx"/>
    <x v="49"/>
    <n v="81362.92"/>
    <s v="2016_12.xlsx"/>
    <x v="0"/>
    <x v="11"/>
  </r>
  <r>
    <s v="MonthlyTradeStatistics 2016_12.xlsx"/>
    <x v="50"/>
    <n v="10149.003000000001"/>
    <s v="2016_12.xlsx"/>
    <x v="0"/>
    <x v="11"/>
  </r>
  <r>
    <s v="MonthlyTradeStatistics 2016_12.xlsx"/>
    <x v="51"/>
    <n v="9006.6157999999996"/>
    <s v="2016_12.xlsx"/>
    <x v="0"/>
    <x v="11"/>
  </r>
  <r>
    <s v="MonthlyTradeStatistics 2016_12.xlsx"/>
    <x v="52"/>
    <n v="3520.2667000000001"/>
    <s v="2016_12.xlsx"/>
    <x v="0"/>
    <x v="11"/>
  </r>
  <r>
    <s v="MonthlyTradeStatistics 2016_12.xlsx"/>
    <x v="53"/>
    <n v="87.707099999999997"/>
    <s v="2016_12.xlsx"/>
    <x v="0"/>
    <x v="11"/>
  </r>
  <r>
    <s v="MonthlyTradeStatistics 2016_12.xlsx"/>
    <x v="54"/>
    <n v="425241"/>
    <s v="2016_12.xlsx"/>
    <x v="0"/>
    <x v="11"/>
  </r>
  <r>
    <s v="MonthlyTradeStatistics 2016_12.xlsx"/>
    <x v="55"/>
    <n v="0"/>
    <s v="2016_12.xlsx"/>
    <x v="0"/>
    <x v="11"/>
  </r>
  <r>
    <s v="MonthlyTradeStatistics 2016_12.xlsx"/>
    <x v="56"/>
    <n v="2461274.7919999999"/>
    <s v="2016_12.xlsx"/>
    <x v="0"/>
    <x v="11"/>
  </r>
  <r>
    <s v="MonthlyTradeStatistics 2016_12.xlsx"/>
    <x v="57"/>
    <n v="0"/>
    <s v="2016_12.xlsx"/>
    <x v="0"/>
    <x v="11"/>
  </r>
  <r>
    <s v="MonthlyTradeStatistics 2016_12.xlsx"/>
    <x v="58"/>
    <n v="2451.1097"/>
    <s v="2016_12.xlsx"/>
    <x v="0"/>
    <x v="11"/>
  </r>
  <r>
    <s v="MonthlyTradeStatistics 2016_12.xlsx"/>
    <x v="59"/>
    <n v="2359.5495000000001"/>
    <s v="2016_12.xlsx"/>
    <x v="0"/>
    <x v="11"/>
  </r>
  <r>
    <s v="MonthlyTradeStatistics 2017_01.xlsx"/>
    <x v="0"/>
    <n v="9938881.1503999997"/>
    <s v="2017_01.xlsx"/>
    <x v="1"/>
    <x v="0"/>
  </r>
  <r>
    <s v="MonthlyTradeStatistics 2017_01.xlsx"/>
    <x v="1"/>
    <n v="1238852.1483"/>
    <s v="2017_01.xlsx"/>
    <x v="1"/>
    <x v="0"/>
  </r>
  <r>
    <s v="MonthlyTradeStatistics 2017_01.xlsx"/>
    <x v="2"/>
    <n v="2027817.2217000001"/>
    <s v="2017_01.xlsx"/>
    <x v="1"/>
    <x v="0"/>
  </r>
  <r>
    <s v="MonthlyTradeStatistics 2017_01.xlsx"/>
    <x v="3"/>
    <n v="2856438.9462000001"/>
    <s v="2017_01.xlsx"/>
    <x v="1"/>
    <x v="0"/>
  </r>
  <r>
    <s v="MonthlyTradeStatistics 2017_01.xlsx"/>
    <x v="4"/>
    <n v="3815772.8341999999"/>
    <s v="2017_01.xlsx"/>
    <x v="1"/>
    <x v="0"/>
  </r>
  <r>
    <s v="MonthlyTradeStatistics 2017_01.xlsx"/>
    <x v="5"/>
    <n v="1500"/>
    <s v="2017_01.xlsx"/>
    <x v="1"/>
    <x v="0"/>
  </r>
  <r>
    <s v="MonthlyTradeStatistics 2017_01.xlsx"/>
    <x v="6"/>
    <n v="1169.1667"/>
    <s v="2017_01.xlsx"/>
    <x v="1"/>
    <x v="0"/>
  </r>
  <r>
    <s v="MonthlyTradeStatistics 2017_01.xlsx"/>
    <x v="7"/>
    <n v="2646464.4473999999"/>
    <s v="2017_01.xlsx"/>
    <x v="1"/>
    <x v="0"/>
  </r>
  <r>
    <s v="MonthlyTradeStatistics 2017_01.xlsx"/>
    <x v="8"/>
    <n v="15012"/>
    <s v="2017_01.xlsx"/>
    <x v="1"/>
    <x v="0"/>
  </r>
  <r>
    <s v="MonthlyTradeStatistics 2017_01.xlsx"/>
    <x v="9"/>
    <n v="983.33330000000001"/>
    <s v="2017_01.xlsx"/>
    <x v="1"/>
    <x v="0"/>
  </r>
  <r>
    <s v="MonthlyTradeStatistics 2017_01.xlsx"/>
    <x v="10"/>
    <n v="0"/>
    <s v="2017_01.xlsx"/>
    <x v="1"/>
    <x v="0"/>
  </r>
  <r>
    <s v="MonthlyTradeStatistics 2017_01.xlsx"/>
    <x v="11"/>
    <n v="1137767.2586000001"/>
    <s v="2017_01.xlsx"/>
    <x v="1"/>
    <x v="0"/>
  </r>
  <r>
    <s v="MonthlyTradeStatistics 2017_01.xlsx"/>
    <x v="12"/>
    <n v="0"/>
    <s v="2017_01.xlsx"/>
    <x v="1"/>
    <x v="0"/>
  </r>
  <r>
    <s v="MonthlyTradeStatistics 2017_01.xlsx"/>
    <x v="13"/>
    <n v="58307.8917"/>
    <s v="2017_01.xlsx"/>
    <x v="1"/>
    <x v="0"/>
  </r>
  <r>
    <s v="MonthlyTradeStatistics 2017_01.xlsx"/>
    <x v="14"/>
    <n v="86769.349499999997"/>
    <s v="2017_01.xlsx"/>
    <x v="1"/>
    <x v="0"/>
  </r>
  <r>
    <s v="MonthlyTradeStatistics 2017_01.xlsx"/>
    <x v="15"/>
    <n v="4500"/>
    <s v="2017_01.xlsx"/>
    <x v="1"/>
    <x v="0"/>
  </r>
  <r>
    <s v="MonthlyTradeStatistics 2017_01.xlsx"/>
    <x v="16"/>
    <n v="8746.0400000000009"/>
    <s v="2017_01.xlsx"/>
    <x v="1"/>
    <x v="0"/>
  </r>
  <r>
    <s v="MonthlyTradeStatistics 2017_01.xlsx"/>
    <x v="17"/>
    <n v="1561.0594000000001"/>
    <s v="2017_01.xlsx"/>
    <x v="1"/>
    <x v="0"/>
  </r>
  <r>
    <s v="MonthlyTradeStatistics 2017_01.xlsx"/>
    <x v="18"/>
    <n v="60413.882400000002"/>
    <s v="2017_01.xlsx"/>
    <x v="1"/>
    <x v="0"/>
  </r>
  <r>
    <s v="MonthlyTradeStatistics 2017_01.xlsx"/>
    <x v="19"/>
    <n v="24041.9"/>
    <s v="2017_01.xlsx"/>
    <x v="1"/>
    <x v="0"/>
  </r>
  <r>
    <s v="MonthlyTradeStatistics 2017_01.xlsx"/>
    <x v="20"/>
    <n v="0"/>
    <s v="2017_01.xlsx"/>
    <x v="1"/>
    <x v="0"/>
  </r>
  <r>
    <s v="MonthlyTradeStatistics 2017_01.xlsx"/>
    <x v="21"/>
    <n v="184016.8333"/>
    <s v="2017_01.xlsx"/>
    <x v="1"/>
    <x v="0"/>
  </r>
  <r>
    <s v="MonthlyTradeStatistics 2017_01.xlsx"/>
    <x v="22"/>
    <n v="0"/>
    <s v="2017_01.xlsx"/>
    <x v="1"/>
    <x v="0"/>
  </r>
  <r>
    <s v="MonthlyTradeStatistics 2017_01.xlsx"/>
    <x v="23"/>
    <n v="1577.0923"/>
    <s v="2017_01.xlsx"/>
    <x v="1"/>
    <x v="0"/>
  </r>
  <r>
    <s v="MonthlyTradeStatistics 2017_01.xlsx"/>
    <x v="24"/>
    <n v="181285.38440000001"/>
    <s v="2017_01.xlsx"/>
    <x v="1"/>
    <x v="0"/>
  </r>
  <r>
    <s v="MonthlyTradeStatistics 2017_01.xlsx"/>
    <x v="25"/>
    <n v="18637.419900000001"/>
    <s v="2017_01.xlsx"/>
    <x v="1"/>
    <x v="0"/>
  </r>
  <r>
    <s v="MonthlyTradeStatistics 2017_01.xlsx"/>
    <x v="26"/>
    <n v="6.1422999999999996"/>
    <s v="2017_01.xlsx"/>
    <x v="1"/>
    <x v="0"/>
  </r>
  <r>
    <s v="MonthlyTradeStatistics 2017_01.xlsx"/>
    <x v="27"/>
    <n v="79.828000000000003"/>
    <s v="2017_01.xlsx"/>
    <x v="1"/>
    <x v="0"/>
  </r>
  <r>
    <s v="MonthlyTradeStatistics 2017_01.xlsx"/>
    <x v="28"/>
    <n v="772049.54070000001"/>
    <s v="2017_01.xlsx"/>
    <x v="1"/>
    <x v="0"/>
  </r>
  <r>
    <s v="MonthlyTradeStatistics 2017_01.xlsx"/>
    <x v="29"/>
    <n v="384726.45610000001"/>
    <s v="2017_01.xlsx"/>
    <x v="1"/>
    <x v="0"/>
  </r>
  <r>
    <s v="MonthlyTradeStatistics 2017_01.xlsx"/>
    <x v="30"/>
    <n v="572162.94039999996"/>
    <s v="2017_01.xlsx"/>
    <x v="1"/>
    <x v="0"/>
  </r>
  <r>
    <s v="MonthlyTradeStatistics 2017_01.xlsx"/>
    <x v="31"/>
    <n v="379.2946"/>
    <s v="2017_01.xlsx"/>
    <x v="1"/>
    <x v="0"/>
  </r>
  <r>
    <s v="MonthlyTradeStatistics 2017_01.xlsx"/>
    <x v="32"/>
    <n v="46959.636700000003"/>
    <s v="2017_01.xlsx"/>
    <x v="1"/>
    <x v="0"/>
  </r>
  <r>
    <s v="MonthlyTradeStatistics 2017_01.xlsx"/>
    <x v="33"/>
    <n v="19050.3835"/>
    <s v="2017_01.xlsx"/>
    <x v="1"/>
    <x v="0"/>
  </r>
  <r>
    <s v="MonthlyTradeStatistics 2017_01.xlsx"/>
    <x v="34"/>
    <n v="436.67"/>
    <s v="2017_01.xlsx"/>
    <x v="1"/>
    <x v="0"/>
  </r>
  <r>
    <s v="MonthlyTradeStatistics 2017_01.xlsx"/>
    <x v="35"/>
    <n v="4107.6899999999996"/>
    <s v="2017_01.xlsx"/>
    <x v="1"/>
    <x v="0"/>
  </r>
  <r>
    <s v="MonthlyTradeStatistics 2017_01.xlsx"/>
    <x v="36"/>
    <n v="1617.8801000000001"/>
    <s v="2017_01.xlsx"/>
    <x v="1"/>
    <x v="0"/>
  </r>
  <r>
    <s v="MonthlyTradeStatistics 2017_01.xlsx"/>
    <x v="37"/>
    <n v="207141.41519999999"/>
    <s v="2017_01.xlsx"/>
    <x v="1"/>
    <x v="0"/>
  </r>
  <r>
    <s v="MonthlyTradeStatistics 2017_01.xlsx"/>
    <x v="38"/>
    <n v="68.360500000000002"/>
    <s v="2017_01.xlsx"/>
    <x v="1"/>
    <x v="0"/>
  </r>
  <r>
    <s v="MonthlyTradeStatistics 2017_01.xlsx"/>
    <x v="39"/>
    <n v="146713.65030000001"/>
    <s v="2017_01.xlsx"/>
    <x v="1"/>
    <x v="0"/>
  </r>
  <r>
    <s v="MonthlyTradeStatistics 2017_01.xlsx"/>
    <x v="40"/>
    <n v="0"/>
    <s v="2017_01.xlsx"/>
    <x v="1"/>
    <x v="0"/>
  </r>
  <r>
    <s v="MonthlyTradeStatistics 2017_01.xlsx"/>
    <x v="41"/>
    <n v="1819.7002"/>
    <s v="2017_01.xlsx"/>
    <x v="1"/>
    <x v="0"/>
  </r>
  <r>
    <s v="MonthlyTradeStatistics 2017_01.xlsx"/>
    <x v="42"/>
    <n v="48766.633399999999"/>
    <s v="2017_01.xlsx"/>
    <x v="1"/>
    <x v="0"/>
  </r>
  <r>
    <s v="MonthlyTradeStatistics 2017_01.xlsx"/>
    <x v="43"/>
    <n v="1.0412999999999999"/>
    <s v="2017_01.xlsx"/>
    <x v="1"/>
    <x v="0"/>
  </r>
  <r>
    <s v="MonthlyTradeStatistics 2017_01.xlsx"/>
    <x v="44"/>
    <n v="223082.94"/>
    <s v="2017_01.xlsx"/>
    <x v="1"/>
    <x v="0"/>
  </r>
  <r>
    <s v="MonthlyTradeStatistics 2017_01.xlsx"/>
    <x v="45"/>
    <n v="1335.6031"/>
    <s v="2017_01.xlsx"/>
    <x v="1"/>
    <x v="0"/>
  </r>
  <r>
    <s v="MonthlyTradeStatistics 2017_01.xlsx"/>
    <x v="46"/>
    <n v="28624.6783"/>
    <s v="2017_01.xlsx"/>
    <x v="1"/>
    <x v="0"/>
  </r>
  <r>
    <s v="MonthlyTradeStatistics 2017_01.xlsx"/>
    <x v="47"/>
    <n v="580.57759999999996"/>
    <s v="2017_01.xlsx"/>
    <x v="1"/>
    <x v="0"/>
  </r>
  <r>
    <s v="MonthlyTradeStatistics 2017_01.xlsx"/>
    <x v="48"/>
    <n v="109.85380000000001"/>
    <s v="2017_01.xlsx"/>
    <x v="1"/>
    <x v="0"/>
  </r>
  <r>
    <s v="MonthlyTradeStatistics 2017_01.xlsx"/>
    <x v="49"/>
    <n v="84333.296000000002"/>
    <s v="2017_01.xlsx"/>
    <x v="1"/>
    <x v="0"/>
  </r>
  <r>
    <s v="MonthlyTradeStatistics 2017_01.xlsx"/>
    <x v="50"/>
    <n v="11867.0607"/>
    <s v="2017_01.xlsx"/>
    <x v="1"/>
    <x v="0"/>
  </r>
  <r>
    <s v="MonthlyTradeStatistics 2017_01.xlsx"/>
    <x v="51"/>
    <n v="12136.421399999999"/>
    <s v="2017_01.xlsx"/>
    <x v="1"/>
    <x v="0"/>
  </r>
  <r>
    <s v="MonthlyTradeStatistics 2017_01.xlsx"/>
    <x v="52"/>
    <n v="2561.4"/>
    <s v="2017_01.xlsx"/>
    <x v="1"/>
    <x v="0"/>
  </r>
  <r>
    <s v="MonthlyTradeStatistics 2017_01.xlsx"/>
    <x v="53"/>
    <n v="81.8245"/>
    <s v="2017_01.xlsx"/>
    <x v="1"/>
    <x v="0"/>
  </r>
  <r>
    <s v="MonthlyTradeStatistics 2017_01.xlsx"/>
    <x v="54"/>
    <n v="404673"/>
    <s v="2017_01.xlsx"/>
    <x v="1"/>
    <x v="0"/>
  </r>
  <r>
    <s v="MonthlyTradeStatistics 2017_01.xlsx"/>
    <x v="55"/>
    <n v="0"/>
    <s v="2017_01.xlsx"/>
    <x v="1"/>
    <x v="0"/>
  </r>
  <r>
    <s v="MonthlyTradeStatistics 2017_01.xlsx"/>
    <x v="56"/>
    <n v="2526240.0318"/>
    <s v="2017_01.xlsx"/>
    <x v="1"/>
    <x v="0"/>
  </r>
  <r>
    <s v="MonthlyTradeStatistics 2017_01.xlsx"/>
    <x v="57"/>
    <n v="3842.0619999999999"/>
    <s v="2017_01.xlsx"/>
    <x v="1"/>
    <x v="0"/>
  </r>
  <r>
    <s v="MonthlyTradeStatistics 2017_01.xlsx"/>
    <x v="58"/>
    <n v="490.80900000000003"/>
    <s v="2017_01.xlsx"/>
    <x v="1"/>
    <x v="0"/>
  </r>
  <r>
    <s v="MonthlyTradeStatistics 2017_01.xlsx"/>
    <x v="59"/>
    <n v="81.27"/>
    <s v="2017_01.xlsx"/>
    <x v="1"/>
    <x v="0"/>
  </r>
  <r>
    <s v="MonthlyTradeStatistics 2017_02.xlsx"/>
    <x v="0"/>
    <n v="10165025.1719"/>
    <s v="2017_02.xlsx"/>
    <x v="1"/>
    <x v="1"/>
  </r>
  <r>
    <s v="MonthlyTradeStatistics 2017_02.xlsx"/>
    <x v="1"/>
    <n v="1306860.6787"/>
    <s v="2017_02.xlsx"/>
    <x v="1"/>
    <x v="1"/>
  </r>
  <r>
    <s v="MonthlyTradeStatistics 2017_02.xlsx"/>
    <x v="2"/>
    <n v="2286042.9479999999"/>
    <s v="2017_02.xlsx"/>
    <x v="1"/>
    <x v="1"/>
  </r>
  <r>
    <s v="MonthlyTradeStatistics 2017_02.xlsx"/>
    <x v="3"/>
    <n v="2674832.6582999998"/>
    <s v="2017_02.xlsx"/>
    <x v="1"/>
    <x v="1"/>
  </r>
  <r>
    <s v="MonthlyTradeStatistics 2017_02.xlsx"/>
    <x v="4"/>
    <n v="3897288.8868999998"/>
    <s v="2017_02.xlsx"/>
    <x v="1"/>
    <x v="1"/>
  </r>
  <r>
    <s v="MonthlyTradeStatistics 2017_02.xlsx"/>
    <x v="5"/>
    <n v="1200"/>
    <s v="2017_02.xlsx"/>
    <x v="1"/>
    <x v="1"/>
  </r>
  <r>
    <s v="MonthlyTradeStatistics 2017_02.xlsx"/>
    <x v="6"/>
    <n v="3049.4416999999999"/>
    <s v="2017_02.xlsx"/>
    <x v="1"/>
    <x v="1"/>
  </r>
  <r>
    <s v="MonthlyTradeStatistics 2017_02.xlsx"/>
    <x v="7"/>
    <n v="2590825.4108000002"/>
    <s v="2017_02.xlsx"/>
    <x v="1"/>
    <x v="1"/>
  </r>
  <r>
    <s v="MonthlyTradeStatistics 2017_02.xlsx"/>
    <x v="8"/>
    <n v="7553.5667000000003"/>
    <s v="2017_02.xlsx"/>
    <x v="1"/>
    <x v="1"/>
  </r>
  <r>
    <s v="MonthlyTradeStatistics 2017_02.xlsx"/>
    <x v="9"/>
    <n v="3582"/>
    <s v="2017_02.xlsx"/>
    <x v="1"/>
    <x v="1"/>
  </r>
  <r>
    <s v="MonthlyTradeStatistics 2017_02.xlsx"/>
    <x v="10"/>
    <n v="0"/>
    <s v="2017_02.xlsx"/>
    <x v="1"/>
    <x v="1"/>
  </r>
  <r>
    <s v="MonthlyTradeStatistics 2017_02.xlsx"/>
    <x v="11"/>
    <n v="1182329.2307"/>
    <s v="2017_02.xlsx"/>
    <x v="1"/>
    <x v="1"/>
  </r>
  <r>
    <s v="MonthlyTradeStatistics 2017_02.xlsx"/>
    <x v="12"/>
    <n v="0"/>
    <s v="2017_02.xlsx"/>
    <x v="1"/>
    <x v="1"/>
  </r>
  <r>
    <s v="MonthlyTradeStatistics 2017_02.xlsx"/>
    <x v="13"/>
    <n v="103835.2288"/>
    <s v="2017_02.xlsx"/>
    <x v="1"/>
    <x v="1"/>
  </r>
  <r>
    <s v="MonthlyTradeStatistics 2017_02.xlsx"/>
    <x v="14"/>
    <n v="43404.450299999997"/>
    <s v="2017_02.xlsx"/>
    <x v="1"/>
    <x v="1"/>
  </r>
  <r>
    <s v="MonthlyTradeStatistics 2017_02.xlsx"/>
    <x v="15"/>
    <n v="3150"/>
    <s v="2017_02.xlsx"/>
    <x v="1"/>
    <x v="1"/>
  </r>
  <r>
    <s v="MonthlyTradeStatistics 2017_02.xlsx"/>
    <x v="16"/>
    <n v="4841.3500000000004"/>
    <s v="2017_02.xlsx"/>
    <x v="1"/>
    <x v="1"/>
  </r>
  <r>
    <s v="MonthlyTradeStatistics 2017_02.xlsx"/>
    <x v="17"/>
    <n v="1414.6534999999999"/>
    <s v="2017_02.xlsx"/>
    <x v="1"/>
    <x v="1"/>
  </r>
  <r>
    <s v="MonthlyTradeStatistics 2017_02.xlsx"/>
    <x v="18"/>
    <n v="64403.1878"/>
    <s v="2017_02.xlsx"/>
    <x v="1"/>
    <x v="1"/>
  </r>
  <r>
    <s v="MonthlyTradeStatistics 2017_02.xlsx"/>
    <x v="19"/>
    <n v="50641.480900000002"/>
    <s v="2017_02.xlsx"/>
    <x v="1"/>
    <x v="1"/>
  </r>
  <r>
    <s v="MonthlyTradeStatistics 2017_02.xlsx"/>
    <x v="20"/>
    <n v="0"/>
    <s v="2017_02.xlsx"/>
    <x v="1"/>
    <x v="1"/>
  </r>
  <r>
    <s v="MonthlyTradeStatistics 2017_02.xlsx"/>
    <x v="21"/>
    <n v="167536.3333"/>
    <s v="2017_02.xlsx"/>
    <x v="1"/>
    <x v="1"/>
  </r>
  <r>
    <s v="MonthlyTradeStatistics 2017_02.xlsx"/>
    <x v="22"/>
    <n v="0"/>
    <s v="2017_02.xlsx"/>
    <x v="1"/>
    <x v="1"/>
  </r>
  <r>
    <s v="MonthlyTradeStatistics 2017_02.xlsx"/>
    <x v="23"/>
    <n v="1882.3913"/>
    <s v="2017_02.xlsx"/>
    <x v="1"/>
    <x v="1"/>
  </r>
  <r>
    <s v="MonthlyTradeStatistics 2017_02.xlsx"/>
    <x v="24"/>
    <n v="278110.43310000002"/>
    <s v="2017_02.xlsx"/>
    <x v="1"/>
    <x v="1"/>
  </r>
  <r>
    <s v="MonthlyTradeStatistics 2017_02.xlsx"/>
    <x v="25"/>
    <n v="17594.089899999999"/>
    <s v="2017_02.xlsx"/>
    <x v="1"/>
    <x v="1"/>
  </r>
  <r>
    <s v="MonthlyTradeStatistics 2017_02.xlsx"/>
    <x v="26"/>
    <n v="3.0333000000000001"/>
    <s v="2017_02.xlsx"/>
    <x v="1"/>
    <x v="1"/>
  </r>
  <r>
    <s v="MonthlyTradeStatistics 2017_02.xlsx"/>
    <x v="27"/>
    <n v="66.212599999999995"/>
    <s v="2017_02.xlsx"/>
    <x v="1"/>
    <x v="1"/>
  </r>
  <r>
    <s v="MonthlyTradeStatistics 2017_02.xlsx"/>
    <x v="28"/>
    <n v="832307.13329999999"/>
    <s v="2017_02.xlsx"/>
    <x v="1"/>
    <x v="1"/>
  </r>
  <r>
    <s v="MonthlyTradeStatistics 2017_02.xlsx"/>
    <x v="29"/>
    <n v="508530.39039999997"/>
    <s v="2017_02.xlsx"/>
    <x v="1"/>
    <x v="1"/>
  </r>
  <r>
    <s v="MonthlyTradeStatistics 2017_02.xlsx"/>
    <x v="30"/>
    <n v="457131.57380000001"/>
    <s v="2017_02.xlsx"/>
    <x v="1"/>
    <x v="1"/>
  </r>
  <r>
    <s v="MonthlyTradeStatistics 2017_02.xlsx"/>
    <x v="31"/>
    <n v="505.76589999999999"/>
    <s v="2017_02.xlsx"/>
    <x v="1"/>
    <x v="1"/>
  </r>
  <r>
    <s v="MonthlyTradeStatistics 2017_02.xlsx"/>
    <x v="32"/>
    <n v="64895.639000000003"/>
    <s v="2017_02.xlsx"/>
    <x v="1"/>
    <x v="1"/>
  </r>
  <r>
    <s v="MonthlyTradeStatistics 2017_02.xlsx"/>
    <x v="33"/>
    <n v="36967.127"/>
    <s v="2017_02.xlsx"/>
    <x v="1"/>
    <x v="1"/>
  </r>
  <r>
    <s v="MonthlyTradeStatistics 2017_02.xlsx"/>
    <x v="34"/>
    <n v="0"/>
    <s v="2017_02.xlsx"/>
    <x v="1"/>
    <x v="1"/>
  </r>
  <r>
    <s v="MonthlyTradeStatistics 2017_02.xlsx"/>
    <x v="35"/>
    <n v="8451.01"/>
    <s v="2017_02.xlsx"/>
    <x v="1"/>
    <x v="1"/>
  </r>
  <r>
    <s v="MonthlyTradeStatistics 2017_02.xlsx"/>
    <x v="36"/>
    <n v="1393.7221"/>
    <s v="2017_02.xlsx"/>
    <x v="1"/>
    <x v="1"/>
  </r>
  <r>
    <s v="MonthlyTradeStatistics 2017_02.xlsx"/>
    <x v="37"/>
    <n v="187038.10740000001"/>
    <s v="2017_02.xlsx"/>
    <x v="1"/>
    <x v="1"/>
  </r>
  <r>
    <s v="MonthlyTradeStatistics 2017_02.xlsx"/>
    <x v="38"/>
    <n v="19.017800000000001"/>
    <s v="2017_02.xlsx"/>
    <x v="1"/>
    <x v="1"/>
  </r>
  <r>
    <s v="MonthlyTradeStatistics 2017_02.xlsx"/>
    <x v="39"/>
    <n v="231700.89509999999"/>
    <s v="2017_02.xlsx"/>
    <x v="1"/>
    <x v="1"/>
  </r>
  <r>
    <s v="MonthlyTradeStatistics 2017_02.xlsx"/>
    <x v="40"/>
    <n v="0"/>
    <s v="2017_02.xlsx"/>
    <x v="1"/>
    <x v="1"/>
  </r>
  <r>
    <s v="MonthlyTradeStatistics 2017_02.xlsx"/>
    <x v="41"/>
    <n v="2385.8357000000001"/>
    <s v="2017_02.xlsx"/>
    <x v="1"/>
    <x v="1"/>
  </r>
  <r>
    <s v="MonthlyTradeStatistics 2017_02.xlsx"/>
    <x v="42"/>
    <n v="60961.436399999999"/>
    <s v="2017_02.xlsx"/>
    <x v="1"/>
    <x v="1"/>
  </r>
  <r>
    <s v="MonthlyTradeStatistics 2017_02.xlsx"/>
    <x v="43"/>
    <n v="0"/>
    <s v="2017_02.xlsx"/>
    <x v="1"/>
    <x v="1"/>
  </r>
  <r>
    <s v="MonthlyTradeStatistics 2017_02.xlsx"/>
    <x v="44"/>
    <n v="103829.3"/>
    <s v="2017_02.xlsx"/>
    <x v="1"/>
    <x v="1"/>
  </r>
  <r>
    <s v="MonthlyTradeStatistics 2017_02.xlsx"/>
    <x v="45"/>
    <n v="1540.3440000000001"/>
    <s v="2017_02.xlsx"/>
    <x v="1"/>
    <x v="1"/>
  </r>
  <r>
    <s v="MonthlyTradeStatistics 2017_02.xlsx"/>
    <x v="46"/>
    <n v="13150.3783"/>
    <s v="2017_02.xlsx"/>
    <x v="1"/>
    <x v="1"/>
  </r>
  <r>
    <s v="MonthlyTradeStatistics 2017_02.xlsx"/>
    <x v="47"/>
    <n v="1733.3776"/>
    <s v="2017_02.xlsx"/>
    <x v="1"/>
    <x v="1"/>
  </r>
  <r>
    <s v="MonthlyTradeStatistics 2017_02.xlsx"/>
    <x v="48"/>
    <n v="105.78400000000001"/>
    <s v="2017_02.xlsx"/>
    <x v="1"/>
    <x v="1"/>
  </r>
  <r>
    <s v="MonthlyTradeStatistics 2017_02.xlsx"/>
    <x v="49"/>
    <n v="91184.827999999994"/>
    <s v="2017_02.xlsx"/>
    <x v="1"/>
    <x v="1"/>
  </r>
  <r>
    <s v="MonthlyTradeStatistics 2017_02.xlsx"/>
    <x v="50"/>
    <n v="11380.024600000001"/>
    <s v="2017_02.xlsx"/>
    <x v="1"/>
    <x v="1"/>
  </r>
  <r>
    <s v="MonthlyTradeStatistics 2017_02.xlsx"/>
    <x v="51"/>
    <n v="12143.2814"/>
    <s v="2017_02.xlsx"/>
    <x v="1"/>
    <x v="1"/>
  </r>
  <r>
    <s v="MonthlyTradeStatistics 2017_02.xlsx"/>
    <x v="52"/>
    <n v="2519"/>
    <s v="2017_02.xlsx"/>
    <x v="1"/>
    <x v="1"/>
  </r>
  <r>
    <s v="MonthlyTradeStatistics 2017_02.xlsx"/>
    <x v="53"/>
    <n v="55.076700000000002"/>
    <s v="2017_02.xlsx"/>
    <x v="1"/>
    <x v="1"/>
  </r>
  <r>
    <s v="MonthlyTradeStatistics 2017_02.xlsx"/>
    <x v="54"/>
    <n v="396523"/>
    <s v="2017_02.xlsx"/>
    <x v="1"/>
    <x v="1"/>
  </r>
  <r>
    <s v="MonthlyTradeStatistics 2017_02.xlsx"/>
    <x v="55"/>
    <n v="0"/>
    <s v="2017_02.xlsx"/>
    <x v="1"/>
    <x v="1"/>
  </r>
  <r>
    <s v="MonthlyTradeStatistics 2017_02.xlsx"/>
    <x v="56"/>
    <n v="2608079.1477000001"/>
    <s v="2017_02.xlsx"/>
    <x v="1"/>
    <x v="1"/>
  </r>
  <r>
    <s v="MonthlyTradeStatistics 2017_02.xlsx"/>
    <x v="57"/>
    <n v="3855.8719999999998"/>
    <s v="2017_02.xlsx"/>
    <x v="1"/>
    <x v="1"/>
  </r>
  <r>
    <s v="MonthlyTradeStatistics 2017_02.xlsx"/>
    <x v="58"/>
    <n v="1134.3389999999999"/>
    <s v="2017_02.xlsx"/>
    <x v="1"/>
    <x v="1"/>
  </r>
  <r>
    <s v="MonthlyTradeStatistics 2017_02.xlsx"/>
    <x v="59"/>
    <n v="81.27"/>
    <s v="2017_02.xlsx"/>
    <x v="1"/>
    <x v="1"/>
  </r>
  <r>
    <s v="MonthlyTradeStatistics 2017_03.xlsx"/>
    <x v="0"/>
    <n v="11268270.905300001"/>
    <s v="2017_03.xlsx"/>
    <x v="1"/>
    <x v="2"/>
  </r>
  <r>
    <s v="MonthlyTradeStatistics 2017_03.xlsx"/>
    <x v="1"/>
    <n v="1309678.0529"/>
    <s v="2017_03.xlsx"/>
    <x v="1"/>
    <x v="2"/>
  </r>
  <r>
    <s v="MonthlyTradeStatistics 2017_03.xlsx"/>
    <x v="2"/>
    <n v="2507900.5690000001"/>
    <s v="2017_03.xlsx"/>
    <x v="1"/>
    <x v="2"/>
  </r>
  <r>
    <s v="MonthlyTradeStatistics 2017_03.xlsx"/>
    <x v="3"/>
    <n v="2905579.1745000002"/>
    <s v="2017_03.xlsx"/>
    <x v="1"/>
    <x v="2"/>
  </r>
  <r>
    <s v="MonthlyTradeStatistics 2017_03.xlsx"/>
    <x v="4"/>
    <n v="4545113.1089000003"/>
    <s v="2017_03.xlsx"/>
    <x v="1"/>
    <x v="2"/>
  </r>
  <r>
    <s v="MonthlyTradeStatistics 2017_03.xlsx"/>
    <x v="5"/>
    <n v="1785"/>
    <s v="2017_03.xlsx"/>
    <x v="1"/>
    <x v="2"/>
  </r>
  <r>
    <s v="MonthlyTradeStatistics 2017_03.xlsx"/>
    <x v="6"/>
    <n v="1266.5667000000001"/>
    <s v="2017_03.xlsx"/>
    <x v="1"/>
    <x v="2"/>
  </r>
  <r>
    <s v="MonthlyTradeStatistics 2017_03.xlsx"/>
    <x v="7"/>
    <n v="2834349.1150000002"/>
    <s v="2017_03.xlsx"/>
    <x v="1"/>
    <x v="2"/>
  </r>
  <r>
    <s v="MonthlyTradeStatistics 2017_03.xlsx"/>
    <x v="8"/>
    <n v="9412"/>
    <s v="2017_03.xlsx"/>
    <x v="1"/>
    <x v="2"/>
  </r>
  <r>
    <s v="MonthlyTradeStatistics 2017_03.xlsx"/>
    <x v="9"/>
    <n v="9596.6666000000005"/>
    <s v="2017_03.xlsx"/>
    <x v="1"/>
    <x v="2"/>
  </r>
  <r>
    <s v="MonthlyTradeStatistics 2017_03.xlsx"/>
    <x v="10"/>
    <n v="2538"/>
    <s v="2017_03.xlsx"/>
    <x v="1"/>
    <x v="2"/>
  </r>
  <r>
    <s v="MonthlyTradeStatistics 2017_03.xlsx"/>
    <x v="11"/>
    <n v="1160529.7128999999"/>
    <s v="2017_03.xlsx"/>
    <x v="1"/>
    <x v="2"/>
  </r>
  <r>
    <s v="MonthlyTradeStatistics 2017_03.xlsx"/>
    <x v="12"/>
    <n v="0"/>
    <s v="2017_03.xlsx"/>
    <x v="1"/>
    <x v="2"/>
  </r>
  <r>
    <s v="MonthlyTradeStatistics 2017_03.xlsx"/>
    <x v="13"/>
    <n v="90618.567500000005"/>
    <s v="2017_03.xlsx"/>
    <x v="1"/>
    <x v="2"/>
  </r>
  <r>
    <s v="MonthlyTradeStatistics 2017_03.xlsx"/>
    <x v="14"/>
    <n v="131130.91649999999"/>
    <s v="2017_03.xlsx"/>
    <x v="1"/>
    <x v="2"/>
  </r>
  <r>
    <s v="MonthlyTradeStatistics 2017_03.xlsx"/>
    <x v="15"/>
    <n v="600"/>
    <s v="2017_03.xlsx"/>
    <x v="1"/>
    <x v="2"/>
  </r>
  <r>
    <s v="MonthlyTradeStatistics 2017_03.xlsx"/>
    <x v="16"/>
    <n v="5867.16"/>
    <s v="2017_03.xlsx"/>
    <x v="1"/>
    <x v="2"/>
  </r>
  <r>
    <s v="MonthlyTradeStatistics 2017_03.xlsx"/>
    <x v="17"/>
    <n v="1159.2358999999999"/>
    <s v="2017_03.xlsx"/>
    <x v="1"/>
    <x v="2"/>
  </r>
  <r>
    <s v="MonthlyTradeStatistics 2017_03.xlsx"/>
    <x v="18"/>
    <n v="49774.644800000002"/>
    <s v="2017_03.xlsx"/>
    <x v="1"/>
    <x v="2"/>
  </r>
  <r>
    <s v="MonthlyTradeStatistics 2017_03.xlsx"/>
    <x v="19"/>
    <n v="68911.772400000002"/>
    <s v="2017_03.xlsx"/>
    <x v="1"/>
    <x v="2"/>
  </r>
  <r>
    <s v="MonthlyTradeStatistics 2017_03.xlsx"/>
    <x v="20"/>
    <n v="0"/>
    <s v="2017_03.xlsx"/>
    <x v="1"/>
    <x v="2"/>
  </r>
  <r>
    <s v="MonthlyTradeStatistics 2017_03.xlsx"/>
    <x v="21"/>
    <n v="269788.8333"/>
    <s v="2017_03.xlsx"/>
    <x v="1"/>
    <x v="2"/>
  </r>
  <r>
    <s v="MonthlyTradeStatistics 2017_03.xlsx"/>
    <x v="22"/>
    <n v="0"/>
    <s v="2017_03.xlsx"/>
    <x v="1"/>
    <x v="2"/>
  </r>
  <r>
    <s v="MonthlyTradeStatistics 2017_03.xlsx"/>
    <x v="23"/>
    <n v="2134.2966999999999"/>
    <s v="2017_03.xlsx"/>
    <x v="1"/>
    <x v="2"/>
  </r>
  <r>
    <s v="MonthlyTradeStatistics 2017_03.xlsx"/>
    <x v="24"/>
    <n v="380935.3173"/>
    <s v="2017_03.xlsx"/>
    <x v="1"/>
    <x v="2"/>
  </r>
  <r>
    <s v="MonthlyTradeStatistics 2017_03.xlsx"/>
    <x v="25"/>
    <n v="17121.127899999999"/>
    <s v="2017_03.xlsx"/>
    <x v="1"/>
    <x v="2"/>
  </r>
  <r>
    <s v="MonthlyTradeStatistics 2017_03.xlsx"/>
    <x v="26"/>
    <n v="20.756699999999999"/>
    <s v="2017_03.xlsx"/>
    <x v="1"/>
    <x v="2"/>
  </r>
  <r>
    <s v="MonthlyTradeStatistics 2017_03.xlsx"/>
    <x v="27"/>
    <n v="17.555299999999999"/>
    <s v="2017_03.xlsx"/>
    <x v="1"/>
    <x v="2"/>
  </r>
  <r>
    <s v="MonthlyTradeStatistics 2017_03.xlsx"/>
    <x v="28"/>
    <n v="800968.951"/>
    <s v="2017_03.xlsx"/>
    <x v="1"/>
    <x v="2"/>
  </r>
  <r>
    <s v="MonthlyTradeStatistics 2017_03.xlsx"/>
    <x v="29"/>
    <n v="682543.9031"/>
    <s v="2017_03.xlsx"/>
    <x v="1"/>
    <x v="2"/>
  </r>
  <r>
    <s v="MonthlyTradeStatistics 2017_03.xlsx"/>
    <x v="30"/>
    <n v="580848.22199999995"/>
    <s v="2017_03.xlsx"/>
    <x v="1"/>
    <x v="2"/>
  </r>
  <r>
    <s v="MonthlyTradeStatistics 2017_03.xlsx"/>
    <x v="31"/>
    <n v="342.78910000000002"/>
    <s v="2017_03.xlsx"/>
    <x v="1"/>
    <x v="2"/>
  </r>
  <r>
    <s v="MonthlyTradeStatistics 2017_03.xlsx"/>
    <x v="32"/>
    <n v="71923.990000000005"/>
    <s v="2017_03.xlsx"/>
    <x v="1"/>
    <x v="2"/>
  </r>
  <r>
    <s v="MonthlyTradeStatistics 2017_03.xlsx"/>
    <x v="33"/>
    <n v="26521.275099999999"/>
    <s v="2017_03.xlsx"/>
    <x v="1"/>
    <x v="2"/>
  </r>
  <r>
    <s v="MonthlyTradeStatistics 2017_03.xlsx"/>
    <x v="34"/>
    <n v="0"/>
    <s v="2017_03.xlsx"/>
    <x v="1"/>
    <x v="2"/>
  </r>
  <r>
    <s v="MonthlyTradeStatistics 2017_03.xlsx"/>
    <x v="35"/>
    <n v="7886.02"/>
    <s v="2017_03.xlsx"/>
    <x v="1"/>
    <x v="2"/>
  </r>
  <r>
    <s v="MonthlyTradeStatistics 2017_03.xlsx"/>
    <x v="36"/>
    <n v="1871.2201"/>
    <s v="2017_03.xlsx"/>
    <x v="1"/>
    <x v="2"/>
  </r>
  <r>
    <s v="MonthlyTradeStatistics 2017_03.xlsx"/>
    <x v="37"/>
    <n v="240855.41440000001"/>
    <s v="2017_03.xlsx"/>
    <x v="1"/>
    <x v="2"/>
  </r>
  <r>
    <s v="MonthlyTradeStatistics 2017_03.xlsx"/>
    <x v="38"/>
    <n v="92.517799999999994"/>
    <s v="2017_03.xlsx"/>
    <x v="1"/>
    <x v="2"/>
  </r>
  <r>
    <s v="MonthlyTradeStatistics 2017_03.xlsx"/>
    <x v="39"/>
    <n v="292485.50520000001"/>
    <s v="2017_03.xlsx"/>
    <x v="1"/>
    <x v="2"/>
  </r>
  <r>
    <s v="MonthlyTradeStatistics 2017_03.xlsx"/>
    <x v="40"/>
    <n v="0"/>
    <s v="2017_03.xlsx"/>
    <x v="1"/>
    <x v="2"/>
  </r>
  <r>
    <s v="MonthlyTradeStatistics 2017_03.xlsx"/>
    <x v="41"/>
    <n v="3233.4902000000002"/>
    <s v="2017_03.xlsx"/>
    <x v="1"/>
    <x v="2"/>
  </r>
  <r>
    <s v="MonthlyTradeStatistics 2017_03.xlsx"/>
    <x v="42"/>
    <n v="36234.089999999997"/>
    <s v="2017_03.xlsx"/>
    <x v="1"/>
    <x v="2"/>
  </r>
  <r>
    <s v="MonthlyTradeStatistics 2017_03.xlsx"/>
    <x v="43"/>
    <n v="0"/>
    <s v="2017_03.xlsx"/>
    <x v="1"/>
    <x v="2"/>
  </r>
  <r>
    <s v="MonthlyTradeStatistics 2017_03.xlsx"/>
    <x v="44"/>
    <n v="80362.509999999995"/>
    <s v="2017_03.xlsx"/>
    <x v="1"/>
    <x v="2"/>
  </r>
  <r>
    <s v="MonthlyTradeStatistics 2017_03.xlsx"/>
    <x v="45"/>
    <n v="1247.558"/>
    <s v="2017_03.xlsx"/>
    <x v="1"/>
    <x v="2"/>
  </r>
  <r>
    <s v="MonthlyTradeStatistics 2017_03.xlsx"/>
    <x v="46"/>
    <n v="12585.833199999999"/>
    <s v="2017_03.xlsx"/>
    <x v="1"/>
    <x v="2"/>
  </r>
  <r>
    <s v="MonthlyTradeStatistics 2017_03.xlsx"/>
    <x v="47"/>
    <n v="1030.0476000000001"/>
    <s v="2017_03.xlsx"/>
    <x v="1"/>
    <x v="2"/>
  </r>
  <r>
    <s v="MonthlyTradeStatistics 2017_03.xlsx"/>
    <x v="48"/>
    <n v="107.7713"/>
    <s v="2017_03.xlsx"/>
    <x v="1"/>
    <x v="2"/>
  </r>
  <r>
    <s v="MonthlyTradeStatistics 2017_03.xlsx"/>
    <x v="49"/>
    <n v="93295.72"/>
    <s v="2017_03.xlsx"/>
    <x v="1"/>
    <x v="2"/>
  </r>
  <r>
    <s v="MonthlyTradeStatistics 2017_03.xlsx"/>
    <x v="50"/>
    <n v="11573.407999999999"/>
    <s v="2017_03.xlsx"/>
    <x v="1"/>
    <x v="2"/>
  </r>
  <r>
    <s v="MonthlyTradeStatistics 2017_03.xlsx"/>
    <x v="51"/>
    <n v="6193.1013999999996"/>
    <s v="2017_03.xlsx"/>
    <x v="1"/>
    <x v="2"/>
  </r>
  <r>
    <s v="MonthlyTradeStatistics 2017_03.xlsx"/>
    <x v="52"/>
    <n v="2858.6"/>
    <s v="2017_03.xlsx"/>
    <x v="1"/>
    <x v="2"/>
  </r>
  <r>
    <s v="MonthlyTradeStatistics 2017_03.xlsx"/>
    <x v="53"/>
    <n v="152.7355"/>
    <s v="2017_03.xlsx"/>
    <x v="1"/>
    <x v="2"/>
  </r>
  <r>
    <s v="MonthlyTradeStatistics 2017_03.xlsx"/>
    <x v="54"/>
    <n v="409915.99"/>
    <s v="2017_03.xlsx"/>
    <x v="1"/>
    <x v="2"/>
  </r>
  <r>
    <s v="MonthlyTradeStatistics 2017_03.xlsx"/>
    <x v="55"/>
    <n v="0"/>
    <s v="2017_03.xlsx"/>
    <x v="1"/>
    <x v="2"/>
  </r>
  <r>
    <s v="MonthlyTradeStatistics 2017_03.xlsx"/>
    <x v="56"/>
    <n v="2860209.0658"/>
    <s v="2017_03.xlsx"/>
    <x v="1"/>
    <x v="2"/>
  </r>
  <r>
    <s v="MonthlyTradeStatistics 2017_03.xlsx"/>
    <x v="57"/>
    <n v="3606.652"/>
    <s v="2017_03.xlsx"/>
    <x v="1"/>
    <x v="2"/>
  </r>
  <r>
    <s v="MonthlyTradeStatistics 2017_03.xlsx"/>
    <x v="58"/>
    <n v="1366.009"/>
    <s v="2017_03.xlsx"/>
    <x v="1"/>
    <x v="2"/>
  </r>
  <r>
    <s v="MonthlyTradeStatistics 2017_03.xlsx"/>
    <x v="59"/>
    <n v="401.27"/>
    <s v="2017_03.xlsx"/>
    <x v="1"/>
    <x v="2"/>
  </r>
  <r>
    <s v="MonthlyTradeStatistics 2017_04.xlsx"/>
    <x v="0"/>
    <n v="9751715.2518000007"/>
    <s v="2017_04.xlsx"/>
    <x v="1"/>
    <x v="3"/>
  </r>
  <r>
    <s v="MonthlyTradeStatistics 2017_04.xlsx"/>
    <x v="1"/>
    <n v="1007984.4322"/>
    <s v="2017_04.xlsx"/>
    <x v="1"/>
    <x v="3"/>
  </r>
  <r>
    <s v="MonthlyTradeStatistics 2017_04.xlsx"/>
    <x v="2"/>
    <n v="2560685.3714000001"/>
    <s v="2017_04.xlsx"/>
    <x v="1"/>
    <x v="3"/>
  </r>
  <r>
    <s v="MonthlyTradeStatistics 2017_04.xlsx"/>
    <x v="3"/>
    <n v="2485437.1529000001"/>
    <s v="2017_04.xlsx"/>
    <x v="1"/>
    <x v="3"/>
  </r>
  <r>
    <s v="MonthlyTradeStatistics 2017_04.xlsx"/>
    <x v="4"/>
    <n v="3697608.2952999999"/>
    <s v="2017_04.xlsx"/>
    <x v="1"/>
    <x v="3"/>
  </r>
  <r>
    <s v="MonthlyTradeStatistics 2017_04.xlsx"/>
    <x v="5"/>
    <n v="1800"/>
    <s v="2017_04.xlsx"/>
    <x v="1"/>
    <x v="3"/>
  </r>
  <r>
    <s v="MonthlyTradeStatistics 2017_04.xlsx"/>
    <x v="6"/>
    <n v="621.65"/>
    <s v="2017_04.xlsx"/>
    <x v="1"/>
    <x v="3"/>
  </r>
  <r>
    <s v="MonthlyTradeStatistics 2017_04.xlsx"/>
    <x v="7"/>
    <n v="2240098.304"/>
    <s v="2017_04.xlsx"/>
    <x v="1"/>
    <x v="3"/>
  </r>
  <r>
    <s v="MonthlyTradeStatistics 2017_04.xlsx"/>
    <x v="8"/>
    <n v="0"/>
    <s v="2017_04.xlsx"/>
    <x v="1"/>
    <x v="3"/>
  </r>
  <r>
    <s v="MonthlyTradeStatistics 2017_04.xlsx"/>
    <x v="9"/>
    <n v="29415.666700000002"/>
    <s v="2017_04.xlsx"/>
    <x v="1"/>
    <x v="3"/>
  </r>
  <r>
    <s v="MonthlyTradeStatistics 2017_04.xlsx"/>
    <x v="10"/>
    <n v="6543"/>
    <s v="2017_04.xlsx"/>
    <x v="1"/>
    <x v="3"/>
  </r>
  <r>
    <s v="MonthlyTradeStatistics 2017_04.xlsx"/>
    <x v="11"/>
    <n v="898407.24419999996"/>
    <s v="2017_04.xlsx"/>
    <x v="1"/>
    <x v="3"/>
  </r>
  <r>
    <s v="MonthlyTradeStatistics 2017_04.xlsx"/>
    <x v="12"/>
    <n v="0"/>
    <s v="2017_04.xlsx"/>
    <x v="1"/>
    <x v="3"/>
  </r>
  <r>
    <s v="MonthlyTradeStatistics 2017_04.xlsx"/>
    <x v="13"/>
    <n v="128490.0995"/>
    <s v="2017_04.xlsx"/>
    <x v="1"/>
    <x v="3"/>
  </r>
  <r>
    <s v="MonthlyTradeStatistics 2017_04.xlsx"/>
    <x v="14"/>
    <n v="41826.433499999999"/>
    <s v="2017_04.xlsx"/>
    <x v="1"/>
    <x v="3"/>
  </r>
  <r>
    <s v="MonthlyTradeStatistics 2017_04.xlsx"/>
    <x v="15"/>
    <n v="1350"/>
    <s v="2017_04.xlsx"/>
    <x v="1"/>
    <x v="3"/>
  </r>
  <r>
    <s v="MonthlyTradeStatistics 2017_04.xlsx"/>
    <x v="16"/>
    <n v="5041.29"/>
    <s v="2017_04.xlsx"/>
    <x v="1"/>
    <x v="3"/>
  </r>
  <r>
    <s v="MonthlyTradeStatistics 2017_04.xlsx"/>
    <x v="17"/>
    <n v="2391.4092000000001"/>
    <s v="2017_04.xlsx"/>
    <x v="1"/>
    <x v="3"/>
  </r>
  <r>
    <s v="MonthlyTradeStatistics 2017_04.xlsx"/>
    <x v="18"/>
    <n v="52309.724000000002"/>
    <s v="2017_04.xlsx"/>
    <x v="1"/>
    <x v="3"/>
  </r>
  <r>
    <s v="MonthlyTradeStatistics 2017_04.xlsx"/>
    <x v="19"/>
    <n v="62637.15"/>
    <s v="2017_04.xlsx"/>
    <x v="1"/>
    <x v="3"/>
  </r>
  <r>
    <s v="MonthlyTradeStatistics 2017_04.xlsx"/>
    <x v="20"/>
    <n v="0"/>
    <s v="2017_04.xlsx"/>
    <x v="1"/>
    <x v="3"/>
  </r>
  <r>
    <s v="MonthlyTradeStatistics 2017_04.xlsx"/>
    <x v="21"/>
    <n v="337880"/>
    <s v="2017_04.xlsx"/>
    <x v="1"/>
    <x v="3"/>
  </r>
  <r>
    <s v="MonthlyTradeStatistics 2017_04.xlsx"/>
    <x v="22"/>
    <n v="0"/>
    <s v="2017_04.xlsx"/>
    <x v="1"/>
    <x v="3"/>
  </r>
  <r>
    <s v="MonthlyTradeStatistics 2017_04.xlsx"/>
    <x v="23"/>
    <n v="1666.366"/>
    <s v="2017_04.xlsx"/>
    <x v="1"/>
    <x v="3"/>
  </r>
  <r>
    <s v="MonthlyTradeStatistics 2017_04.xlsx"/>
    <x v="24"/>
    <n v="407744.3235"/>
    <s v="2017_04.xlsx"/>
    <x v="1"/>
    <x v="3"/>
  </r>
  <r>
    <s v="MonthlyTradeStatistics 2017_04.xlsx"/>
    <x v="25"/>
    <n v="18665.759900000001"/>
    <s v="2017_04.xlsx"/>
    <x v="1"/>
    <x v="3"/>
  </r>
  <r>
    <s v="MonthlyTradeStatistics 2017_04.xlsx"/>
    <x v="26"/>
    <n v="150.54"/>
    <s v="2017_04.xlsx"/>
    <x v="1"/>
    <x v="3"/>
  </r>
  <r>
    <s v="MonthlyTradeStatistics 2017_04.xlsx"/>
    <x v="27"/>
    <n v="17.555299999999999"/>
    <s v="2017_04.xlsx"/>
    <x v="1"/>
    <x v="3"/>
  </r>
  <r>
    <s v="MonthlyTradeStatistics 2017_04.xlsx"/>
    <x v="28"/>
    <n v="934165.7"/>
    <s v="2017_04.xlsx"/>
    <x v="1"/>
    <x v="3"/>
  </r>
  <r>
    <s v="MonthlyTradeStatistics 2017_04.xlsx"/>
    <x v="29"/>
    <n v="582787.66170000006"/>
    <s v="2017_04.xlsx"/>
    <x v="1"/>
    <x v="3"/>
  </r>
  <r>
    <s v="MonthlyTradeStatistics 2017_04.xlsx"/>
    <x v="30"/>
    <n v="593320.55960000004"/>
    <s v="2017_04.xlsx"/>
    <x v="1"/>
    <x v="3"/>
  </r>
  <r>
    <s v="MonthlyTradeStatistics 2017_04.xlsx"/>
    <x v="31"/>
    <n v="1021.5971"/>
    <s v="2017_04.xlsx"/>
    <x v="1"/>
    <x v="3"/>
  </r>
  <r>
    <s v="MonthlyTradeStatistics 2017_04.xlsx"/>
    <x v="32"/>
    <n v="68736.98"/>
    <s v="2017_04.xlsx"/>
    <x v="1"/>
    <x v="3"/>
  </r>
  <r>
    <s v="MonthlyTradeStatistics 2017_04.xlsx"/>
    <x v="33"/>
    <n v="42658.191700000003"/>
    <s v="2017_04.xlsx"/>
    <x v="1"/>
    <x v="3"/>
  </r>
  <r>
    <s v="MonthlyTradeStatistics 2017_04.xlsx"/>
    <x v="34"/>
    <n v="0"/>
    <s v="2017_04.xlsx"/>
    <x v="1"/>
    <x v="3"/>
  </r>
  <r>
    <s v="MonthlyTradeStatistics 2017_04.xlsx"/>
    <x v="35"/>
    <n v="9411.02"/>
    <s v="2017_04.xlsx"/>
    <x v="1"/>
    <x v="3"/>
  </r>
  <r>
    <s v="MonthlyTradeStatistics 2017_04.xlsx"/>
    <x v="36"/>
    <n v="2984.3901000000001"/>
    <s v="2017_04.xlsx"/>
    <x v="1"/>
    <x v="3"/>
  </r>
  <r>
    <s v="MonthlyTradeStatistics 2017_04.xlsx"/>
    <x v="37"/>
    <n v="221865.29180000001"/>
    <s v="2017_04.xlsx"/>
    <x v="1"/>
    <x v="3"/>
  </r>
  <r>
    <s v="MonthlyTradeStatistics 2017_04.xlsx"/>
    <x v="38"/>
    <n v="70.280500000000004"/>
    <s v="2017_04.xlsx"/>
    <x v="1"/>
    <x v="3"/>
  </r>
  <r>
    <s v="MonthlyTradeStatistics 2017_04.xlsx"/>
    <x v="39"/>
    <n v="314814.43349999998"/>
    <s v="2017_04.xlsx"/>
    <x v="1"/>
    <x v="3"/>
  </r>
  <r>
    <s v="MonthlyTradeStatistics 2017_04.xlsx"/>
    <x v="40"/>
    <n v="0"/>
    <s v="2017_04.xlsx"/>
    <x v="1"/>
    <x v="3"/>
  </r>
  <r>
    <s v="MonthlyTradeStatistics 2017_04.xlsx"/>
    <x v="41"/>
    <n v="5984.8514999999998"/>
    <s v="2017_04.xlsx"/>
    <x v="1"/>
    <x v="3"/>
  </r>
  <r>
    <s v="MonthlyTradeStatistics 2017_04.xlsx"/>
    <x v="42"/>
    <n v="47218"/>
    <s v="2017_04.xlsx"/>
    <x v="1"/>
    <x v="3"/>
  </r>
  <r>
    <s v="MonthlyTradeStatistics 2017_04.xlsx"/>
    <x v="43"/>
    <n v="0"/>
    <s v="2017_04.xlsx"/>
    <x v="1"/>
    <x v="3"/>
  </r>
  <r>
    <s v="MonthlyTradeStatistics 2017_04.xlsx"/>
    <x v="44"/>
    <n v="43626.78"/>
    <s v="2017_04.xlsx"/>
    <x v="1"/>
    <x v="3"/>
  </r>
  <r>
    <s v="MonthlyTradeStatistics 2017_04.xlsx"/>
    <x v="45"/>
    <n v="913.30200000000002"/>
    <s v="2017_04.xlsx"/>
    <x v="1"/>
    <x v="3"/>
  </r>
  <r>
    <s v="MonthlyTradeStatistics 2017_04.xlsx"/>
    <x v="46"/>
    <n v="10558.385899999999"/>
    <s v="2017_04.xlsx"/>
    <x v="1"/>
    <x v="3"/>
  </r>
  <r>
    <s v="MonthlyTradeStatistics 2017_04.xlsx"/>
    <x v="47"/>
    <n v="150.04759999999999"/>
    <s v="2017_04.xlsx"/>
    <x v="1"/>
    <x v="3"/>
  </r>
  <r>
    <s v="MonthlyTradeStatistics 2017_04.xlsx"/>
    <x v="48"/>
    <n v="112.1571"/>
    <s v="2017_04.xlsx"/>
    <x v="1"/>
    <x v="3"/>
  </r>
  <r>
    <s v="MonthlyTradeStatistics 2017_04.xlsx"/>
    <x v="49"/>
    <n v="56975.036"/>
    <s v="2017_04.xlsx"/>
    <x v="1"/>
    <x v="3"/>
  </r>
  <r>
    <s v="MonthlyTradeStatistics 2017_04.xlsx"/>
    <x v="50"/>
    <n v="12184.8007"/>
    <s v="2017_04.xlsx"/>
    <x v="1"/>
    <x v="3"/>
  </r>
  <r>
    <s v="MonthlyTradeStatistics 2017_04.xlsx"/>
    <x v="51"/>
    <n v="8493.2914000000001"/>
    <s v="2017_04.xlsx"/>
    <x v="1"/>
    <x v="3"/>
  </r>
  <r>
    <s v="MonthlyTradeStatistics 2017_04.xlsx"/>
    <x v="52"/>
    <n v="1284"/>
    <s v="2017_04.xlsx"/>
    <x v="1"/>
    <x v="3"/>
  </r>
  <r>
    <s v="MonthlyTradeStatistics 2017_04.xlsx"/>
    <x v="53"/>
    <n v="52.618000000000002"/>
    <s v="2017_04.xlsx"/>
    <x v="1"/>
    <x v="3"/>
  </r>
  <r>
    <s v="MonthlyTradeStatistics 2017_04.xlsx"/>
    <x v="54"/>
    <n v="325565.99"/>
    <s v="2017_04.xlsx"/>
    <x v="1"/>
    <x v="3"/>
  </r>
  <r>
    <s v="MonthlyTradeStatistics 2017_04.xlsx"/>
    <x v="55"/>
    <n v="0"/>
    <s v="2017_04.xlsx"/>
    <x v="1"/>
    <x v="3"/>
  </r>
  <r>
    <s v="MonthlyTradeStatistics 2017_04.xlsx"/>
    <x v="56"/>
    <n v="2224942.0588000002"/>
    <s v="2017_04.xlsx"/>
    <x v="1"/>
    <x v="3"/>
  </r>
  <r>
    <s v="MonthlyTradeStatistics 2017_04.xlsx"/>
    <x v="57"/>
    <n v="3831.2820000000002"/>
    <s v="2017_04.xlsx"/>
    <x v="1"/>
    <x v="3"/>
  </r>
  <r>
    <s v="MonthlyTradeStatistics 2017_04.xlsx"/>
    <x v="58"/>
    <n v="848.75900000000001"/>
    <s v="2017_04.xlsx"/>
    <x v="1"/>
    <x v="3"/>
  </r>
  <r>
    <s v="MonthlyTradeStatistics 2017_04.xlsx"/>
    <x v="59"/>
    <n v="81.27"/>
    <s v="2017_04.xlsx"/>
    <x v="1"/>
    <x v="3"/>
  </r>
  <r>
    <s v="MonthlyTradeStatistics 2017_05.xlsx"/>
    <x v="0"/>
    <n v="10742828.356699999"/>
    <s v="2017_05.xlsx"/>
    <x v="1"/>
    <x v="4"/>
  </r>
  <r>
    <s v="MonthlyTradeStatistics 2017_05.xlsx"/>
    <x v="1"/>
    <n v="966484.50249999994"/>
    <s v="2017_05.xlsx"/>
    <x v="1"/>
    <x v="4"/>
  </r>
  <r>
    <s v="MonthlyTradeStatistics 2017_05.xlsx"/>
    <x v="2"/>
    <n v="2866355.2719999999"/>
    <s v="2017_05.xlsx"/>
    <x v="1"/>
    <x v="4"/>
  </r>
  <r>
    <s v="MonthlyTradeStatistics 2017_05.xlsx"/>
    <x v="3"/>
    <n v="2954047.4731999999"/>
    <s v="2017_05.xlsx"/>
    <x v="1"/>
    <x v="4"/>
  </r>
  <r>
    <s v="MonthlyTradeStatistics 2017_05.xlsx"/>
    <x v="4"/>
    <n v="3955941.1090000002"/>
    <s v="2017_05.xlsx"/>
    <x v="1"/>
    <x v="4"/>
  </r>
  <r>
    <s v="MonthlyTradeStatistics 2017_05.xlsx"/>
    <x v="5"/>
    <n v="1140"/>
    <s v="2017_05.xlsx"/>
    <x v="1"/>
    <x v="4"/>
  </r>
  <r>
    <s v="MonthlyTradeStatistics 2017_05.xlsx"/>
    <x v="6"/>
    <n v="603.33330000000001"/>
    <s v="2017_05.xlsx"/>
    <x v="1"/>
    <x v="4"/>
  </r>
  <r>
    <s v="MonthlyTradeStatistics 2017_05.xlsx"/>
    <x v="7"/>
    <n v="2602453.3553999998"/>
    <s v="2017_05.xlsx"/>
    <x v="1"/>
    <x v="4"/>
  </r>
  <r>
    <s v="MonthlyTradeStatistics 2017_05.xlsx"/>
    <x v="8"/>
    <n v="2039"/>
    <s v="2017_05.xlsx"/>
    <x v="1"/>
    <x v="4"/>
  </r>
  <r>
    <s v="MonthlyTradeStatistics 2017_05.xlsx"/>
    <x v="9"/>
    <n v="54474.383300000001"/>
    <s v="2017_05.xlsx"/>
    <x v="1"/>
    <x v="4"/>
  </r>
  <r>
    <s v="MonthlyTradeStatistics 2017_05.xlsx"/>
    <x v="10"/>
    <n v="6309.67"/>
    <s v="2017_05.xlsx"/>
    <x v="1"/>
    <x v="4"/>
  </r>
  <r>
    <s v="MonthlyTradeStatistics 2017_05.xlsx"/>
    <x v="11"/>
    <n v="834026.15249999997"/>
    <s v="2017_05.xlsx"/>
    <x v="1"/>
    <x v="4"/>
  </r>
  <r>
    <s v="MonthlyTradeStatistics 2017_05.xlsx"/>
    <x v="12"/>
    <n v="0"/>
    <s v="2017_05.xlsx"/>
    <x v="1"/>
    <x v="4"/>
  </r>
  <r>
    <s v="MonthlyTradeStatistics 2017_05.xlsx"/>
    <x v="13"/>
    <n v="178984.73050000001"/>
    <s v="2017_05.xlsx"/>
    <x v="1"/>
    <x v="4"/>
  </r>
  <r>
    <s v="MonthlyTradeStatistics 2017_05.xlsx"/>
    <x v="14"/>
    <n v="108029.25019999999"/>
    <s v="2017_05.xlsx"/>
    <x v="1"/>
    <x v="4"/>
  </r>
  <r>
    <s v="MonthlyTradeStatistics 2017_05.xlsx"/>
    <x v="15"/>
    <n v="300"/>
    <s v="2017_05.xlsx"/>
    <x v="1"/>
    <x v="4"/>
  </r>
  <r>
    <s v="MonthlyTradeStatistics 2017_05.xlsx"/>
    <x v="16"/>
    <n v="6661.39"/>
    <s v="2017_05.xlsx"/>
    <x v="1"/>
    <x v="4"/>
  </r>
  <r>
    <s v="MonthlyTradeStatistics 2017_05.xlsx"/>
    <x v="17"/>
    <n v="2705.5585000000001"/>
    <s v="2017_05.xlsx"/>
    <x v="1"/>
    <x v="4"/>
  </r>
  <r>
    <s v="MonthlyTradeStatistics 2017_05.xlsx"/>
    <x v="18"/>
    <n v="51559.75"/>
    <s v="2017_05.xlsx"/>
    <x v="1"/>
    <x v="4"/>
  </r>
  <r>
    <s v="MonthlyTradeStatistics 2017_05.xlsx"/>
    <x v="19"/>
    <n v="64023.767999999996"/>
    <s v="2017_05.xlsx"/>
    <x v="1"/>
    <x v="4"/>
  </r>
  <r>
    <s v="MonthlyTradeStatistics 2017_05.xlsx"/>
    <x v="20"/>
    <n v="0"/>
    <s v="2017_05.xlsx"/>
    <x v="1"/>
    <x v="4"/>
  </r>
  <r>
    <s v="MonthlyTradeStatistics 2017_05.xlsx"/>
    <x v="21"/>
    <n v="448212.5"/>
    <s v="2017_05.xlsx"/>
    <x v="1"/>
    <x v="4"/>
  </r>
  <r>
    <s v="MonthlyTradeStatistics 2017_05.xlsx"/>
    <x v="22"/>
    <n v="0"/>
    <s v="2017_05.xlsx"/>
    <x v="1"/>
    <x v="4"/>
  </r>
  <r>
    <s v="MonthlyTradeStatistics 2017_05.xlsx"/>
    <x v="23"/>
    <n v="1655.5977"/>
    <s v="2017_05.xlsx"/>
    <x v="1"/>
    <x v="4"/>
  </r>
  <r>
    <s v="MonthlyTradeStatistics 2017_05.xlsx"/>
    <x v="24"/>
    <n v="418765.63030000002"/>
    <s v="2017_05.xlsx"/>
    <x v="1"/>
    <x v="4"/>
  </r>
  <r>
    <s v="MonthlyTradeStatistics 2017_05.xlsx"/>
    <x v="25"/>
    <n v="17344.749899999999"/>
    <s v="2017_05.xlsx"/>
    <x v="1"/>
    <x v="4"/>
  </r>
  <r>
    <s v="MonthlyTradeStatistics 2017_05.xlsx"/>
    <x v="26"/>
    <n v="44.3733"/>
    <s v="2017_05.xlsx"/>
    <x v="1"/>
    <x v="4"/>
  </r>
  <r>
    <s v="MonthlyTradeStatistics 2017_05.xlsx"/>
    <x v="27"/>
    <n v="326.5643"/>
    <s v="2017_05.xlsx"/>
    <x v="1"/>
    <x v="4"/>
  </r>
  <r>
    <s v="MonthlyTradeStatistics 2017_05.xlsx"/>
    <x v="28"/>
    <n v="1006365.9507"/>
    <s v="2017_05.xlsx"/>
    <x v="1"/>
    <x v="4"/>
  </r>
  <r>
    <s v="MonthlyTradeStatistics 2017_05.xlsx"/>
    <x v="29"/>
    <n v="632445.37899999996"/>
    <s v="2017_05.xlsx"/>
    <x v="1"/>
    <x v="4"/>
  </r>
  <r>
    <s v="MonthlyTradeStatistics 2017_05.xlsx"/>
    <x v="30"/>
    <n v="781003.62300000002"/>
    <s v="2017_05.xlsx"/>
    <x v="1"/>
    <x v="4"/>
  </r>
  <r>
    <s v="MonthlyTradeStatistics 2017_05.xlsx"/>
    <x v="31"/>
    <n v="735.52049999999997"/>
    <s v="2017_05.xlsx"/>
    <x v="1"/>
    <x v="4"/>
  </r>
  <r>
    <s v="MonthlyTradeStatistics 2017_05.xlsx"/>
    <x v="32"/>
    <n v="91042.850999999995"/>
    <s v="2017_05.xlsx"/>
    <x v="1"/>
    <x v="4"/>
  </r>
  <r>
    <s v="MonthlyTradeStatistics 2017_05.xlsx"/>
    <x v="33"/>
    <n v="41563.362399999998"/>
    <s v="2017_05.xlsx"/>
    <x v="1"/>
    <x v="4"/>
  </r>
  <r>
    <s v="MonthlyTradeStatistics 2017_05.xlsx"/>
    <x v="34"/>
    <n v="0"/>
    <s v="2017_05.xlsx"/>
    <x v="1"/>
    <x v="4"/>
  </r>
  <r>
    <s v="MonthlyTradeStatistics 2017_05.xlsx"/>
    <x v="35"/>
    <n v="4107.6899999999996"/>
    <s v="2017_05.xlsx"/>
    <x v="1"/>
    <x v="4"/>
  </r>
  <r>
    <s v="MonthlyTradeStatistics 2017_05.xlsx"/>
    <x v="36"/>
    <n v="789.05010000000004"/>
    <s v="2017_05.xlsx"/>
    <x v="1"/>
    <x v="4"/>
  </r>
  <r>
    <s v="MonthlyTradeStatistics 2017_05.xlsx"/>
    <x v="37"/>
    <n v="303529.35639999999"/>
    <s v="2017_05.xlsx"/>
    <x v="1"/>
    <x v="4"/>
  </r>
  <r>
    <s v="MonthlyTradeStatistics 2017_05.xlsx"/>
    <x v="38"/>
    <n v="57.120699999999999"/>
    <s v="2017_05.xlsx"/>
    <x v="1"/>
    <x v="4"/>
  </r>
  <r>
    <s v="MonthlyTradeStatistics 2017_05.xlsx"/>
    <x v="39"/>
    <n v="274343.15169999999"/>
    <s v="2017_05.xlsx"/>
    <x v="1"/>
    <x v="4"/>
  </r>
  <r>
    <s v="MonthlyTradeStatistics 2017_05.xlsx"/>
    <x v="40"/>
    <n v="0"/>
    <s v="2017_05.xlsx"/>
    <x v="1"/>
    <x v="4"/>
  </r>
  <r>
    <s v="MonthlyTradeStatistics 2017_05.xlsx"/>
    <x v="41"/>
    <n v="7220.9481999999998"/>
    <s v="2017_05.xlsx"/>
    <x v="1"/>
    <x v="4"/>
  </r>
  <r>
    <s v="MonthlyTradeStatistics 2017_05.xlsx"/>
    <x v="42"/>
    <n v="60422.34"/>
    <s v="2017_05.xlsx"/>
    <x v="1"/>
    <x v="4"/>
  </r>
  <r>
    <s v="MonthlyTradeStatistics 2017_05.xlsx"/>
    <x v="43"/>
    <n v="0"/>
    <s v="2017_05.xlsx"/>
    <x v="1"/>
    <x v="4"/>
  </r>
  <r>
    <s v="MonthlyTradeStatistics 2017_05.xlsx"/>
    <x v="44"/>
    <n v="144971.48000000001"/>
    <s v="2017_05.xlsx"/>
    <x v="1"/>
    <x v="4"/>
  </r>
  <r>
    <s v="MonthlyTradeStatistics 2017_05.xlsx"/>
    <x v="45"/>
    <n v="287.08229999999998"/>
    <s v="2017_05.xlsx"/>
    <x v="1"/>
    <x v="4"/>
  </r>
  <r>
    <s v="MonthlyTradeStatistics 2017_05.xlsx"/>
    <x v="46"/>
    <n v="9693.3783000000003"/>
    <s v="2017_05.xlsx"/>
    <x v="1"/>
    <x v="4"/>
  </r>
  <r>
    <s v="MonthlyTradeStatistics 2017_05.xlsx"/>
    <x v="47"/>
    <n v="8583.3775999999998"/>
    <s v="2017_05.xlsx"/>
    <x v="1"/>
    <x v="4"/>
  </r>
  <r>
    <s v="MonthlyTradeStatistics 2017_05.xlsx"/>
    <x v="48"/>
    <n v="105.78400000000001"/>
    <s v="2017_05.xlsx"/>
    <x v="1"/>
    <x v="4"/>
  </r>
  <r>
    <s v="MonthlyTradeStatistics 2017_05.xlsx"/>
    <x v="49"/>
    <n v="65854.778000000006"/>
    <s v="2017_05.xlsx"/>
    <x v="1"/>
    <x v="4"/>
  </r>
  <r>
    <s v="MonthlyTradeStatistics 2017_05.xlsx"/>
    <x v="50"/>
    <n v="12411.5291"/>
    <s v="2017_05.xlsx"/>
    <x v="1"/>
    <x v="4"/>
  </r>
  <r>
    <s v="MonthlyTradeStatistics 2017_05.xlsx"/>
    <x v="51"/>
    <n v="8629.1913999999997"/>
    <s v="2017_05.xlsx"/>
    <x v="1"/>
    <x v="4"/>
  </r>
  <r>
    <s v="MonthlyTradeStatistics 2017_05.xlsx"/>
    <x v="52"/>
    <n v="2154.7667000000001"/>
    <s v="2017_05.xlsx"/>
    <x v="1"/>
    <x v="4"/>
  </r>
  <r>
    <s v="MonthlyTradeStatistics 2017_05.xlsx"/>
    <x v="53"/>
    <n v="120.0518"/>
    <s v="2017_05.xlsx"/>
    <x v="1"/>
    <x v="4"/>
  </r>
  <r>
    <s v="MonthlyTradeStatistics 2017_05.xlsx"/>
    <x v="54"/>
    <n v="408454"/>
    <s v="2017_05.xlsx"/>
    <x v="1"/>
    <x v="4"/>
  </r>
  <r>
    <s v="MonthlyTradeStatistics 2017_05.xlsx"/>
    <x v="55"/>
    <n v="0"/>
    <s v="2017_05.xlsx"/>
    <x v="1"/>
    <x v="4"/>
  </r>
  <r>
    <s v="MonthlyTradeStatistics 2017_05.xlsx"/>
    <x v="56"/>
    <n v="2073297.9055999999"/>
    <s v="2017_05.xlsx"/>
    <x v="1"/>
    <x v="4"/>
  </r>
  <r>
    <s v="MonthlyTradeStatistics 2017_05.xlsx"/>
    <x v="57"/>
    <n v="4006.252"/>
    <s v="2017_05.xlsx"/>
    <x v="1"/>
    <x v="4"/>
  </r>
  <r>
    <s v="MonthlyTradeStatistics 2017_05.xlsx"/>
    <x v="58"/>
    <n v="889.73900000000003"/>
    <s v="2017_05.xlsx"/>
    <x v="1"/>
    <x v="4"/>
  </r>
  <r>
    <s v="MonthlyTradeStatistics 2017_05.xlsx"/>
    <x v="59"/>
    <n v="82.94"/>
    <s v="2017_05.xlsx"/>
    <x v="1"/>
    <x v="4"/>
  </r>
  <r>
    <s v="MonthlyTradeStatistics 2017_06.xlsx"/>
    <x v="0"/>
    <n v="10297802.748199999"/>
    <s v="2017_06.xlsx"/>
    <x v="1"/>
    <x v="5"/>
  </r>
  <r>
    <s v="MonthlyTradeStatistics 2017_06.xlsx"/>
    <x v="1"/>
    <n v="1016749.2936"/>
    <s v="2017_06.xlsx"/>
    <x v="1"/>
    <x v="5"/>
  </r>
  <r>
    <s v="MonthlyTradeStatistics 2017_06.xlsx"/>
    <x v="2"/>
    <n v="2913559.5636999998"/>
    <s v="2017_06.xlsx"/>
    <x v="1"/>
    <x v="5"/>
  </r>
  <r>
    <s v="MonthlyTradeStatistics 2017_06.xlsx"/>
    <x v="3"/>
    <n v="2556612.1450999998"/>
    <s v="2017_06.xlsx"/>
    <x v="1"/>
    <x v="5"/>
  </r>
  <r>
    <s v="MonthlyTradeStatistics 2017_06.xlsx"/>
    <x v="4"/>
    <n v="3810881.7458000001"/>
    <s v="2017_06.xlsx"/>
    <x v="1"/>
    <x v="5"/>
  </r>
  <r>
    <s v="MonthlyTradeStatistics 2017_06.xlsx"/>
    <x v="5"/>
    <n v="300"/>
    <s v="2017_06.xlsx"/>
    <x v="1"/>
    <x v="5"/>
  </r>
  <r>
    <s v="MonthlyTradeStatistics 2017_06.xlsx"/>
    <x v="6"/>
    <n v="293.33330000000001"/>
    <s v="2017_06.xlsx"/>
    <x v="1"/>
    <x v="5"/>
  </r>
  <r>
    <s v="MonthlyTradeStatistics 2017_06.xlsx"/>
    <x v="7"/>
    <n v="2191499.2459999998"/>
    <s v="2017_06.xlsx"/>
    <x v="1"/>
    <x v="5"/>
  </r>
  <r>
    <s v="MonthlyTradeStatistics 2017_06.xlsx"/>
    <x v="8"/>
    <n v="1407"/>
    <s v="2017_06.xlsx"/>
    <x v="1"/>
    <x v="5"/>
  </r>
  <r>
    <s v="MonthlyTradeStatistics 2017_06.xlsx"/>
    <x v="9"/>
    <n v="39395.7333"/>
    <s v="2017_06.xlsx"/>
    <x v="1"/>
    <x v="5"/>
  </r>
  <r>
    <s v="MonthlyTradeStatistics 2017_06.xlsx"/>
    <x v="10"/>
    <n v="1336"/>
    <s v="2017_06.xlsx"/>
    <x v="1"/>
    <x v="5"/>
  </r>
  <r>
    <s v="MonthlyTradeStatistics 2017_06.xlsx"/>
    <x v="11"/>
    <n v="946822.9608"/>
    <s v="2017_06.xlsx"/>
    <x v="1"/>
    <x v="5"/>
  </r>
  <r>
    <s v="MonthlyTradeStatistics 2017_06.xlsx"/>
    <x v="12"/>
    <n v="0"/>
    <s v="2017_06.xlsx"/>
    <x v="1"/>
    <x v="5"/>
  </r>
  <r>
    <s v="MonthlyTradeStatistics 2017_06.xlsx"/>
    <x v="13"/>
    <n v="123082.5865"/>
    <s v="2017_06.xlsx"/>
    <x v="1"/>
    <x v="5"/>
  </r>
  <r>
    <s v="MonthlyTradeStatistics 2017_06.xlsx"/>
    <x v="14"/>
    <n v="73929.250199999995"/>
    <s v="2017_06.xlsx"/>
    <x v="1"/>
    <x v="5"/>
  </r>
  <r>
    <s v="MonthlyTradeStatistics 2017_06.xlsx"/>
    <x v="15"/>
    <n v="500"/>
    <s v="2017_06.xlsx"/>
    <x v="1"/>
    <x v="5"/>
  </r>
  <r>
    <s v="MonthlyTradeStatistics 2017_06.xlsx"/>
    <x v="16"/>
    <n v="15935.1885"/>
    <s v="2017_06.xlsx"/>
    <x v="1"/>
    <x v="5"/>
  </r>
  <r>
    <s v="MonthlyTradeStatistics 2017_06.xlsx"/>
    <x v="17"/>
    <n v="7527.8716000000004"/>
    <s v="2017_06.xlsx"/>
    <x v="1"/>
    <x v="5"/>
  </r>
  <r>
    <s v="MonthlyTradeStatistics 2017_06.xlsx"/>
    <x v="18"/>
    <n v="51515.053999999996"/>
    <s v="2017_06.xlsx"/>
    <x v="1"/>
    <x v="5"/>
  </r>
  <r>
    <s v="MonthlyTradeStatistics 2017_06.xlsx"/>
    <x v="19"/>
    <n v="60203.548000000003"/>
    <s v="2017_06.xlsx"/>
    <x v="1"/>
    <x v="5"/>
  </r>
  <r>
    <s v="MonthlyTradeStatistics 2017_06.xlsx"/>
    <x v="20"/>
    <n v="0"/>
    <s v="2017_06.xlsx"/>
    <x v="1"/>
    <x v="5"/>
  </r>
  <r>
    <s v="MonthlyTradeStatistics 2017_06.xlsx"/>
    <x v="21"/>
    <n v="468618.11670000001"/>
    <s v="2017_06.xlsx"/>
    <x v="1"/>
    <x v="5"/>
  </r>
  <r>
    <s v="MonthlyTradeStatistics 2017_06.xlsx"/>
    <x v="22"/>
    <n v="0"/>
    <s v="2017_06.xlsx"/>
    <x v="1"/>
    <x v="5"/>
  </r>
  <r>
    <s v="MonthlyTradeStatistics 2017_06.xlsx"/>
    <x v="23"/>
    <n v="1221.9480000000001"/>
    <s v="2017_06.xlsx"/>
    <x v="1"/>
    <x v="5"/>
  </r>
  <r>
    <s v="MonthlyTradeStatistics 2017_06.xlsx"/>
    <x v="24"/>
    <n v="446308.04690000002"/>
    <s v="2017_06.xlsx"/>
    <x v="1"/>
    <x v="5"/>
  </r>
  <r>
    <s v="MonthlyTradeStatistics 2017_06.xlsx"/>
    <x v="25"/>
    <n v="19929.089899999999"/>
    <s v="2017_06.xlsx"/>
    <x v="1"/>
    <x v="5"/>
  </r>
  <r>
    <s v="MonthlyTradeStatistics 2017_06.xlsx"/>
    <x v="26"/>
    <n v="243.49"/>
    <s v="2017_06.xlsx"/>
    <x v="1"/>
    <x v="5"/>
  </r>
  <r>
    <s v="MonthlyTradeStatistics 2017_06.xlsx"/>
    <x v="27"/>
    <n v="17.555299999999999"/>
    <s v="2017_06.xlsx"/>
    <x v="1"/>
    <x v="5"/>
  </r>
  <r>
    <s v="MonthlyTradeStatistics 2017_06.xlsx"/>
    <x v="28"/>
    <n v="915440.41099999996"/>
    <s v="2017_06.xlsx"/>
    <x v="1"/>
    <x v="5"/>
  </r>
  <r>
    <s v="MonthlyTradeStatistics 2017_06.xlsx"/>
    <x v="29"/>
    <n v="591338.2219"/>
    <s v="2017_06.xlsx"/>
    <x v="1"/>
    <x v="5"/>
  </r>
  <r>
    <s v="MonthlyTradeStatistics 2017_06.xlsx"/>
    <x v="30"/>
    <n v="722711.40819999995"/>
    <s v="2017_06.xlsx"/>
    <x v="1"/>
    <x v="5"/>
  </r>
  <r>
    <s v="MonthlyTradeStatistics 2017_06.xlsx"/>
    <x v="31"/>
    <n v="1087.8067000000001"/>
    <s v="2017_06.xlsx"/>
    <x v="1"/>
    <x v="5"/>
  </r>
  <r>
    <s v="MonthlyTradeStatistics 2017_06.xlsx"/>
    <x v="32"/>
    <n v="59506.442799999997"/>
    <s v="2017_06.xlsx"/>
    <x v="1"/>
    <x v="5"/>
  </r>
  <r>
    <s v="MonthlyTradeStatistics 2017_06.xlsx"/>
    <x v="33"/>
    <n v="42299.770499999999"/>
    <s v="2017_06.xlsx"/>
    <x v="1"/>
    <x v="5"/>
  </r>
  <r>
    <s v="MonthlyTradeStatistics 2017_06.xlsx"/>
    <x v="34"/>
    <n v="0"/>
    <s v="2017_06.xlsx"/>
    <x v="1"/>
    <x v="5"/>
  </r>
  <r>
    <s v="MonthlyTradeStatistics 2017_06.xlsx"/>
    <x v="35"/>
    <n v="6179.35"/>
    <s v="2017_06.xlsx"/>
    <x v="1"/>
    <x v="5"/>
  </r>
  <r>
    <s v="MonthlyTradeStatistics 2017_06.xlsx"/>
    <x v="36"/>
    <n v="699.38009999999997"/>
    <s v="2017_06.xlsx"/>
    <x v="1"/>
    <x v="5"/>
  </r>
  <r>
    <s v="MonthlyTradeStatistics 2017_06.xlsx"/>
    <x v="37"/>
    <n v="324807.47200000001"/>
    <s v="2017_06.xlsx"/>
    <x v="1"/>
    <x v="5"/>
  </r>
  <r>
    <s v="MonthlyTradeStatistics 2017_06.xlsx"/>
    <x v="38"/>
    <n v="207.3527"/>
    <s v="2017_06.xlsx"/>
    <x v="1"/>
    <x v="5"/>
  </r>
  <r>
    <s v="MonthlyTradeStatistics 2017_06.xlsx"/>
    <x v="39"/>
    <n v="351212.78889999999"/>
    <s v="2017_06.xlsx"/>
    <x v="1"/>
    <x v="5"/>
  </r>
  <r>
    <s v="MonthlyTradeStatistics 2017_06.xlsx"/>
    <x v="40"/>
    <n v="0"/>
    <s v="2017_06.xlsx"/>
    <x v="1"/>
    <x v="5"/>
  </r>
  <r>
    <s v="MonthlyTradeStatistics 2017_06.xlsx"/>
    <x v="41"/>
    <n v="5595.5634"/>
    <s v="2017_06.xlsx"/>
    <x v="1"/>
    <x v="5"/>
  </r>
  <r>
    <s v="MonthlyTradeStatistics 2017_06.xlsx"/>
    <x v="42"/>
    <n v="70467.754000000001"/>
    <s v="2017_06.xlsx"/>
    <x v="1"/>
    <x v="5"/>
  </r>
  <r>
    <s v="MonthlyTradeStatistics 2017_06.xlsx"/>
    <x v="43"/>
    <n v="0"/>
    <s v="2017_06.xlsx"/>
    <x v="1"/>
    <x v="5"/>
  </r>
  <r>
    <s v="MonthlyTradeStatistics 2017_06.xlsx"/>
    <x v="44"/>
    <n v="219265.6"/>
    <s v="2017_06.xlsx"/>
    <x v="1"/>
    <x v="5"/>
  </r>
  <r>
    <s v="MonthlyTradeStatistics 2017_06.xlsx"/>
    <x v="45"/>
    <n v="1245.5340000000001"/>
    <s v="2017_06.xlsx"/>
    <x v="1"/>
    <x v="5"/>
  </r>
  <r>
    <s v="MonthlyTradeStatistics 2017_06.xlsx"/>
    <x v="46"/>
    <n v="13290.954900000001"/>
    <s v="2017_06.xlsx"/>
    <x v="1"/>
    <x v="5"/>
  </r>
  <r>
    <s v="MonthlyTradeStatistics 2017_06.xlsx"/>
    <x v="47"/>
    <n v="3468.3775999999998"/>
    <s v="2017_06.xlsx"/>
    <x v="1"/>
    <x v="5"/>
  </r>
  <r>
    <s v="MonthlyTradeStatistics 2017_06.xlsx"/>
    <x v="48"/>
    <n v="107.8493"/>
    <s v="2017_06.xlsx"/>
    <x v="1"/>
    <x v="5"/>
  </r>
  <r>
    <s v="MonthlyTradeStatistics 2017_06.xlsx"/>
    <x v="49"/>
    <n v="16235.11"/>
    <s v="2017_06.xlsx"/>
    <x v="1"/>
    <x v="5"/>
  </r>
  <r>
    <s v="MonthlyTradeStatistics 2017_06.xlsx"/>
    <x v="50"/>
    <n v="11762.969800000001"/>
    <s v="2017_06.xlsx"/>
    <x v="1"/>
    <x v="5"/>
  </r>
  <r>
    <s v="MonthlyTradeStatistics 2017_06.xlsx"/>
    <x v="51"/>
    <n v="2475.6714000000002"/>
    <s v="2017_06.xlsx"/>
    <x v="1"/>
    <x v="5"/>
  </r>
  <r>
    <s v="MonthlyTradeStatistics 2017_06.xlsx"/>
    <x v="52"/>
    <n v="5114.9332999999997"/>
    <s v="2017_06.xlsx"/>
    <x v="1"/>
    <x v="5"/>
  </r>
  <r>
    <s v="MonthlyTradeStatistics 2017_06.xlsx"/>
    <x v="53"/>
    <n v="74.549899999999994"/>
    <s v="2017_06.xlsx"/>
    <x v="1"/>
    <x v="5"/>
  </r>
  <r>
    <s v="MonthlyTradeStatistics 2017_06.xlsx"/>
    <x v="54"/>
    <n v="430565"/>
    <s v="2017_06.xlsx"/>
    <x v="1"/>
    <x v="5"/>
  </r>
  <r>
    <s v="MonthlyTradeStatistics 2017_06.xlsx"/>
    <x v="55"/>
    <n v="0"/>
    <s v="2017_06.xlsx"/>
    <x v="1"/>
    <x v="5"/>
  </r>
  <r>
    <s v="MonthlyTradeStatistics 2017_06.xlsx"/>
    <x v="56"/>
    <n v="2047214.0338000001"/>
    <s v="2017_06.xlsx"/>
    <x v="1"/>
    <x v="5"/>
  </r>
  <r>
    <s v="MonthlyTradeStatistics 2017_06.xlsx"/>
    <x v="57"/>
    <n v="3896.924"/>
    <s v="2017_06.xlsx"/>
    <x v="1"/>
    <x v="5"/>
  </r>
  <r>
    <s v="MonthlyTradeStatistics 2017_06.xlsx"/>
    <x v="58"/>
    <n v="1044.229"/>
    <s v="2017_06.xlsx"/>
    <x v="1"/>
    <x v="5"/>
  </r>
  <r>
    <s v="MonthlyTradeStatistics 2017_06.xlsx"/>
    <x v="59"/>
    <n v="401.27"/>
    <s v="2017_06.xlsx"/>
    <x v="1"/>
    <x v="5"/>
  </r>
  <r>
    <s v="MonthlyTradeStatistics 2017_07.xlsx"/>
    <x v="0"/>
    <n v="9662206.1380000003"/>
    <s v="2017_07.xlsx"/>
    <x v="1"/>
    <x v="6"/>
  </r>
  <r>
    <s v="MonthlyTradeStatistics 2017_07.xlsx"/>
    <x v="1"/>
    <n v="1090051.7516999999"/>
    <s v="2017_07.xlsx"/>
    <x v="1"/>
    <x v="6"/>
  </r>
  <r>
    <s v="MonthlyTradeStatistics 2017_07.xlsx"/>
    <x v="2"/>
    <n v="2624124.1041000001"/>
    <s v="2017_07.xlsx"/>
    <x v="1"/>
    <x v="6"/>
  </r>
  <r>
    <s v="MonthlyTradeStatistics 2017_07.xlsx"/>
    <x v="3"/>
    <n v="2130922.8657"/>
    <s v="2017_07.xlsx"/>
    <x v="1"/>
    <x v="6"/>
  </r>
  <r>
    <s v="MonthlyTradeStatistics 2017_07.xlsx"/>
    <x v="4"/>
    <n v="3817107.4164999998"/>
    <s v="2017_07.xlsx"/>
    <x v="1"/>
    <x v="6"/>
  </r>
  <r>
    <s v="MonthlyTradeStatistics 2017_07.xlsx"/>
    <x v="5"/>
    <n v="800"/>
    <s v="2017_07.xlsx"/>
    <x v="1"/>
    <x v="6"/>
  </r>
  <r>
    <s v="MonthlyTradeStatistics 2017_07.xlsx"/>
    <x v="6"/>
    <n v="116.66670000000001"/>
    <s v="2017_07.xlsx"/>
    <x v="1"/>
    <x v="6"/>
  </r>
  <r>
    <s v="MonthlyTradeStatistics 2017_07.xlsx"/>
    <x v="7"/>
    <n v="1873670.733"/>
    <s v="2017_07.xlsx"/>
    <x v="1"/>
    <x v="6"/>
  </r>
  <r>
    <s v="MonthlyTradeStatistics 2017_07.xlsx"/>
    <x v="8"/>
    <n v="18346.650000000001"/>
    <s v="2017_07.xlsx"/>
    <x v="1"/>
    <x v="6"/>
  </r>
  <r>
    <s v="MonthlyTradeStatistics 2017_07.xlsx"/>
    <x v="9"/>
    <n v="21610"/>
    <s v="2017_07.xlsx"/>
    <x v="1"/>
    <x v="6"/>
  </r>
  <r>
    <s v="MonthlyTradeStatistics 2017_07.xlsx"/>
    <x v="10"/>
    <n v="0"/>
    <s v="2017_07.xlsx"/>
    <x v="1"/>
    <x v="6"/>
  </r>
  <r>
    <s v="MonthlyTradeStatistics 2017_07.xlsx"/>
    <x v="11"/>
    <n v="1000909.1024"/>
    <s v="2017_07.xlsx"/>
    <x v="1"/>
    <x v="6"/>
  </r>
  <r>
    <s v="MonthlyTradeStatistics 2017_07.xlsx"/>
    <x v="12"/>
    <n v="0"/>
    <s v="2017_07.xlsx"/>
    <x v="1"/>
    <x v="6"/>
  </r>
  <r>
    <s v="MonthlyTradeStatistics 2017_07.xlsx"/>
    <x v="13"/>
    <n v="106484.3836"/>
    <s v="2017_07.xlsx"/>
    <x v="1"/>
    <x v="6"/>
  </r>
  <r>
    <s v="MonthlyTradeStatistics 2017_07.xlsx"/>
    <x v="14"/>
    <n v="118442.0833"/>
    <s v="2017_07.xlsx"/>
    <x v="1"/>
    <x v="6"/>
  </r>
  <r>
    <s v="MonthlyTradeStatistics 2017_07.xlsx"/>
    <x v="15"/>
    <n v="1082.8879999999999"/>
    <s v="2017_07.xlsx"/>
    <x v="1"/>
    <x v="6"/>
  </r>
  <r>
    <s v="MonthlyTradeStatistics 2017_07.xlsx"/>
    <x v="16"/>
    <n v="5306.73"/>
    <s v="2017_07.xlsx"/>
    <x v="1"/>
    <x v="6"/>
  </r>
  <r>
    <s v="MonthlyTradeStatistics 2017_07.xlsx"/>
    <x v="17"/>
    <n v="1374.6002000000001"/>
    <s v="2017_07.xlsx"/>
    <x v="1"/>
    <x v="6"/>
  </r>
  <r>
    <s v="MonthlyTradeStatistics 2017_07.xlsx"/>
    <x v="18"/>
    <n v="68688.668799999999"/>
    <s v="2017_07.xlsx"/>
    <x v="1"/>
    <x v="6"/>
  </r>
  <r>
    <s v="MonthlyTradeStatistics 2017_07.xlsx"/>
    <x v="19"/>
    <n v="66582.712700000004"/>
    <s v="2017_07.xlsx"/>
    <x v="1"/>
    <x v="6"/>
  </r>
  <r>
    <s v="MonthlyTradeStatistics 2017_07.xlsx"/>
    <x v="20"/>
    <n v="0"/>
    <s v="2017_07.xlsx"/>
    <x v="1"/>
    <x v="6"/>
  </r>
  <r>
    <s v="MonthlyTradeStatistics 2017_07.xlsx"/>
    <x v="21"/>
    <n v="364983.63329999999"/>
    <s v="2017_07.xlsx"/>
    <x v="1"/>
    <x v="6"/>
  </r>
  <r>
    <s v="MonthlyTradeStatistics 2017_07.xlsx"/>
    <x v="22"/>
    <n v="0"/>
    <s v="2017_07.xlsx"/>
    <x v="1"/>
    <x v="6"/>
  </r>
  <r>
    <s v="MonthlyTradeStatistics 2017_07.xlsx"/>
    <x v="23"/>
    <n v="1294.8813"/>
    <s v="2017_07.xlsx"/>
    <x v="1"/>
    <x v="6"/>
  </r>
  <r>
    <s v="MonthlyTradeStatistics 2017_07.xlsx"/>
    <x v="24"/>
    <n v="373745.18099999998"/>
    <s v="2017_07.xlsx"/>
    <x v="1"/>
    <x v="6"/>
  </r>
  <r>
    <s v="MonthlyTradeStatistics 2017_07.xlsx"/>
    <x v="25"/>
    <n v="18148.759900000001"/>
    <s v="2017_07.xlsx"/>
    <x v="1"/>
    <x v="6"/>
  </r>
  <r>
    <s v="MonthlyTradeStatistics 2017_07.xlsx"/>
    <x v="26"/>
    <n v="28.08"/>
    <s v="2017_07.xlsx"/>
    <x v="1"/>
    <x v="6"/>
  </r>
  <r>
    <s v="MonthlyTradeStatistics 2017_07.xlsx"/>
    <x v="27"/>
    <n v="225.90530000000001"/>
    <s v="2017_07.xlsx"/>
    <x v="1"/>
    <x v="6"/>
  </r>
  <r>
    <s v="MonthlyTradeStatistics 2017_07.xlsx"/>
    <x v="28"/>
    <n v="771454.57669999998"/>
    <s v="2017_07.xlsx"/>
    <x v="1"/>
    <x v="6"/>
  </r>
  <r>
    <s v="MonthlyTradeStatistics 2017_07.xlsx"/>
    <x v="29"/>
    <n v="545593.66650000005"/>
    <s v="2017_07.xlsx"/>
    <x v="1"/>
    <x v="6"/>
  </r>
  <r>
    <s v="MonthlyTradeStatistics 2017_07.xlsx"/>
    <x v="30"/>
    <n v="915891.99860000005"/>
    <s v="2017_07.xlsx"/>
    <x v="1"/>
    <x v="6"/>
  </r>
  <r>
    <s v="MonthlyTradeStatistics 2017_07.xlsx"/>
    <x v="31"/>
    <n v="2214.8851"/>
    <s v="2017_07.xlsx"/>
    <x v="1"/>
    <x v="6"/>
  </r>
  <r>
    <s v="MonthlyTradeStatistics 2017_07.xlsx"/>
    <x v="32"/>
    <n v="75139.5003"/>
    <s v="2017_07.xlsx"/>
    <x v="1"/>
    <x v="6"/>
  </r>
  <r>
    <s v="MonthlyTradeStatistics 2017_07.xlsx"/>
    <x v="33"/>
    <n v="44360.8269"/>
    <s v="2017_07.xlsx"/>
    <x v="1"/>
    <x v="6"/>
  </r>
  <r>
    <s v="MonthlyTradeStatistics 2017_07.xlsx"/>
    <x v="34"/>
    <n v="720"/>
    <s v="2017_07.xlsx"/>
    <x v="1"/>
    <x v="6"/>
  </r>
  <r>
    <s v="MonthlyTradeStatistics 2017_07.xlsx"/>
    <x v="35"/>
    <n v="3513.1898000000001"/>
    <s v="2017_07.xlsx"/>
    <x v="1"/>
    <x v="6"/>
  </r>
  <r>
    <s v="MonthlyTradeStatistics 2017_07.xlsx"/>
    <x v="36"/>
    <n v="665.95010000000002"/>
    <s v="2017_07.xlsx"/>
    <x v="1"/>
    <x v="6"/>
  </r>
  <r>
    <s v="MonthlyTradeStatistics 2017_07.xlsx"/>
    <x v="37"/>
    <n v="239327.85029999999"/>
    <s v="2017_07.xlsx"/>
    <x v="1"/>
    <x v="6"/>
  </r>
  <r>
    <s v="MonthlyTradeStatistics 2017_07.xlsx"/>
    <x v="38"/>
    <n v="62.017800000000001"/>
    <s v="2017_07.xlsx"/>
    <x v="1"/>
    <x v="6"/>
  </r>
  <r>
    <s v="MonthlyTradeStatistics 2017_07.xlsx"/>
    <x v="39"/>
    <n v="243084.31219999999"/>
    <s v="2017_07.xlsx"/>
    <x v="1"/>
    <x v="6"/>
  </r>
  <r>
    <s v="MonthlyTradeStatistics 2017_07.xlsx"/>
    <x v="40"/>
    <n v="0"/>
    <s v="2017_07.xlsx"/>
    <x v="1"/>
    <x v="6"/>
  </r>
  <r>
    <s v="MonthlyTradeStatistics 2017_07.xlsx"/>
    <x v="41"/>
    <n v="7154.9069"/>
    <s v="2017_07.xlsx"/>
    <x v="1"/>
    <x v="6"/>
  </r>
  <r>
    <s v="MonthlyTradeStatistics 2017_07.xlsx"/>
    <x v="42"/>
    <n v="87418.315400000007"/>
    <s v="2017_07.xlsx"/>
    <x v="1"/>
    <x v="6"/>
  </r>
  <r>
    <s v="MonthlyTradeStatistics 2017_07.xlsx"/>
    <x v="43"/>
    <n v="0"/>
    <s v="2017_07.xlsx"/>
    <x v="1"/>
    <x v="6"/>
  </r>
  <r>
    <s v="MonthlyTradeStatistics 2017_07.xlsx"/>
    <x v="44"/>
    <n v="360154.41"/>
    <s v="2017_07.xlsx"/>
    <x v="1"/>
    <x v="6"/>
  </r>
  <r>
    <s v="MonthlyTradeStatistics 2017_07.xlsx"/>
    <x v="45"/>
    <n v="821.11569999999995"/>
    <s v="2017_07.xlsx"/>
    <x v="1"/>
    <x v="6"/>
  </r>
  <r>
    <s v="MonthlyTradeStatistics 2017_07.xlsx"/>
    <x v="46"/>
    <n v="16878.620500000001"/>
    <s v="2017_07.xlsx"/>
    <x v="1"/>
    <x v="6"/>
  </r>
  <r>
    <s v="MonthlyTradeStatistics 2017_07.xlsx"/>
    <x v="47"/>
    <n v="4911.7175999999999"/>
    <s v="2017_07.xlsx"/>
    <x v="1"/>
    <x v="6"/>
  </r>
  <r>
    <s v="MonthlyTradeStatistics 2017_07.xlsx"/>
    <x v="48"/>
    <n v="115.05410000000001"/>
    <s v="2017_07.xlsx"/>
    <x v="1"/>
    <x v="6"/>
  </r>
  <r>
    <s v="MonthlyTradeStatistics 2017_07.xlsx"/>
    <x v="49"/>
    <n v="16060.628000000001"/>
    <s v="2017_07.xlsx"/>
    <x v="1"/>
    <x v="6"/>
  </r>
  <r>
    <s v="MonthlyTradeStatistics 2017_07.xlsx"/>
    <x v="50"/>
    <n v="11519.0519"/>
    <s v="2017_07.xlsx"/>
    <x v="1"/>
    <x v="6"/>
  </r>
  <r>
    <s v="MonthlyTradeStatistics 2017_07.xlsx"/>
    <x v="51"/>
    <n v="3019.1637999999998"/>
    <s v="2017_07.xlsx"/>
    <x v="1"/>
    <x v="6"/>
  </r>
  <r>
    <s v="MonthlyTradeStatistics 2017_07.xlsx"/>
    <x v="52"/>
    <n v="1279.8667"/>
    <s v="2017_07.xlsx"/>
    <x v="1"/>
    <x v="6"/>
  </r>
  <r>
    <s v="MonthlyTradeStatistics 2017_07.xlsx"/>
    <x v="53"/>
    <n v="61.566299999999998"/>
    <s v="2017_07.xlsx"/>
    <x v="1"/>
    <x v="6"/>
  </r>
  <r>
    <s v="MonthlyTradeStatistics 2017_07.xlsx"/>
    <x v="54"/>
    <n v="427204"/>
    <s v="2017_07.xlsx"/>
    <x v="1"/>
    <x v="6"/>
  </r>
  <r>
    <s v="MonthlyTradeStatistics 2017_07.xlsx"/>
    <x v="55"/>
    <n v="0"/>
    <s v="2017_07.xlsx"/>
    <x v="1"/>
    <x v="6"/>
  </r>
  <r>
    <s v="MonthlyTradeStatistics 2017_07.xlsx"/>
    <x v="56"/>
    <n v="1837200.8326000001"/>
    <s v="2017_07.xlsx"/>
    <x v="1"/>
    <x v="6"/>
  </r>
  <r>
    <s v="MonthlyTradeStatistics 2017_07.xlsx"/>
    <x v="57"/>
    <n v="3758.0347000000002"/>
    <s v="2017_07.xlsx"/>
    <x v="1"/>
    <x v="6"/>
  </r>
  <r>
    <s v="MonthlyTradeStatistics 2017_07.xlsx"/>
    <x v="58"/>
    <n v="696.07899999999995"/>
    <s v="2017_07.xlsx"/>
    <x v="1"/>
    <x v="6"/>
  </r>
  <r>
    <s v="MonthlyTradeStatistics 2017_07.xlsx"/>
    <x v="59"/>
    <n v="82.340999999999994"/>
    <s v="2017_07.xlsx"/>
    <x v="1"/>
    <x v="6"/>
  </r>
  <r>
    <s v="MonthlyTradeStatistics 2017_08.xlsx"/>
    <x v="0"/>
    <n v="10426869.929300001"/>
    <s v="2017_08.xlsx"/>
    <x v="1"/>
    <x v="7"/>
  </r>
  <r>
    <s v="MonthlyTradeStatistics 2017_08.xlsx"/>
    <x v="1"/>
    <n v="1254950.7478"/>
    <s v="2017_08.xlsx"/>
    <x v="1"/>
    <x v="7"/>
  </r>
  <r>
    <s v="MonthlyTradeStatistics 2017_08.xlsx"/>
    <x v="2"/>
    <n v="2366265.4275000002"/>
    <s v="2017_08.xlsx"/>
    <x v="1"/>
    <x v="7"/>
  </r>
  <r>
    <s v="MonthlyTradeStatistics 2017_08.xlsx"/>
    <x v="3"/>
    <n v="2875682.2593"/>
    <s v="2017_08.xlsx"/>
    <x v="1"/>
    <x v="7"/>
  </r>
  <r>
    <s v="MonthlyTradeStatistics 2017_08.xlsx"/>
    <x v="4"/>
    <n v="3929971.4947000002"/>
    <s v="2017_08.xlsx"/>
    <x v="1"/>
    <x v="7"/>
  </r>
  <r>
    <s v="MonthlyTradeStatistics 2017_08.xlsx"/>
    <x v="5"/>
    <n v="0"/>
    <s v="2017_08.xlsx"/>
    <x v="1"/>
    <x v="7"/>
  </r>
  <r>
    <s v="MonthlyTradeStatistics 2017_08.xlsx"/>
    <x v="6"/>
    <n v="2558.5"/>
    <s v="2017_08.xlsx"/>
    <x v="1"/>
    <x v="7"/>
  </r>
  <r>
    <s v="MonthlyTradeStatistics 2017_08.xlsx"/>
    <x v="7"/>
    <n v="2610143.5789999999"/>
    <s v="2017_08.xlsx"/>
    <x v="1"/>
    <x v="7"/>
  </r>
  <r>
    <s v="MonthlyTradeStatistics 2017_08.xlsx"/>
    <x v="8"/>
    <n v="16630"/>
    <s v="2017_08.xlsx"/>
    <x v="1"/>
    <x v="7"/>
  </r>
  <r>
    <s v="MonthlyTradeStatistics 2017_08.xlsx"/>
    <x v="9"/>
    <n v="31783.333299999998"/>
    <s v="2017_08.xlsx"/>
    <x v="1"/>
    <x v="7"/>
  </r>
  <r>
    <s v="MonthlyTradeStatistics 2017_08.xlsx"/>
    <x v="10"/>
    <n v="0"/>
    <s v="2017_08.xlsx"/>
    <x v="1"/>
    <x v="7"/>
  </r>
  <r>
    <s v="MonthlyTradeStatistics 2017_08.xlsx"/>
    <x v="11"/>
    <n v="1204211.7357999999"/>
    <s v="2017_08.xlsx"/>
    <x v="1"/>
    <x v="7"/>
  </r>
  <r>
    <s v="MonthlyTradeStatistics 2017_08.xlsx"/>
    <x v="12"/>
    <n v="0"/>
    <s v="2017_08.xlsx"/>
    <x v="1"/>
    <x v="7"/>
  </r>
  <r>
    <s v="MonthlyTradeStatistics 2017_08.xlsx"/>
    <x v="13"/>
    <n v="74798.776299999998"/>
    <s v="2017_08.xlsx"/>
    <x v="1"/>
    <x v="7"/>
  </r>
  <r>
    <s v="MonthlyTradeStatistics 2017_08.xlsx"/>
    <x v="14"/>
    <n v="43341.083200000001"/>
    <s v="2017_08.xlsx"/>
    <x v="1"/>
    <x v="7"/>
  </r>
  <r>
    <s v="MonthlyTradeStatistics 2017_08.xlsx"/>
    <x v="15"/>
    <n v="485.0795"/>
    <s v="2017_08.xlsx"/>
    <x v="1"/>
    <x v="7"/>
  </r>
  <r>
    <s v="MonthlyTradeStatistics 2017_08.xlsx"/>
    <x v="16"/>
    <n v="3117.39"/>
    <s v="2017_08.xlsx"/>
    <x v="1"/>
    <x v="7"/>
  </r>
  <r>
    <s v="MonthlyTradeStatistics 2017_08.xlsx"/>
    <x v="17"/>
    <n v="876.14340000000004"/>
    <s v="2017_08.xlsx"/>
    <x v="1"/>
    <x v="7"/>
  </r>
  <r>
    <s v="MonthlyTradeStatistics 2017_08.xlsx"/>
    <x v="18"/>
    <n v="52807.960800000001"/>
    <s v="2017_08.xlsx"/>
    <x v="1"/>
    <x v="7"/>
  </r>
  <r>
    <s v="MonthlyTradeStatistics 2017_08.xlsx"/>
    <x v="19"/>
    <n v="43322.79"/>
    <s v="2017_08.xlsx"/>
    <x v="1"/>
    <x v="7"/>
  </r>
  <r>
    <s v="MonthlyTradeStatistics 2017_08.xlsx"/>
    <x v="20"/>
    <n v="0"/>
    <s v="2017_08.xlsx"/>
    <x v="1"/>
    <x v="7"/>
  </r>
  <r>
    <s v="MonthlyTradeStatistics 2017_08.xlsx"/>
    <x v="21"/>
    <n v="393654.53340000001"/>
    <s v="2017_08.xlsx"/>
    <x v="1"/>
    <x v="7"/>
  </r>
  <r>
    <s v="MonthlyTradeStatistics 2017_08.xlsx"/>
    <x v="22"/>
    <n v="0"/>
    <s v="2017_08.xlsx"/>
    <x v="1"/>
    <x v="7"/>
  </r>
  <r>
    <s v="MonthlyTradeStatistics 2017_08.xlsx"/>
    <x v="23"/>
    <n v="2151.201"/>
    <s v="2017_08.xlsx"/>
    <x v="1"/>
    <x v="7"/>
  </r>
  <r>
    <s v="MonthlyTradeStatistics 2017_08.xlsx"/>
    <x v="24"/>
    <n v="338549.26980000001"/>
    <s v="2017_08.xlsx"/>
    <x v="1"/>
    <x v="7"/>
  </r>
  <r>
    <s v="MonthlyTradeStatistics 2017_08.xlsx"/>
    <x v="25"/>
    <n v="18982.419900000001"/>
    <s v="2017_08.xlsx"/>
    <x v="1"/>
    <x v="7"/>
  </r>
  <r>
    <s v="MonthlyTradeStatistics 2017_08.xlsx"/>
    <x v="26"/>
    <n v="4.9400000000000004"/>
    <s v="2017_08.xlsx"/>
    <x v="1"/>
    <x v="7"/>
  </r>
  <r>
    <s v="MonthlyTradeStatistics 2017_08.xlsx"/>
    <x v="27"/>
    <n v="597.70529999999997"/>
    <s v="2017_08.xlsx"/>
    <x v="1"/>
    <x v="7"/>
  </r>
  <r>
    <s v="MonthlyTradeStatistics 2017_08.xlsx"/>
    <x v="28"/>
    <n v="432206.57770000002"/>
    <s v="2017_08.xlsx"/>
    <x v="1"/>
    <x v="7"/>
  </r>
  <r>
    <s v="MonthlyTradeStatistics 2017_08.xlsx"/>
    <x v="29"/>
    <n v="617651.69259999995"/>
    <s v="2017_08.xlsx"/>
    <x v="1"/>
    <x v="7"/>
  </r>
  <r>
    <s v="MonthlyTradeStatistics 2017_08.xlsx"/>
    <x v="30"/>
    <n v="1081019.7974"/>
    <s v="2017_08.xlsx"/>
    <x v="1"/>
    <x v="7"/>
  </r>
  <r>
    <s v="MonthlyTradeStatistics 2017_08.xlsx"/>
    <x v="31"/>
    <n v="836.82399999999996"/>
    <s v="2017_08.xlsx"/>
    <x v="1"/>
    <x v="7"/>
  </r>
  <r>
    <s v="MonthlyTradeStatistics 2017_08.xlsx"/>
    <x v="32"/>
    <n v="36113.67"/>
    <s v="2017_08.xlsx"/>
    <x v="1"/>
    <x v="7"/>
  </r>
  <r>
    <s v="MonthlyTradeStatistics 2017_08.xlsx"/>
    <x v="33"/>
    <n v="31644.439600000002"/>
    <s v="2017_08.xlsx"/>
    <x v="1"/>
    <x v="7"/>
  </r>
  <r>
    <s v="MonthlyTradeStatistics 2017_08.xlsx"/>
    <x v="34"/>
    <n v="3841.67"/>
    <s v="2017_08.xlsx"/>
    <x v="1"/>
    <x v="7"/>
  </r>
  <r>
    <s v="MonthlyTradeStatistics 2017_08.xlsx"/>
    <x v="35"/>
    <n v="3821.02"/>
    <s v="2017_08.xlsx"/>
    <x v="1"/>
    <x v="7"/>
  </r>
  <r>
    <s v="MonthlyTradeStatistics 2017_08.xlsx"/>
    <x v="36"/>
    <n v="371.38010000000003"/>
    <s v="2017_08.xlsx"/>
    <x v="1"/>
    <x v="7"/>
  </r>
  <r>
    <s v="MonthlyTradeStatistics 2017_08.xlsx"/>
    <x v="37"/>
    <n v="281315.33179999999"/>
    <s v="2017_08.xlsx"/>
    <x v="1"/>
    <x v="7"/>
  </r>
  <r>
    <s v="MonthlyTradeStatistics 2017_08.xlsx"/>
    <x v="38"/>
    <n v="234.66050000000001"/>
    <s v="2017_08.xlsx"/>
    <x v="1"/>
    <x v="7"/>
  </r>
  <r>
    <s v="MonthlyTradeStatistics 2017_08.xlsx"/>
    <x v="39"/>
    <n v="205560.68909999999"/>
    <s v="2017_08.xlsx"/>
    <x v="1"/>
    <x v="7"/>
  </r>
  <r>
    <s v="MonthlyTradeStatistics 2017_08.xlsx"/>
    <x v="40"/>
    <n v="0"/>
    <s v="2017_08.xlsx"/>
    <x v="1"/>
    <x v="7"/>
  </r>
  <r>
    <s v="MonthlyTradeStatistics 2017_08.xlsx"/>
    <x v="41"/>
    <n v="5441.5370999999996"/>
    <s v="2017_08.xlsx"/>
    <x v="1"/>
    <x v="7"/>
  </r>
  <r>
    <s v="MonthlyTradeStatistics 2017_08.xlsx"/>
    <x v="42"/>
    <n v="85024.67"/>
    <s v="2017_08.xlsx"/>
    <x v="1"/>
    <x v="7"/>
  </r>
  <r>
    <s v="MonthlyTradeStatistics 2017_08.xlsx"/>
    <x v="43"/>
    <n v="0"/>
    <s v="2017_08.xlsx"/>
    <x v="1"/>
    <x v="7"/>
  </r>
  <r>
    <s v="MonthlyTradeStatistics 2017_08.xlsx"/>
    <x v="44"/>
    <n v="514232.12"/>
    <s v="2017_08.xlsx"/>
    <x v="1"/>
    <x v="7"/>
  </r>
  <r>
    <s v="MonthlyTradeStatistics 2017_08.xlsx"/>
    <x v="45"/>
    <n v="400.27"/>
    <s v="2017_08.xlsx"/>
    <x v="1"/>
    <x v="7"/>
  </r>
  <r>
    <s v="MonthlyTradeStatistics 2017_08.xlsx"/>
    <x v="46"/>
    <n v="20381.0906"/>
    <s v="2017_08.xlsx"/>
    <x v="1"/>
    <x v="7"/>
  </r>
  <r>
    <s v="MonthlyTradeStatistics 2017_08.xlsx"/>
    <x v="47"/>
    <n v="4336.3476000000001"/>
    <s v="2017_08.xlsx"/>
    <x v="1"/>
    <x v="7"/>
  </r>
  <r>
    <s v="MonthlyTradeStatistics 2017_08.xlsx"/>
    <x v="48"/>
    <n v="163.20230000000001"/>
    <s v="2017_08.xlsx"/>
    <x v="1"/>
    <x v="7"/>
  </r>
  <r>
    <s v="MonthlyTradeStatistics 2017_08.xlsx"/>
    <x v="49"/>
    <n v="21035.603999999999"/>
    <s v="2017_08.xlsx"/>
    <x v="1"/>
    <x v="7"/>
  </r>
  <r>
    <s v="MonthlyTradeStatistics 2017_08.xlsx"/>
    <x v="50"/>
    <n v="12011.4846"/>
    <s v="2017_08.xlsx"/>
    <x v="1"/>
    <x v="7"/>
  </r>
  <r>
    <s v="MonthlyTradeStatistics 2017_08.xlsx"/>
    <x v="51"/>
    <n v="11339.181399999999"/>
    <s v="2017_08.xlsx"/>
    <x v="1"/>
    <x v="7"/>
  </r>
  <r>
    <s v="MonthlyTradeStatistics 2017_08.xlsx"/>
    <x v="52"/>
    <n v="641.6"/>
    <s v="2017_08.xlsx"/>
    <x v="1"/>
    <x v="7"/>
  </r>
  <r>
    <s v="MonthlyTradeStatistics 2017_08.xlsx"/>
    <x v="53"/>
    <n v="135.1927"/>
    <s v="2017_08.xlsx"/>
    <x v="1"/>
    <x v="7"/>
  </r>
  <r>
    <s v="MonthlyTradeStatistics 2017_08.xlsx"/>
    <x v="54"/>
    <n v="418340"/>
    <s v="2017_08.xlsx"/>
    <x v="1"/>
    <x v="7"/>
  </r>
  <r>
    <s v="MonthlyTradeStatistics 2017_08.xlsx"/>
    <x v="55"/>
    <n v="0"/>
    <s v="2017_08.xlsx"/>
    <x v="1"/>
    <x v="7"/>
  </r>
  <r>
    <s v="MonthlyTradeStatistics 2017_08.xlsx"/>
    <x v="56"/>
    <n v="1795765.1444999999"/>
    <s v="2017_08.xlsx"/>
    <x v="1"/>
    <x v="7"/>
  </r>
  <r>
    <s v="MonthlyTradeStatistics 2017_08.xlsx"/>
    <x v="57"/>
    <n v="3827.4319999999998"/>
    <s v="2017_08.xlsx"/>
    <x v="1"/>
    <x v="7"/>
  </r>
  <r>
    <s v="MonthlyTradeStatistics 2017_08.xlsx"/>
    <x v="58"/>
    <n v="1079.5889999999999"/>
    <s v="2017_08.xlsx"/>
    <x v="1"/>
    <x v="7"/>
  </r>
  <r>
    <s v="MonthlyTradeStatistics 2017_08.xlsx"/>
    <x v="59"/>
    <n v="81.27"/>
    <s v="2017_08.xlsx"/>
    <x v="1"/>
    <x v="7"/>
  </r>
  <r>
    <s v="MonthlyTradeStatistics 2017_09.xlsx"/>
    <x v="0"/>
    <n v="8758198.5226000007"/>
    <s v="2017_09.xlsx"/>
    <x v="1"/>
    <x v="8"/>
  </r>
  <r>
    <s v="MonthlyTradeStatistics 2017_09.xlsx"/>
    <x v="1"/>
    <n v="1170285.9110000001"/>
    <s v="2017_09.xlsx"/>
    <x v="1"/>
    <x v="8"/>
  </r>
  <r>
    <s v="MonthlyTradeStatistics 2017_09.xlsx"/>
    <x v="2"/>
    <n v="1958795.7404"/>
    <s v="2017_09.xlsx"/>
    <x v="1"/>
    <x v="8"/>
  </r>
  <r>
    <s v="MonthlyTradeStatistics 2017_09.xlsx"/>
    <x v="3"/>
    <n v="2582960.5967999999"/>
    <s v="2017_09.xlsx"/>
    <x v="1"/>
    <x v="8"/>
  </r>
  <r>
    <s v="MonthlyTradeStatistics 2017_09.xlsx"/>
    <x v="4"/>
    <n v="3046156.2744"/>
    <s v="2017_09.xlsx"/>
    <x v="1"/>
    <x v="8"/>
  </r>
  <r>
    <s v="MonthlyTradeStatistics 2017_09.xlsx"/>
    <x v="5"/>
    <n v="300"/>
    <s v="2017_09.xlsx"/>
    <x v="1"/>
    <x v="8"/>
  </r>
  <r>
    <s v="MonthlyTradeStatistics 2017_09.xlsx"/>
    <x v="6"/>
    <n v="4349.01"/>
    <s v="2017_09.xlsx"/>
    <x v="1"/>
    <x v="8"/>
  </r>
  <r>
    <s v="MonthlyTradeStatistics 2017_09.xlsx"/>
    <x v="7"/>
    <n v="2441617.8768000002"/>
    <s v="2017_09.xlsx"/>
    <x v="1"/>
    <x v="8"/>
  </r>
  <r>
    <s v="MonthlyTradeStatistics 2017_09.xlsx"/>
    <x v="8"/>
    <n v="33008.333299999998"/>
    <s v="2017_09.xlsx"/>
    <x v="1"/>
    <x v="8"/>
  </r>
  <r>
    <s v="MonthlyTradeStatistics 2017_09.xlsx"/>
    <x v="9"/>
    <n v="8650"/>
    <s v="2017_09.xlsx"/>
    <x v="1"/>
    <x v="8"/>
  </r>
  <r>
    <s v="MonthlyTradeStatistics 2017_09.xlsx"/>
    <x v="10"/>
    <n v="0"/>
    <s v="2017_09.xlsx"/>
    <x v="1"/>
    <x v="8"/>
  </r>
  <r>
    <s v="MonthlyTradeStatistics 2017_09.xlsx"/>
    <x v="11"/>
    <n v="1112561.7109999999"/>
    <s v="2017_09.xlsx"/>
    <x v="1"/>
    <x v="8"/>
  </r>
  <r>
    <s v="MonthlyTradeStatistics 2017_09.xlsx"/>
    <x v="12"/>
    <n v="0"/>
    <s v="2017_09.xlsx"/>
    <x v="1"/>
    <x v="8"/>
  </r>
  <r>
    <s v="MonthlyTradeStatistics 2017_09.xlsx"/>
    <x v="13"/>
    <n v="40092.195200000002"/>
    <s v="2017_09.xlsx"/>
    <x v="1"/>
    <x v="8"/>
  </r>
  <r>
    <s v="MonthlyTradeStatistics 2017_09.xlsx"/>
    <x v="14"/>
    <n v="101658.73330000001"/>
    <s v="2017_09.xlsx"/>
    <x v="1"/>
    <x v="8"/>
  </r>
  <r>
    <s v="MonthlyTradeStatistics 2017_09.xlsx"/>
    <x v="15"/>
    <n v="1076.1395"/>
    <s v="2017_09.xlsx"/>
    <x v="1"/>
    <x v="8"/>
  </r>
  <r>
    <s v="MonthlyTradeStatistics 2017_09.xlsx"/>
    <x v="16"/>
    <n v="6184.12"/>
    <s v="2017_09.xlsx"/>
    <x v="1"/>
    <x v="8"/>
  </r>
  <r>
    <s v="MonthlyTradeStatistics 2017_09.xlsx"/>
    <x v="17"/>
    <n v="1206.2541000000001"/>
    <s v="2017_09.xlsx"/>
    <x v="1"/>
    <x v="8"/>
  </r>
  <r>
    <s v="MonthlyTradeStatistics 2017_09.xlsx"/>
    <x v="18"/>
    <n v="57131.885999999999"/>
    <s v="2017_09.xlsx"/>
    <x v="1"/>
    <x v="8"/>
  </r>
  <r>
    <s v="MonthlyTradeStatistics 2017_09.xlsx"/>
    <x v="19"/>
    <n v="37094.648099999999"/>
    <s v="2017_09.xlsx"/>
    <x v="1"/>
    <x v="8"/>
  </r>
  <r>
    <s v="MonthlyTradeStatistics 2017_09.xlsx"/>
    <x v="20"/>
    <n v="0"/>
    <s v="2017_09.xlsx"/>
    <x v="1"/>
    <x v="8"/>
  </r>
  <r>
    <s v="MonthlyTradeStatistics 2017_09.xlsx"/>
    <x v="21"/>
    <n v="267375.48330000002"/>
    <s v="2017_09.xlsx"/>
    <x v="1"/>
    <x v="8"/>
  </r>
  <r>
    <s v="MonthlyTradeStatistics 2017_09.xlsx"/>
    <x v="22"/>
    <n v="0"/>
    <s v="2017_09.xlsx"/>
    <x v="1"/>
    <x v="8"/>
  </r>
  <r>
    <s v="MonthlyTradeStatistics 2017_09.xlsx"/>
    <x v="23"/>
    <n v="1323.816"/>
    <s v="2017_09.xlsx"/>
    <x v="1"/>
    <x v="8"/>
  </r>
  <r>
    <s v="MonthlyTradeStatistics 2017_09.xlsx"/>
    <x v="24"/>
    <n v="260872.3248"/>
    <s v="2017_09.xlsx"/>
    <x v="1"/>
    <x v="8"/>
  </r>
  <r>
    <s v="MonthlyTradeStatistics 2017_09.xlsx"/>
    <x v="25"/>
    <n v="17162.419900000001"/>
    <s v="2017_09.xlsx"/>
    <x v="1"/>
    <x v="8"/>
  </r>
  <r>
    <s v="MonthlyTradeStatistics 2017_09.xlsx"/>
    <x v="26"/>
    <n v="14.773"/>
    <s v="2017_09.xlsx"/>
    <x v="1"/>
    <x v="8"/>
  </r>
  <r>
    <s v="MonthlyTradeStatistics 2017_09.xlsx"/>
    <x v="27"/>
    <n v="49.33"/>
    <s v="2017_09.xlsx"/>
    <x v="1"/>
    <x v="8"/>
  </r>
  <r>
    <s v="MonthlyTradeStatistics 2017_09.xlsx"/>
    <x v="28"/>
    <n v="231395.84700000001"/>
    <s v="2017_09.xlsx"/>
    <x v="1"/>
    <x v="8"/>
  </r>
  <r>
    <s v="MonthlyTradeStatistics 2017_09.xlsx"/>
    <x v="29"/>
    <n v="507843.22720000002"/>
    <s v="2017_09.xlsx"/>
    <x v="1"/>
    <x v="8"/>
  </r>
  <r>
    <s v="MonthlyTradeStatistics 2017_09.xlsx"/>
    <x v="30"/>
    <n v="583424.14800000004"/>
    <s v="2017_09.xlsx"/>
    <x v="1"/>
    <x v="8"/>
  </r>
  <r>
    <s v="MonthlyTradeStatistics 2017_09.xlsx"/>
    <x v="31"/>
    <n v="916.50160000000005"/>
    <s v="2017_09.xlsx"/>
    <x v="1"/>
    <x v="8"/>
  </r>
  <r>
    <s v="MonthlyTradeStatistics 2017_09.xlsx"/>
    <x v="32"/>
    <n v="44520"/>
    <s v="2017_09.xlsx"/>
    <x v="1"/>
    <x v="8"/>
  </r>
  <r>
    <s v="MonthlyTradeStatistics 2017_09.xlsx"/>
    <x v="33"/>
    <n v="23883.5059"/>
    <s v="2017_09.xlsx"/>
    <x v="1"/>
    <x v="8"/>
  </r>
  <r>
    <s v="MonthlyTradeStatistics 2017_09.xlsx"/>
    <x v="34"/>
    <n v="2088.33"/>
    <s v="2017_09.xlsx"/>
    <x v="1"/>
    <x v="8"/>
  </r>
  <r>
    <s v="MonthlyTradeStatistics 2017_09.xlsx"/>
    <x v="35"/>
    <n v="3559.36"/>
    <s v="2017_09.xlsx"/>
    <x v="1"/>
    <x v="8"/>
  </r>
  <r>
    <s v="MonthlyTradeStatistics 2017_09.xlsx"/>
    <x v="36"/>
    <n v="435.71010000000001"/>
    <s v="2017_09.xlsx"/>
    <x v="1"/>
    <x v="8"/>
  </r>
  <r>
    <s v="MonthlyTradeStatistics 2017_09.xlsx"/>
    <x v="37"/>
    <n v="212796.88209999999"/>
    <s v="2017_09.xlsx"/>
    <x v="1"/>
    <x v="8"/>
  </r>
  <r>
    <s v="MonthlyTradeStatistics 2017_09.xlsx"/>
    <x v="38"/>
    <n v="52.630499999999998"/>
    <s v="2017_09.xlsx"/>
    <x v="1"/>
    <x v="8"/>
  </r>
  <r>
    <s v="MonthlyTradeStatistics 2017_09.xlsx"/>
    <x v="39"/>
    <n v="105765.1833"/>
    <s v="2017_09.xlsx"/>
    <x v="1"/>
    <x v="8"/>
  </r>
  <r>
    <s v="MonthlyTradeStatistics 2017_09.xlsx"/>
    <x v="40"/>
    <n v="0"/>
    <s v="2017_09.xlsx"/>
    <x v="1"/>
    <x v="8"/>
  </r>
  <r>
    <s v="MonthlyTradeStatistics 2017_09.xlsx"/>
    <x v="41"/>
    <n v="5365.1732000000002"/>
    <s v="2017_09.xlsx"/>
    <x v="1"/>
    <x v="8"/>
  </r>
  <r>
    <s v="MonthlyTradeStatistics 2017_09.xlsx"/>
    <x v="42"/>
    <n v="89130.653000000006"/>
    <s v="2017_09.xlsx"/>
    <x v="1"/>
    <x v="8"/>
  </r>
  <r>
    <s v="MonthlyTradeStatistics 2017_09.xlsx"/>
    <x v="43"/>
    <n v="0"/>
    <s v="2017_09.xlsx"/>
    <x v="1"/>
    <x v="8"/>
  </r>
  <r>
    <s v="MonthlyTradeStatistics 2017_09.xlsx"/>
    <x v="44"/>
    <n v="615930.92000000004"/>
    <s v="2017_09.xlsx"/>
    <x v="1"/>
    <x v="8"/>
  </r>
  <r>
    <s v="MonthlyTradeStatistics 2017_09.xlsx"/>
    <x v="45"/>
    <n v="472.7235"/>
    <s v="2017_09.xlsx"/>
    <x v="1"/>
    <x v="8"/>
  </r>
  <r>
    <s v="MonthlyTradeStatistics 2017_09.xlsx"/>
    <x v="46"/>
    <n v="34423.837800000001"/>
    <s v="2017_09.xlsx"/>
    <x v="1"/>
    <x v="8"/>
  </r>
  <r>
    <s v="MonthlyTradeStatistics 2017_09.xlsx"/>
    <x v="47"/>
    <n v="3989.8575999999998"/>
    <s v="2017_09.xlsx"/>
    <x v="1"/>
    <x v="8"/>
  </r>
  <r>
    <s v="MonthlyTradeStatistics 2017_09.xlsx"/>
    <x v="48"/>
    <n v="425.87920000000003"/>
    <s v="2017_09.xlsx"/>
    <x v="1"/>
    <x v="8"/>
  </r>
  <r>
    <s v="MonthlyTradeStatistics 2017_09.xlsx"/>
    <x v="49"/>
    <n v="28810.83"/>
    <s v="2017_09.xlsx"/>
    <x v="1"/>
    <x v="8"/>
  </r>
  <r>
    <s v="MonthlyTradeStatistics 2017_09.xlsx"/>
    <x v="50"/>
    <n v="11461.0625"/>
    <s v="2017_09.xlsx"/>
    <x v="1"/>
    <x v="8"/>
  </r>
  <r>
    <s v="MonthlyTradeStatistics 2017_09.xlsx"/>
    <x v="51"/>
    <n v="5669.9413999999997"/>
    <s v="2017_09.xlsx"/>
    <x v="1"/>
    <x v="8"/>
  </r>
  <r>
    <s v="MonthlyTradeStatistics 2017_09.xlsx"/>
    <x v="52"/>
    <n v="6076.5333000000001"/>
    <s v="2017_09.xlsx"/>
    <x v="1"/>
    <x v="8"/>
  </r>
  <r>
    <s v="MonthlyTradeStatistics 2017_09.xlsx"/>
    <x v="53"/>
    <n v="83.869"/>
    <s v="2017_09.xlsx"/>
    <x v="1"/>
    <x v="8"/>
  </r>
  <r>
    <s v="MonthlyTradeStatistics 2017_09.xlsx"/>
    <x v="54"/>
    <n v="341839"/>
    <s v="2017_09.xlsx"/>
    <x v="1"/>
    <x v="8"/>
  </r>
  <r>
    <s v="MonthlyTradeStatistics 2017_09.xlsx"/>
    <x v="55"/>
    <n v="0"/>
    <s v="2017_09.xlsx"/>
    <x v="1"/>
    <x v="8"/>
  </r>
  <r>
    <s v="MonthlyTradeStatistics 2017_09.xlsx"/>
    <x v="56"/>
    <n v="1501700.3766999999"/>
    <s v="2017_09.xlsx"/>
    <x v="1"/>
    <x v="8"/>
  </r>
  <r>
    <s v="MonthlyTradeStatistics 2017_09.xlsx"/>
    <x v="57"/>
    <n v="3713.9720000000002"/>
    <s v="2017_09.xlsx"/>
    <x v="1"/>
    <x v="8"/>
  </r>
  <r>
    <s v="MonthlyTradeStatistics 2017_09.xlsx"/>
    <x v="58"/>
    <n v="312.11169999999998"/>
    <s v="2017_09.xlsx"/>
    <x v="1"/>
    <x v="8"/>
  </r>
  <r>
    <s v="MonthlyTradeStatistics 2017_09.xlsx"/>
    <x v="59"/>
    <n v="381.40170000000001"/>
    <s v="2017_09.xlsx"/>
    <x v="1"/>
    <x v="8"/>
  </r>
  <r>
    <s v="MonthlyTradeStatistics 2017_10.xlsx"/>
    <x v="0"/>
    <n v="9143070.6984999999"/>
    <s v="2017_10.xlsx"/>
    <x v="1"/>
    <x v="9"/>
  </r>
  <r>
    <s v="MonthlyTradeStatistics 2017_10.xlsx"/>
    <x v="1"/>
    <n v="1201819.1166000001"/>
    <s v="2017_10.xlsx"/>
    <x v="1"/>
    <x v="9"/>
  </r>
  <r>
    <s v="MonthlyTradeStatistics 2017_10.xlsx"/>
    <x v="2"/>
    <n v="1674594.2353000001"/>
    <s v="2017_10.xlsx"/>
    <x v="1"/>
    <x v="9"/>
  </r>
  <r>
    <s v="MonthlyTradeStatistics 2017_10.xlsx"/>
    <x v="3"/>
    <n v="3039839.6238000002"/>
    <s v="2017_10.xlsx"/>
    <x v="1"/>
    <x v="9"/>
  </r>
  <r>
    <s v="MonthlyTradeStatistics 2017_10.xlsx"/>
    <x v="4"/>
    <n v="3226817.7228000001"/>
    <s v="2017_10.xlsx"/>
    <x v="1"/>
    <x v="9"/>
  </r>
  <r>
    <s v="MonthlyTradeStatistics 2017_10.xlsx"/>
    <x v="5"/>
    <n v="0"/>
    <s v="2017_10.xlsx"/>
    <x v="1"/>
    <x v="9"/>
  </r>
  <r>
    <s v="MonthlyTradeStatistics 2017_10.xlsx"/>
    <x v="6"/>
    <n v="3045.45"/>
    <s v="2017_10.xlsx"/>
    <x v="1"/>
    <x v="9"/>
  </r>
  <r>
    <s v="MonthlyTradeStatistics 2017_10.xlsx"/>
    <x v="7"/>
    <n v="2901977.4898000001"/>
    <s v="2017_10.xlsx"/>
    <x v="1"/>
    <x v="9"/>
  </r>
  <r>
    <s v="MonthlyTradeStatistics 2017_10.xlsx"/>
    <x v="8"/>
    <n v="31625.616699999999"/>
    <s v="2017_10.xlsx"/>
    <x v="1"/>
    <x v="9"/>
  </r>
  <r>
    <s v="MonthlyTradeStatistics 2017_10.xlsx"/>
    <x v="9"/>
    <n v="14040"/>
    <s v="2017_10.xlsx"/>
    <x v="1"/>
    <x v="9"/>
  </r>
  <r>
    <s v="MonthlyTradeStatistics 2017_10.xlsx"/>
    <x v="10"/>
    <n v="0"/>
    <s v="2017_10.xlsx"/>
    <x v="1"/>
    <x v="9"/>
  </r>
  <r>
    <s v="MonthlyTradeStatistics 2017_10.xlsx"/>
    <x v="11"/>
    <n v="1123579.0252"/>
    <s v="2017_10.xlsx"/>
    <x v="1"/>
    <x v="9"/>
  </r>
  <r>
    <s v="MonthlyTradeStatistics 2017_10.xlsx"/>
    <x v="12"/>
    <n v="0"/>
    <s v="2017_10.xlsx"/>
    <x v="1"/>
    <x v="9"/>
  </r>
  <r>
    <s v="MonthlyTradeStatistics 2017_10.xlsx"/>
    <x v="13"/>
    <n v="13135.381299999999"/>
    <s v="2017_10.xlsx"/>
    <x v="1"/>
    <x v="9"/>
  </r>
  <r>
    <s v="MonthlyTradeStatistics 2017_10.xlsx"/>
    <x v="14"/>
    <n v="15749.217000000001"/>
    <s v="2017_10.xlsx"/>
    <x v="1"/>
    <x v="9"/>
  </r>
  <r>
    <s v="MonthlyTradeStatistics 2017_10.xlsx"/>
    <x v="15"/>
    <n v="600.8075"/>
    <s v="2017_10.xlsx"/>
    <x v="1"/>
    <x v="9"/>
  </r>
  <r>
    <s v="MonthlyTradeStatistics 2017_10.xlsx"/>
    <x v="16"/>
    <n v="11402.4"/>
    <s v="2017_10.xlsx"/>
    <x v="1"/>
    <x v="9"/>
  </r>
  <r>
    <s v="MonthlyTradeStatistics 2017_10.xlsx"/>
    <x v="17"/>
    <n v="2092.8154"/>
    <s v="2017_10.xlsx"/>
    <x v="1"/>
    <x v="9"/>
  </r>
  <r>
    <s v="MonthlyTradeStatistics 2017_10.xlsx"/>
    <x v="18"/>
    <n v="70452.810800000007"/>
    <s v="2017_10.xlsx"/>
    <x v="1"/>
    <x v="9"/>
  </r>
  <r>
    <s v="MonthlyTradeStatistics 2017_10.xlsx"/>
    <x v="19"/>
    <n v="15104.7192"/>
    <s v="2017_10.xlsx"/>
    <x v="1"/>
    <x v="9"/>
  </r>
  <r>
    <s v="MonthlyTradeStatistics 2017_10.xlsx"/>
    <x v="20"/>
    <n v="0"/>
    <s v="2017_10.xlsx"/>
    <x v="1"/>
    <x v="9"/>
  </r>
  <r>
    <s v="MonthlyTradeStatistics 2017_10.xlsx"/>
    <x v="21"/>
    <n v="276580.23330000002"/>
    <s v="2017_10.xlsx"/>
    <x v="1"/>
    <x v="9"/>
  </r>
  <r>
    <s v="MonthlyTradeStatistics 2017_10.xlsx"/>
    <x v="22"/>
    <n v="0"/>
    <s v="2017_10.xlsx"/>
    <x v="1"/>
    <x v="9"/>
  </r>
  <r>
    <s v="MonthlyTradeStatistics 2017_10.xlsx"/>
    <x v="23"/>
    <n v="95.333299999999994"/>
    <s v="2017_10.xlsx"/>
    <x v="1"/>
    <x v="9"/>
  </r>
  <r>
    <s v="MonthlyTradeStatistics 2017_10.xlsx"/>
    <x v="24"/>
    <n v="92767.631299999994"/>
    <s v="2017_10.xlsx"/>
    <x v="1"/>
    <x v="9"/>
  </r>
  <r>
    <s v="MonthlyTradeStatistics 2017_10.xlsx"/>
    <x v="25"/>
    <n v="18139.089899999999"/>
    <s v="2017_10.xlsx"/>
    <x v="1"/>
    <x v="9"/>
  </r>
  <r>
    <s v="MonthlyTradeStatistics 2017_10.xlsx"/>
    <x v="26"/>
    <n v="46.069499999999998"/>
    <s v="2017_10.xlsx"/>
    <x v="1"/>
    <x v="9"/>
  </r>
  <r>
    <s v="MonthlyTradeStatistics 2017_10.xlsx"/>
    <x v="27"/>
    <n v="160.0753"/>
    <s v="2017_10.xlsx"/>
    <x v="1"/>
    <x v="9"/>
  </r>
  <r>
    <s v="MonthlyTradeStatistics 2017_10.xlsx"/>
    <x v="28"/>
    <n v="52016.899700000002"/>
    <s v="2017_10.xlsx"/>
    <x v="1"/>
    <x v="9"/>
  </r>
  <r>
    <s v="MonthlyTradeStatistics 2017_10.xlsx"/>
    <x v="29"/>
    <n v="448661.14899999998"/>
    <s v="2017_10.xlsx"/>
    <x v="1"/>
    <x v="9"/>
  </r>
  <r>
    <s v="MonthlyTradeStatistics 2017_10.xlsx"/>
    <x v="30"/>
    <n v="761763.61959999998"/>
    <s v="2017_10.xlsx"/>
    <x v="1"/>
    <x v="9"/>
  </r>
  <r>
    <s v="MonthlyTradeStatistics 2017_10.xlsx"/>
    <x v="31"/>
    <n v="541.91189999999995"/>
    <s v="2017_10.xlsx"/>
    <x v="1"/>
    <x v="9"/>
  </r>
  <r>
    <s v="MonthlyTradeStatistics 2017_10.xlsx"/>
    <x v="32"/>
    <n v="48613.312400000003"/>
    <s v="2017_10.xlsx"/>
    <x v="1"/>
    <x v="9"/>
  </r>
  <r>
    <s v="MonthlyTradeStatistics 2017_10.xlsx"/>
    <x v="33"/>
    <n v="22808.674599999998"/>
    <s v="2017_10.xlsx"/>
    <x v="1"/>
    <x v="9"/>
  </r>
  <r>
    <s v="MonthlyTradeStatistics 2017_10.xlsx"/>
    <x v="34"/>
    <n v="320"/>
    <s v="2017_10.xlsx"/>
    <x v="1"/>
    <x v="9"/>
  </r>
  <r>
    <s v="MonthlyTradeStatistics 2017_10.xlsx"/>
    <x v="35"/>
    <n v="3534.35"/>
    <s v="2017_10.xlsx"/>
    <x v="1"/>
    <x v="9"/>
  </r>
  <r>
    <s v="MonthlyTradeStatistics 2017_10.xlsx"/>
    <x v="36"/>
    <n v="367.38010000000003"/>
    <s v="2017_10.xlsx"/>
    <x v="1"/>
    <x v="9"/>
  </r>
  <r>
    <s v="MonthlyTradeStatistics 2017_10.xlsx"/>
    <x v="37"/>
    <n v="228115.32759999999"/>
    <s v="2017_10.xlsx"/>
    <x v="1"/>
    <x v="9"/>
  </r>
  <r>
    <s v="MonthlyTradeStatistics 2017_10.xlsx"/>
    <x v="38"/>
    <n v="37.740499999999997"/>
    <s v="2017_10.xlsx"/>
    <x v="1"/>
    <x v="9"/>
  </r>
  <r>
    <s v="MonthlyTradeStatistics 2017_10.xlsx"/>
    <x v="39"/>
    <n v="116333.88219999999"/>
    <s v="2017_10.xlsx"/>
    <x v="1"/>
    <x v="9"/>
  </r>
  <r>
    <s v="MonthlyTradeStatistics 2017_10.xlsx"/>
    <x v="40"/>
    <n v="0"/>
    <s v="2017_10.xlsx"/>
    <x v="1"/>
    <x v="9"/>
  </r>
  <r>
    <s v="MonthlyTradeStatistics 2017_10.xlsx"/>
    <x v="41"/>
    <n v="2718.4584"/>
    <s v="2017_10.xlsx"/>
    <x v="1"/>
    <x v="9"/>
  </r>
  <r>
    <s v="MonthlyTradeStatistics 2017_10.xlsx"/>
    <x v="42"/>
    <n v="86513.067800000004"/>
    <s v="2017_10.xlsx"/>
    <x v="1"/>
    <x v="9"/>
  </r>
  <r>
    <s v="MonthlyTradeStatistics 2017_10.xlsx"/>
    <x v="43"/>
    <n v="1.3167"/>
    <s v="2017_10.xlsx"/>
    <x v="1"/>
    <x v="9"/>
  </r>
  <r>
    <s v="MonthlyTradeStatistics 2017_10.xlsx"/>
    <x v="44"/>
    <n v="647745.68000000005"/>
    <s v="2017_10.xlsx"/>
    <x v="1"/>
    <x v="9"/>
  </r>
  <r>
    <s v="MonthlyTradeStatistics 2017_10.xlsx"/>
    <x v="45"/>
    <n v="0"/>
    <s v="2017_10.xlsx"/>
    <x v="1"/>
    <x v="9"/>
  </r>
  <r>
    <s v="MonthlyTradeStatistics 2017_10.xlsx"/>
    <x v="46"/>
    <n v="27982.0321"/>
    <s v="2017_10.xlsx"/>
    <x v="1"/>
    <x v="9"/>
  </r>
  <r>
    <s v="MonthlyTradeStatistics 2017_10.xlsx"/>
    <x v="47"/>
    <n v="4271.7175999999999"/>
    <s v="2017_10.xlsx"/>
    <x v="1"/>
    <x v="9"/>
  </r>
  <r>
    <s v="MonthlyTradeStatistics 2017_10.xlsx"/>
    <x v="48"/>
    <n v="116.10129999999999"/>
    <s v="2017_10.xlsx"/>
    <x v="1"/>
    <x v="9"/>
  </r>
  <r>
    <s v="MonthlyTradeStatistics 2017_10.xlsx"/>
    <x v="49"/>
    <n v="70573.428"/>
    <s v="2017_10.xlsx"/>
    <x v="1"/>
    <x v="9"/>
  </r>
  <r>
    <s v="MonthlyTradeStatistics 2017_10.xlsx"/>
    <x v="50"/>
    <n v="11667.273499999999"/>
    <s v="2017_10.xlsx"/>
    <x v="1"/>
    <x v="9"/>
  </r>
  <r>
    <s v="MonthlyTradeStatistics 2017_10.xlsx"/>
    <x v="51"/>
    <n v="5066.5613999999996"/>
    <s v="2017_10.xlsx"/>
    <x v="1"/>
    <x v="9"/>
  </r>
  <r>
    <s v="MonthlyTradeStatistics 2017_10.xlsx"/>
    <x v="52"/>
    <n v="1602.3333"/>
    <s v="2017_10.xlsx"/>
    <x v="1"/>
    <x v="9"/>
  </r>
  <r>
    <s v="MonthlyTradeStatistics 2017_10.xlsx"/>
    <x v="53"/>
    <n v="61.052199999999999"/>
    <s v="2017_10.xlsx"/>
    <x v="1"/>
    <x v="9"/>
  </r>
  <r>
    <s v="MonthlyTradeStatistics 2017_10.xlsx"/>
    <x v="54"/>
    <n v="381636"/>
    <s v="2017_10.xlsx"/>
    <x v="1"/>
    <x v="9"/>
  </r>
  <r>
    <s v="MonthlyTradeStatistics 2017_10.xlsx"/>
    <x v="55"/>
    <n v="0"/>
    <s v="2017_10.xlsx"/>
    <x v="1"/>
    <x v="9"/>
  </r>
  <r>
    <s v="MonthlyTradeStatistics 2017_10.xlsx"/>
    <x v="56"/>
    <n v="1623684.3223999999"/>
    <s v="2017_10.xlsx"/>
    <x v="1"/>
    <x v="9"/>
  </r>
  <r>
    <s v="MonthlyTradeStatistics 2017_10.xlsx"/>
    <x v="57"/>
    <n v="4459.2"/>
    <s v="2017_10.xlsx"/>
    <x v="1"/>
    <x v="9"/>
  </r>
  <r>
    <s v="MonthlyTradeStatistics 2017_10.xlsx"/>
    <x v="58"/>
    <n v="1176.009"/>
    <s v="2017_10.xlsx"/>
    <x v="1"/>
    <x v="9"/>
  </r>
  <r>
    <s v="MonthlyTradeStatistics 2017_10.xlsx"/>
    <x v="59"/>
    <n v="87.731700000000004"/>
    <s v="2017_10.xlsx"/>
    <x v="1"/>
    <x v="9"/>
  </r>
  <r>
    <s v="MonthlyTradeStatistics 2017_11.xlsx"/>
    <x v="0"/>
    <n v="9270103.0906000007"/>
    <s v="2017_11.xlsx"/>
    <x v="1"/>
    <x v="10"/>
  </r>
  <r>
    <s v="MonthlyTradeStatistics 2017_11.xlsx"/>
    <x v="1"/>
    <n v="1271779.1642"/>
    <s v="2017_11.xlsx"/>
    <x v="1"/>
    <x v="10"/>
  </r>
  <r>
    <s v="MonthlyTradeStatistics 2017_11.xlsx"/>
    <x v="2"/>
    <n v="1712864.3370000001"/>
    <s v="2017_11.xlsx"/>
    <x v="1"/>
    <x v="10"/>
  </r>
  <r>
    <s v="MonthlyTradeStatistics 2017_11.xlsx"/>
    <x v="3"/>
    <n v="3160088.1217999998"/>
    <s v="2017_11.xlsx"/>
    <x v="1"/>
    <x v="10"/>
  </r>
  <r>
    <s v="MonthlyTradeStatistics 2017_11.xlsx"/>
    <x v="4"/>
    <n v="3125371.4676000001"/>
    <s v="2017_11.xlsx"/>
    <x v="1"/>
    <x v="10"/>
  </r>
  <r>
    <s v="MonthlyTradeStatistics 2017_11.xlsx"/>
    <x v="5"/>
    <n v="230"/>
    <s v="2017_11.xlsx"/>
    <x v="1"/>
    <x v="10"/>
  </r>
  <r>
    <s v="MonthlyTradeStatistics 2017_11.xlsx"/>
    <x v="6"/>
    <n v="4790.0200000000004"/>
    <s v="2017_11.xlsx"/>
    <x v="1"/>
    <x v="10"/>
  </r>
  <r>
    <s v="MonthlyTradeStatistics 2017_11.xlsx"/>
    <x v="7"/>
    <n v="2965514.0468000001"/>
    <s v="2017_11.xlsx"/>
    <x v="1"/>
    <x v="10"/>
  </r>
  <r>
    <s v="MonthlyTradeStatistics 2017_11.xlsx"/>
    <x v="8"/>
    <n v="30857.546699999999"/>
    <s v="2017_11.xlsx"/>
    <x v="1"/>
    <x v="10"/>
  </r>
  <r>
    <s v="MonthlyTradeStatistics 2017_11.xlsx"/>
    <x v="9"/>
    <n v="17910"/>
    <s v="2017_11.xlsx"/>
    <x v="1"/>
    <x v="10"/>
  </r>
  <r>
    <s v="MonthlyTradeStatistics 2017_11.xlsx"/>
    <x v="10"/>
    <n v="0"/>
    <s v="2017_11.xlsx"/>
    <x v="1"/>
    <x v="10"/>
  </r>
  <r>
    <s v="MonthlyTradeStatistics 2017_11.xlsx"/>
    <x v="11"/>
    <n v="1161715.0109000001"/>
    <s v="2017_11.xlsx"/>
    <x v="1"/>
    <x v="10"/>
  </r>
  <r>
    <s v="MonthlyTradeStatistics 2017_11.xlsx"/>
    <x v="12"/>
    <n v="0"/>
    <s v="2017_11.xlsx"/>
    <x v="1"/>
    <x v="10"/>
  </r>
  <r>
    <s v="MonthlyTradeStatistics 2017_11.xlsx"/>
    <x v="13"/>
    <n v="26464.771100000002"/>
    <s v="2017_11.xlsx"/>
    <x v="1"/>
    <x v="10"/>
  </r>
  <r>
    <s v="MonthlyTradeStatistics 2017_11.xlsx"/>
    <x v="14"/>
    <n v="65607.165699999998"/>
    <s v="2017_11.xlsx"/>
    <x v="1"/>
    <x v="10"/>
  </r>
  <r>
    <s v="MonthlyTradeStatistics 2017_11.xlsx"/>
    <x v="15"/>
    <n v="957.87909999999999"/>
    <s v="2017_11.xlsx"/>
    <x v="1"/>
    <x v="10"/>
  </r>
  <r>
    <s v="MonthlyTradeStatistics 2017_11.xlsx"/>
    <x v="16"/>
    <n v="7887.41"/>
    <s v="2017_11.xlsx"/>
    <x v="1"/>
    <x v="10"/>
  </r>
  <r>
    <s v="MonthlyTradeStatistics 2017_11.xlsx"/>
    <x v="17"/>
    <n v="373.37979999999999"/>
    <s v="2017_11.xlsx"/>
    <x v="1"/>
    <x v="10"/>
  </r>
  <r>
    <s v="MonthlyTradeStatistics 2017_11.xlsx"/>
    <x v="18"/>
    <n v="62152.872000000003"/>
    <s v="2017_11.xlsx"/>
    <x v="1"/>
    <x v="10"/>
  </r>
  <r>
    <s v="MonthlyTradeStatistics 2017_11.xlsx"/>
    <x v="19"/>
    <n v="8191.4453999999996"/>
    <s v="2017_11.xlsx"/>
    <x v="1"/>
    <x v="10"/>
  </r>
  <r>
    <s v="MonthlyTradeStatistics 2017_11.xlsx"/>
    <x v="20"/>
    <n v="0"/>
    <s v="2017_11.xlsx"/>
    <x v="1"/>
    <x v="10"/>
  </r>
  <r>
    <s v="MonthlyTradeStatistics 2017_11.xlsx"/>
    <x v="21"/>
    <n v="283415.5"/>
    <s v="2017_11.xlsx"/>
    <x v="1"/>
    <x v="10"/>
  </r>
  <r>
    <s v="MonthlyTradeStatistics 2017_11.xlsx"/>
    <x v="22"/>
    <n v="0"/>
    <s v="2017_11.xlsx"/>
    <x v="1"/>
    <x v="10"/>
  </r>
  <r>
    <s v="MonthlyTradeStatistics 2017_11.xlsx"/>
    <x v="23"/>
    <n v="1394.0153"/>
    <s v="2017_11.xlsx"/>
    <x v="1"/>
    <x v="10"/>
  </r>
  <r>
    <s v="MonthlyTradeStatistics 2017_11.xlsx"/>
    <x v="24"/>
    <n v="78655.313800000004"/>
    <s v="2017_11.xlsx"/>
    <x v="1"/>
    <x v="10"/>
  </r>
  <r>
    <s v="MonthlyTradeStatistics 2017_11.xlsx"/>
    <x v="25"/>
    <n v="17107.419900000001"/>
    <s v="2017_11.xlsx"/>
    <x v="1"/>
    <x v="10"/>
  </r>
  <r>
    <s v="MonthlyTradeStatistics 2017_11.xlsx"/>
    <x v="26"/>
    <n v="166.48670000000001"/>
    <s v="2017_11.xlsx"/>
    <x v="1"/>
    <x v="10"/>
  </r>
  <r>
    <s v="MonthlyTradeStatistics 2017_11.xlsx"/>
    <x v="27"/>
    <n v="110.5915"/>
    <s v="2017_11.xlsx"/>
    <x v="1"/>
    <x v="10"/>
  </r>
  <r>
    <s v="MonthlyTradeStatistics 2017_11.xlsx"/>
    <x v="28"/>
    <n v="165463.34169999999"/>
    <s v="2017_11.xlsx"/>
    <x v="1"/>
    <x v="10"/>
  </r>
  <r>
    <s v="MonthlyTradeStatistics 2017_11.xlsx"/>
    <x v="29"/>
    <n v="565534.87520000001"/>
    <s v="2017_11.xlsx"/>
    <x v="1"/>
    <x v="10"/>
  </r>
  <r>
    <s v="MonthlyTradeStatistics 2017_11.xlsx"/>
    <x v="30"/>
    <n v="601559.79859999998"/>
    <s v="2017_11.xlsx"/>
    <x v="1"/>
    <x v="10"/>
  </r>
  <r>
    <s v="MonthlyTradeStatistics 2017_11.xlsx"/>
    <x v="31"/>
    <n v="1528.2538"/>
    <s v="2017_11.xlsx"/>
    <x v="1"/>
    <x v="10"/>
  </r>
  <r>
    <s v="MonthlyTradeStatistics 2017_11.xlsx"/>
    <x v="32"/>
    <n v="58032.533300000003"/>
    <s v="2017_11.xlsx"/>
    <x v="1"/>
    <x v="10"/>
  </r>
  <r>
    <s v="MonthlyTradeStatistics 2017_11.xlsx"/>
    <x v="33"/>
    <n v="36109.102800000001"/>
    <s v="2017_11.xlsx"/>
    <x v="1"/>
    <x v="10"/>
  </r>
  <r>
    <s v="MonthlyTradeStatistics 2017_11.xlsx"/>
    <x v="34"/>
    <n v="3605"/>
    <s v="2017_11.xlsx"/>
    <x v="1"/>
    <x v="10"/>
  </r>
  <r>
    <s v="MonthlyTradeStatistics 2017_11.xlsx"/>
    <x v="35"/>
    <n v="1136.02"/>
    <s v="2017_11.xlsx"/>
    <x v="1"/>
    <x v="10"/>
  </r>
  <r>
    <s v="MonthlyTradeStatistics 2017_11.xlsx"/>
    <x v="36"/>
    <n v="419.05009999999999"/>
    <s v="2017_11.xlsx"/>
    <x v="1"/>
    <x v="10"/>
  </r>
  <r>
    <s v="MonthlyTradeStatistics 2017_11.xlsx"/>
    <x v="37"/>
    <n v="237313.80530000001"/>
    <s v="2017_11.xlsx"/>
    <x v="1"/>
    <x v="10"/>
  </r>
  <r>
    <s v="MonthlyTradeStatistics 2017_11.xlsx"/>
    <x v="38"/>
    <n v="49.544800000000002"/>
    <s v="2017_11.xlsx"/>
    <x v="1"/>
    <x v="10"/>
  </r>
  <r>
    <s v="MonthlyTradeStatistics 2017_11.xlsx"/>
    <x v="39"/>
    <n v="81727.820999999996"/>
    <s v="2017_11.xlsx"/>
    <x v="1"/>
    <x v="10"/>
  </r>
  <r>
    <s v="MonthlyTradeStatistics 2017_11.xlsx"/>
    <x v="40"/>
    <n v="0"/>
    <s v="2017_11.xlsx"/>
    <x v="1"/>
    <x v="10"/>
  </r>
  <r>
    <s v="MonthlyTradeStatistics 2017_11.xlsx"/>
    <x v="41"/>
    <n v="1541.8638000000001"/>
    <s v="2017_11.xlsx"/>
    <x v="1"/>
    <x v="10"/>
  </r>
  <r>
    <s v="MonthlyTradeStatistics 2017_11.xlsx"/>
    <x v="42"/>
    <n v="74012.75"/>
    <s v="2017_11.xlsx"/>
    <x v="1"/>
    <x v="10"/>
  </r>
  <r>
    <s v="MonthlyTradeStatistics 2017_11.xlsx"/>
    <x v="43"/>
    <n v="0"/>
    <s v="2017_11.xlsx"/>
    <x v="1"/>
    <x v="10"/>
  </r>
  <r>
    <s v="MonthlyTradeStatistics 2017_11.xlsx"/>
    <x v="44"/>
    <n v="522021.5"/>
    <s v="2017_11.xlsx"/>
    <x v="1"/>
    <x v="10"/>
  </r>
  <r>
    <s v="MonthlyTradeStatistics 2017_11.xlsx"/>
    <x v="45"/>
    <n v="119.95229999999999"/>
    <s v="2017_11.xlsx"/>
    <x v="1"/>
    <x v="10"/>
  </r>
  <r>
    <s v="MonthlyTradeStatistics 2017_11.xlsx"/>
    <x v="46"/>
    <n v="32008.398399999998"/>
    <s v="2017_11.xlsx"/>
    <x v="1"/>
    <x v="10"/>
  </r>
  <r>
    <s v="MonthlyTradeStatistics 2017_11.xlsx"/>
    <x v="47"/>
    <n v="465.04759999999999"/>
    <s v="2017_11.xlsx"/>
    <x v="1"/>
    <x v="10"/>
  </r>
  <r>
    <s v="MonthlyTradeStatistics 2017_11.xlsx"/>
    <x v="48"/>
    <n v="112.02070000000001"/>
    <s v="2017_11.xlsx"/>
    <x v="1"/>
    <x v="10"/>
  </r>
  <r>
    <s v="MonthlyTradeStatistics 2017_11.xlsx"/>
    <x v="49"/>
    <n v="66026"/>
    <s v="2017_11.xlsx"/>
    <x v="1"/>
    <x v="10"/>
  </r>
  <r>
    <s v="MonthlyTradeStatistics 2017_11.xlsx"/>
    <x v="50"/>
    <n v="11781.0198"/>
    <s v="2017_11.xlsx"/>
    <x v="1"/>
    <x v="10"/>
  </r>
  <r>
    <s v="MonthlyTradeStatistics 2017_11.xlsx"/>
    <x v="51"/>
    <n v="6549.4214000000002"/>
    <s v="2017_11.xlsx"/>
    <x v="1"/>
    <x v="10"/>
  </r>
  <r>
    <s v="MonthlyTradeStatistics 2017_11.xlsx"/>
    <x v="52"/>
    <n v="959.73329999999999"/>
    <s v="2017_11.xlsx"/>
    <x v="1"/>
    <x v="10"/>
  </r>
  <r>
    <s v="MonthlyTradeStatistics 2017_11.xlsx"/>
    <x v="53"/>
    <n v="111.69929999999999"/>
    <s v="2017_11.xlsx"/>
    <x v="1"/>
    <x v="10"/>
  </r>
  <r>
    <s v="MonthlyTradeStatistics 2017_11.xlsx"/>
    <x v="54"/>
    <n v="443100"/>
    <s v="2017_11.xlsx"/>
    <x v="1"/>
    <x v="10"/>
  </r>
  <r>
    <s v="MonthlyTradeStatistics 2017_11.xlsx"/>
    <x v="55"/>
    <n v="0"/>
    <s v="2017_11.xlsx"/>
    <x v="1"/>
    <x v="10"/>
  </r>
  <r>
    <s v="MonthlyTradeStatistics 2017_11.xlsx"/>
    <x v="56"/>
    <n v="1620633.4472000001"/>
    <s v="2017_11.xlsx"/>
    <x v="1"/>
    <x v="10"/>
  </r>
  <r>
    <s v="MonthlyTradeStatistics 2017_11.xlsx"/>
    <x v="57"/>
    <n v="3789.672"/>
    <s v="2017_11.xlsx"/>
    <x v="1"/>
    <x v="10"/>
  </r>
  <r>
    <s v="MonthlyTradeStatistics 2017_11.xlsx"/>
    <x v="58"/>
    <n v="771.00900000000001"/>
    <s v="2017_11.xlsx"/>
    <x v="1"/>
    <x v="10"/>
  </r>
  <r>
    <s v="MonthlyTradeStatistics 2017_11.xlsx"/>
    <x v="59"/>
    <n v="119.53449999999999"/>
    <s v="2017_11.xlsx"/>
    <x v="1"/>
    <x v="10"/>
  </r>
  <r>
    <s v="MonthlyTradeStatistics 2017_12.xlsx"/>
    <x v="0"/>
    <n v="10131342.4189"/>
    <s v="2017_12.xlsx"/>
    <x v="1"/>
    <x v="11"/>
  </r>
  <r>
    <s v="MonthlyTradeStatistics 2017_12.xlsx"/>
    <x v="1"/>
    <n v="1305273.0218"/>
    <s v="2017_12.xlsx"/>
    <x v="1"/>
    <x v="11"/>
  </r>
  <r>
    <s v="MonthlyTradeStatistics 2017_12.xlsx"/>
    <x v="2"/>
    <n v="1883115.1610000001"/>
    <s v="2017_12.xlsx"/>
    <x v="1"/>
    <x v="11"/>
  </r>
  <r>
    <s v="MonthlyTradeStatistics 2017_12.xlsx"/>
    <x v="3"/>
    <n v="3212325.1834"/>
    <s v="2017_12.xlsx"/>
    <x v="1"/>
    <x v="11"/>
  </r>
  <r>
    <s v="MonthlyTradeStatistics 2017_12.xlsx"/>
    <x v="4"/>
    <n v="3730629.0526999999"/>
    <s v="2017_12.xlsx"/>
    <x v="1"/>
    <x v="11"/>
  </r>
  <r>
    <s v="MonthlyTradeStatistics 2017_12.xlsx"/>
    <x v="5"/>
    <n v="0"/>
    <s v="2017_12.xlsx"/>
    <x v="1"/>
    <x v="11"/>
  </r>
  <r>
    <s v="MonthlyTradeStatistics 2017_12.xlsx"/>
    <x v="6"/>
    <n v="4256.8500000000004"/>
    <s v="2017_12.xlsx"/>
    <x v="1"/>
    <x v="11"/>
  </r>
  <r>
    <s v="MonthlyTradeStatistics 2017_12.xlsx"/>
    <x v="7"/>
    <n v="3025954.4840000002"/>
    <s v="2017_12.xlsx"/>
    <x v="1"/>
    <x v="11"/>
  </r>
  <r>
    <s v="MonthlyTradeStatistics 2017_12.xlsx"/>
    <x v="8"/>
    <n v="48914.133300000001"/>
    <s v="2017_12.xlsx"/>
    <x v="1"/>
    <x v="11"/>
  </r>
  <r>
    <s v="MonthlyTradeStatistics 2017_12.xlsx"/>
    <x v="9"/>
    <n v="13576"/>
    <s v="2017_12.xlsx"/>
    <x v="1"/>
    <x v="11"/>
  </r>
  <r>
    <s v="MonthlyTradeStatistics 2017_12.xlsx"/>
    <x v="10"/>
    <n v="1386"/>
    <s v="2017_12.xlsx"/>
    <x v="1"/>
    <x v="11"/>
  </r>
  <r>
    <s v="MonthlyTradeStatistics 2017_12.xlsx"/>
    <x v="11"/>
    <n v="1221736.6018000001"/>
    <s v="2017_12.xlsx"/>
    <x v="1"/>
    <x v="11"/>
  </r>
  <r>
    <s v="MonthlyTradeStatistics 2017_12.xlsx"/>
    <x v="12"/>
    <n v="0"/>
    <s v="2017_12.xlsx"/>
    <x v="1"/>
    <x v="11"/>
  </r>
  <r>
    <s v="MonthlyTradeStatistics 2017_12.xlsx"/>
    <x v="13"/>
    <n v="42860.025900000001"/>
    <s v="2017_12.xlsx"/>
    <x v="1"/>
    <x v="11"/>
  </r>
  <r>
    <s v="MonthlyTradeStatistics 2017_12.xlsx"/>
    <x v="14"/>
    <n v="24732.649700000002"/>
    <s v="2017_12.xlsx"/>
    <x v="1"/>
    <x v="11"/>
  </r>
  <r>
    <s v="MonthlyTradeStatistics 2017_12.xlsx"/>
    <x v="15"/>
    <n v="524.22680000000003"/>
    <s v="2017_12.xlsx"/>
    <x v="1"/>
    <x v="11"/>
  </r>
  <r>
    <s v="MonthlyTradeStatistics 2017_12.xlsx"/>
    <x v="16"/>
    <n v="7628.53"/>
    <s v="2017_12.xlsx"/>
    <x v="1"/>
    <x v="11"/>
  </r>
  <r>
    <s v="MonthlyTradeStatistics 2017_12.xlsx"/>
    <x v="17"/>
    <n v="1713.0668000000001"/>
    <s v="2017_12.xlsx"/>
    <x v="1"/>
    <x v="11"/>
  </r>
  <r>
    <s v="MonthlyTradeStatistics 2017_12.xlsx"/>
    <x v="18"/>
    <n v="53936.024799999999"/>
    <s v="2017_12.xlsx"/>
    <x v="1"/>
    <x v="11"/>
  </r>
  <r>
    <s v="MonthlyTradeStatistics 2017_12.xlsx"/>
    <x v="19"/>
    <n v="26345.083999999999"/>
    <s v="2017_12.xlsx"/>
    <x v="1"/>
    <x v="11"/>
  </r>
  <r>
    <s v="MonthlyTradeStatistics 2017_12.xlsx"/>
    <x v="20"/>
    <n v="0"/>
    <s v="2017_12.xlsx"/>
    <x v="1"/>
    <x v="11"/>
  </r>
  <r>
    <s v="MonthlyTradeStatistics 2017_12.xlsx"/>
    <x v="21"/>
    <n v="311344.3333"/>
    <s v="2017_12.xlsx"/>
    <x v="1"/>
    <x v="11"/>
  </r>
  <r>
    <s v="MonthlyTradeStatistics 2017_12.xlsx"/>
    <x v="22"/>
    <n v="0"/>
    <s v="2017_12.xlsx"/>
    <x v="1"/>
    <x v="11"/>
  </r>
  <r>
    <s v="MonthlyTradeStatistics 2017_12.xlsx"/>
    <x v="23"/>
    <n v="458.70069999999998"/>
    <s v="2017_12.xlsx"/>
    <x v="1"/>
    <x v="11"/>
  </r>
  <r>
    <s v="MonthlyTradeStatistics 2017_12.xlsx"/>
    <x v="24"/>
    <n v="124927.33530000001"/>
    <s v="2017_12.xlsx"/>
    <x v="1"/>
    <x v="11"/>
  </r>
  <r>
    <s v="MonthlyTradeStatistics 2017_12.xlsx"/>
    <x v="25"/>
    <n v="16859.089899999999"/>
    <s v="2017_12.xlsx"/>
    <x v="1"/>
    <x v="11"/>
  </r>
  <r>
    <s v="MonthlyTradeStatistics 2017_12.xlsx"/>
    <x v="26"/>
    <n v="82.853300000000004"/>
    <s v="2017_12.xlsx"/>
    <x v="1"/>
    <x v="11"/>
  </r>
  <r>
    <s v="MonthlyTradeStatistics 2017_12.xlsx"/>
    <x v="27"/>
    <n v="217.2373"/>
    <s v="2017_12.xlsx"/>
    <x v="1"/>
    <x v="11"/>
  </r>
  <r>
    <s v="MonthlyTradeStatistics 2017_12.xlsx"/>
    <x v="28"/>
    <n v="422141.0723"/>
    <s v="2017_12.xlsx"/>
    <x v="1"/>
    <x v="11"/>
  </r>
  <r>
    <s v="MonthlyTradeStatistics 2017_12.xlsx"/>
    <x v="29"/>
    <n v="473844.42570000002"/>
    <s v="2017_12.xlsx"/>
    <x v="1"/>
    <x v="11"/>
  </r>
  <r>
    <s v="MonthlyTradeStatistics 2017_12.xlsx"/>
    <x v="30"/>
    <n v="546736.39740000002"/>
    <s v="2017_12.xlsx"/>
    <x v="1"/>
    <x v="11"/>
  </r>
  <r>
    <s v="MonthlyTradeStatistics 2017_12.xlsx"/>
    <x v="31"/>
    <n v="121.256"/>
    <s v="2017_12.xlsx"/>
    <x v="1"/>
    <x v="11"/>
  </r>
  <r>
    <s v="MonthlyTradeStatistics 2017_12.xlsx"/>
    <x v="32"/>
    <n v="44153.7"/>
    <s v="2017_12.xlsx"/>
    <x v="1"/>
    <x v="11"/>
  </r>
  <r>
    <s v="MonthlyTradeStatistics 2017_12.xlsx"/>
    <x v="33"/>
    <n v="17721.135300000002"/>
    <s v="2017_12.xlsx"/>
    <x v="1"/>
    <x v="11"/>
  </r>
  <r>
    <s v="MonthlyTradeStatistics 2017_12.xlsx"/>
    <x v="34"/>
    <n v="0"/>
    <s v="2017_12.xlsx"/>
    <x v="1"/>
    <x v="11"/>
  </r>
  <r>
    <s v="MonthlyTradeStatistics 2017_12.xlsx"/>
    <x v="35"/>
    <n v="1829.36"/>
    <s v="2017_12.xlsx"/>
    <x v="1"/>
    <x v="11"/>
  </r>
  <r>
    <s v="MonthlyTradeStatistics 2017_12.xlsx"/>
    <x v="36"/>
    <n v="1007.3801"/>
    <s v="2017_12.xlsx"/>
    <x v="1"/>
    <x v="11"/>
  </r>
  <r>
    <s v="MonthlyTradeStatistics 2017_12.xlsx"/>
    <x v="37"/>
    <n v="226543.71419999999"/>
    <s v="2017_12.xlsx"/>
    <x v="1"/>
    <x v="11"/>
  </r>
  <r>
    <s v="MonthlyTradeStatistics 2017_12.xlsx"/>
    <x v="38"/>
    <n v="23.4208"/>
    <s v="2017_12.xlsx"/>
    <x v="1"/>
    <x v="11"/>
  </r>
  <r>
    <s v="MonthlyTradeStatistics 2017_12.xlsx"/>
    <x v="39"/>
    <n v="84895.585000000006"/>
    <s v="2017_12.xlsx"/>
    <x v="1"/>
    <x v="11"/>
  </r>
  <r>
    <s v="MonthlyTradeStatistics 2017_12.xlsx"/>
    <x v="40"/>
    <n v="0"/>
    <s v="2017_12.xlsx"/>
    <x v="1"/>
    <x v="11"/>
  </r>
  <r>
    <s v="MonthlyTradeStatistics 2017_12.xlsx"/>
    <x v="41"/>
    <n v="1679.0735"/>
    <s v="2017_12.xlsx"/>
    <x v="1"/>
    <x v="11"/>
  </r>
  <r>
    <s v="MonthlyTradeStatistics 2017_12.xlsx"/>
    <x v="42"/>
    <n v="47930.7"/>
    <s v="2017_12.xlsx"/>
    <x v="1"/>
    <x v="11"/>
  </r>
  <r>
    <s v="MonthlyTradeStatistics 2017_12.xlsx"/>
    <x v="43"/>
    <n v="0"/>
    <s v="2017_12.xlsx"/>
    <x v="1"/>
    <x v="11"/>
  </r>
  <r>
    <s v="MonthlyTradeStatistics 2017_12.xlsx"/>
    <x v="44"/>
    <n v="470600"/>
    <s v="2017_12.xlsx"/>
    <x v="1"/>
    <x v="11"/>
  </r>
  <r>
    <s v="MonthlyTradeStatistics 2017_12.xlsx"/>
    <x v="45"/>
    <n v="165.2278"/>
    <s v="2017_12.xlsx"/>
    <x v="1"/>
    <x v="11"/>
  </r>
  <r>
    <s v="MonthlyTradeStatistics 2017_12.xlsx"/>
    <x v="46"/>
    <n v="26363.9113"/>
    <s v="2017_12.xlsx"/>
    <x v="1"/>
    <x v="11"/>
  </r>
  <r>
    <s v="MonthlyTradeStatistics 2017_12.xlsx"/>
    <x v="47"/>
    <n v="1453.3776"/>
    <s v="2017_12.xlsx"/>
    <x v="1"/>
    <x v="11"/>
  </r>
  <r>
    <s v="MonthlyTradeStatistics 2017_12.xlsx"/>
    <x v="48"/>
    <n v="107.7713"/>
    <s v="2017_12.xlsx"/>
    <x v="1"/>
    <x v="11"/>
  </r>
  <r>
    <s v="MonthlyTradeStatistics 2017_12.xlsx"/>
    <x v="49"/>
    <n v="53694.05"/>
    <s v="2017_12.xlsx"/>
    <x v="1"/>
    <x v="11"/>
  </r>
  <r>
    <s v="MonthlyTradeStatistics 2017_12.xlsx"/>
    <x v="50"/>
    <n v="11507.1757"/>
    <s v="2017_12.xlsx"/>
    <x v="1"/>
    <x v="11"/>
  </r>
  <r>
    <s v="MonthlyTradeStatistics 2017_12.xlsx"/>
    <x v="51"/>
    <n v="4562.7214000000004"/>
    <s v="2017_12.xlsx"/>
    <x v="1"/>
    <x v="11"/>
  </r>
  <r>
    <s v="MonthlyTradeStatistics 2017_12.xlsx"/>
    <x v="52"/>
    <n v="276"/>
    <s v="2017_12.xlsx"/>
    <x v="1"/>
    <x v="11"/>
  </r>
  <r>
    <s v="MonthlyTradeStatistics 2017_12.xlsx"/>
    <x v="53"/>
    <n v="59.089500000000001"/>
    <s v="2017_12.xlsx"/>
    <x v="1"/>
    <x v="11"/>
  </r>
  <r>
    <s v="MonthlyTradeStatistics 2017_12.xlsx"/>
    <x v="54"/>
    <n v="386217"/>
    <s v="2017_12.xlsx"/>
    <x v="1"/>
    <x v="11"/>
  </r>
  <r>
    <s v="MonthlyTradeStatistics 2017_12.xlsx"/>
    <x v="55"/>
    <n v="0"/>
    <s v="2017_12.xlsx"/>
    <x v="1"/>
    <x v="11"/>
  </r>
  <r>
    <s v="MonthlyTradeStatistics 2017_12.xlsx"/>
    <x v="56"/>
    <n v="2373193.1161000002"/>
    <s v="2017_12.xlsx"/>
    <x v="1"/>
    <x v="11"/>
  </r>
  <r>
    <s v="MonthlyTradeStatistics 2017_12.xlsx"/>
    <x v="57"/>
    <n v="3834.5520000000001"/>
    <s v="2017_12.xlsx"/>
    <x v="1"/>
    <x v="11"/>
  </r>
  <r>
    <s v="MonthlyTradeStatistics 2017_12.xlsx"/>
    <x v="58"/>
    <n v="2760.3789999999999"/>
    <s v="2017_12.xlsx"/>
    <x v="1"/>
    <x v="11"/>
  </r>
  <r>
    <s v="MonthlyTradeStatistics 2017_12.xlsx"/>
    <x v="59"/>
    <n v="467.6"/>
    <s v="2017_12.xlsx"/>
    <x v="1"/>
    <x v="11"/>
  </r>
  <r>
    <s v="MonthlyTradeStatistics 2018_01.xlsx"/>
    <x v="0"/>
    <n v="10915290.652100001"/>
    <s v="2018_01.xlsx"/>
    <x v="2"/>
    <x v="0"/>
  </r>
  <r>
    <s v="MonthlyTradeStatistics 2018_01.xlsx"/>
    <x v="1"/>
    <n v="1145796.8918000001"/>
    <s v="2018_01.xlsx"/>
    <x v="2"/>
    <x v="0"/>
  </r>
  <r>
    <s v="MonthlyTradeStatistics 2018_01.xlsx"/>
    <x v="2"/>
    <n v="2286049.5998"/>
    <s v="2018_01.xlsx"/>
    <x v="2"/>
    <x v="0"/>
  </r>
  <r>
    <s v="MonthlyTradeStatistics 2018_01.xlsx"/>
    <x v="3"/>
    <n v="2954327.3705000002"/>
    <s v="2018_01.xlsx"/>
    <x v="2"/>
    <x v="0"/>
  </r>
  <r>
    <s v="MonthlyTradeStatistics 2018_01.xlsx"/>
    <x v="4"/>
    <n v="4529116.79"/>
    <s v="2018_01.xlsx"/>
    <x v="2"/>
    <x v="0"/>
  </r>
  <r>
    <s v="MonthlyTradeStatistics 2018_01.xlsx"/>
    <x v="5"/>
    <n v="0"/>
    <s v="2018_01.xlsx"/>
    <x v="2"/>
    <x v="0"/>
  </r>
  <r>
    <s v="MonthlyTradeStatistics 2018_01.xlsx"/>
    <x v="6"/>
    <n v="2992.81"/>
    <s v="2018_01.xlsx"/>
    <x v="2"/>
    <x v="0"/>
  </r>
  <r>
    <s v="MonthlyTradeStatistics 2018_01.xlsx"/>
    <x v="7"/>
    <n v="2719936.3846"/>
    <s v="2018_01.xlsx"/>
    <x v="2"/>
    <x v="0"/>
  </r>
  <r>
    <s v="MonthlyTradeStatistics 2018_01.xlsx"/>
    <x v="8"/>
    <n v="43997.533300000003"/>
    <s v="2018_01.xlsx"/>
    <x v="2"/>
    <x v="0"/>
  </r>
  <r>
    <s v="MonthlyTradeStatistics 2018_01.xlsx"/>
    <x v="9"/>
    <n v="34715"/>
    <s v="2018_01.xlsx"/>
    <x v="2"/>
    <x v="0"/>
  </r>
  <r>
    <s v="MonthlyTradeStatistics 2018_01.xlsx"/>
    <x v="10"/>
    <n v="2418"/>
    <s v="2018_01.xlsx"/>
    <x v="2"/>
    <x v="0"/>
  </r>
  <r>
    <s v="MonthlyTradeStatistics 2018_01.xlsx"/>
    <x v="11"/>
    <n v="1057220.3341000001"/>
    <s v="2018_01.xlsx"/>
    <x v="2"/>
    <x v="0"/>
  </r>
  <r>
    <s v="MonthlyTradeStatistics 2018_01.xlsx"/>
    <x v="12"/>
    <n v="0"/>
    <s v="2018_01.xlsx"/>
    <x v="2"/>
    <x v="0"/>
  </r>
  <r>
    <s v="MonthlyTradeStatistics 2018_01.xlsx"/>
    <x v="13"/>
    <n v="73963.429900000003"/>
    <s v="2018_01.xlsx"/>
    <x v="2"/>
    <x v="0"/>
  </r>
  <r>
    <s v="MonthlyTradeStatistics 2018_01.xlsx"/>
    <x v="14"/>
    <n v="75776.399999999994"/>
    <s v="2018_01.xlsx"/>
    <x v="2"/>
    <x v="0"/>
  </r>
  <r>
    <s v="MonthlyTradeStatistics 2018_01.xlsx"/>
    <x v="15"/>
    <n v="1577.2137"/>
    <s v="2018_01.xlsx"/>
    <x v="2"/>
    <x v="0"/>
  </r>
  <r>
    <s v="MonthlyTradeStatistics 2018_01.xlsx"/>
    <x v="16"/>
    <n v="13330"/>
    <s v="2018_01.xlsx"/>
    <x v="2"/>
    <x v="0"/>
  </r>
  <r>
    <s v="MonthlyTradeStatistics 2018_01.xlsx"/>
    <x v="17"/>
    <n v="1175.0018"/>
    <s v="2018_01.xlsx"/>
    <x v="2"/>
    <x v="0"/>
  </r>
  <r>
    <s v="MonthlyTradeStatistics 2018_01.xlsx"/>
    <x v="18"/>
    <n v="51427.406799999997"/>
    <s v="2018_01.xlsx"/>
    <x v="2"/>
    <x v="0"/>
  </r>
  <r>
    <s v="MonthlyTradeStatistics 2018_01.xlsx"/>
    <x v="19"/>
    <n v="20526.649700000002"/>
    <s v="2018_01.xlsx"/>
    <x v="2"/>
    <x v="0"/>
  </r>
  <r>
    <s v="MonthlyTradeStatistics 2018_01.xlsx"/>
    <x v="20"/>
    <n v="2.34"/>
    <s v="2018_01.xlsx"/>
    <x v="2"/>
    <x v="0"/>
  </r>
  <r>
    <s v="MonthlyTradeStatistics 2018_01.xlsx"/>
    <x v="21"/>
    <n v="233825.93340000001"/>
    <s v="2018_01.xlsx"/>
    <x v="2"/>
    <x v="0"/>
  </r>
  <r>
    <s v="MonthlyTradeStatistics 2018_01.xlsx"/>
    <x v="22"/>
    <n v="0.85"/>
    <s v="2018_01.xlsx"/>
    <x v="2"/>
    <x v="0"/>
  </r>
  <r>
    <s v="MonthlyTradeStatistics 2018_01.xlsx"/>
    <x v="23"/>
    <n v="1149.4079999999999"/>
    <s v="2018_01.xlsx"/>
    <x v="2"/>
    <x v="0"/>
  </r>
  <r>
    <s v="MonthlyTradeStatistics 2018_01.xlsx"/>
    <x v="24"/>
    <n v="231262.8524"/>
    <s v="2018_01.xlsx"/>
    <x v="2"/>
    <x v="0"/>
  </r>
  <r>
    <s v="MonthlyTradeStatistics 2018_01.xlsx"/>
    <x v="25"/>
    <n v="13125.6922"/>
    <s v="2018_01.xlsx"/>
    <x v="2"/>
    <x v="0"/>
  </r>
  <r>
    <s v="MonthlyTradeStatistics 2018_01.xlsx"/>
    <x v="26"/>
    <n v="0"/>
    <s v="2018_01.xlsx"/>
    <x v="2"/>
    <x v="0"/>
  </r>
  <r>
    <s v="MonthlyTradeStatistics 2018_01.xlsx"/>
    <x v="27"/>
    <n v="6.3308"/>
    <s v="2018_01.xlsx"/>
    <x v="2"/>
    <x v="0"/>
  </r>
  <r>
    <s v="MonthlyTradeStatistics 2018_01.xlsx"/>
    <x v="28"/>
    <n v="887642.73369999998"/>
    <s v="2018_01.xlsx"/>
    <x v="2"/>
    <x v="0"/>
  </r>
  <r>
    <s v="MonthlyTradeStatistics 2018_01.xlsx"/>
    <x v="29"/>
    <n v="417358.20600000001"/>
    <s v="2018_01.xlsx"/>
    <x v="2"/>
    <x v="0"/>
  </r>
  <r>
    <s v="MonthlyTradeStatistics 2018_01.xlsx"/>
    <x v="30"/>
    <n v="444952.26539999997"/>
    <s v="2018_01.xlsx"/>
    <x v="2"/>
    <x v="0"/>
  </r>
  <r>
    <s v="MonthlyTradeStatistics 2018_01.xlsx"/>
    <x v="31"/>
    <n v="390.22199999999998"/>
    <s v="2018_01.xlsx"/>
    <x v="2"/>
    <x v="0"/>
  </r>
  <r>
    <s v="MonthlyTradeStatistics 2018_01.xlsx"/>
    <x v="32"/>
    <n v="33721.666700000002"/>
    <s v="2018_01.xlsx"/>
    <x v="2"/>
    <x v="0"/>
  </r>
  <r>
    <s v="MonthlyTradeStatistics 2018_01.xlsx"/>
    <x v="33"/>
    <n v="15802.5108"/>
    <s v="2018_01.xlsx"/>
    <x v="2"/>
    <x v="0"/>
  </r>
  <r>
    <s v="MonthlyTradeStatistics 2018_01.xlsx"/>
    <x v="34"/>
    <n v="0"/>
    <s v="2018_01.xlsx"/>
    <x v="2"/>
    <x v="0"/>
  </r>
  <r>
    <s v="MonthlyTradeStatistics 2018_01.xlsx"/>
    <x v="35"/>
    <n v="1388.65"/>
    <s v="2018_01.xlsx"/>
    <x v="2"/>
    <x v="0"/>
  </r>
  <r>
    <s v="MonthlyTradeStatistics 2018_01.xlsx"/>
    <x v="36"/>
    <n v="2707.5117"/>
    <s v="2018_01.xlsx"/>
    <x v="2"/>
    <x v="0"/>
  </r>
  <r>
    <s v="MonthlyTradeStatistics 2018_01.xlsx"/>
    <x v="37"/>
    <n v="230831.23449999999"/>
    <s v="2018_01.xlsx"/>
    <x v="2"/>
    <x v="0"/>
  </r>
  <r>
    <s v="MonthlyTradeStatistics 2018_01.xlsx"/>
    <x v="38"/>
    <n v="71.869699999999995"/>
    <s v="2018_01.xlsx"/>
    <x v="2"/>
    <x v="0"/>
  </r>
  <r>
    <s v="MonthlyTradeStatistics 2018_01.xlsx"/>
    <x v="39"/>
    <n v="147865.5184"/>
    <s v="2018_01.xlsx"/>
    <x v="2"/>
    <x v="0"/>
  </r>
  <r>
    <s v="MonthlyTradeStatistics 2018_01.xlsx"/>
    <x v="40"/>
    <n v="0"/>
    <s v="2018_01.xlsx"/>
    <x v="2"/>
    <x v="0"/>
  </r>
  <r>
    <s v="MonthlyTradeStatistics 2018_01.xlsx"/>
    <x v="41"/>
    <n v="2151.6882000000001"/>
    <s v="2018_01.xlsx"/>
    <x v="2"/>
    <x v="0"/>
  </r>
  <r>
    <s v="MonthlyTradeStatistics 2018_01.xlsx"/>
    <x v="42"/>
    <n v="29221.974999999999"/>
    <s v="2018_01.xlsx"/>
    <x v="2"/>
    <x v="0"/>
  </r>
  <r>
    <s v="MonthlyTradeStatistics 2018_01.xlsx"/>
    <x v="43"/>
    <n v="0"/>
    <s v="2018_01.xlsx"/>
    <x v="2"/>
    <x v="0"/>
  </r>
  <r>
    <s v="MonthlyTradeStatistics 2018_01.xlsx"/>
    <x v="44"/>
    <n v="258221.5"/>
    <s v="2018_01.xlsx"/>
    <x v="2"/>
    <x v="0"/>
  </r>
  <r>
    <s v="MonthlyTradeStatistics 2018_01.xlsx"/>
    <x v="45"/>
    <n v="19.649999999999999"/>
    <s v="2018_01.xlsx"/>
    <x v="2"/>
    <x v="0"/>
  </r>
  <r>
    <s v="MonthlyTradeStatistics 2018_01.xlsx"/>
    <x v="46"/>
    <n v="20762.495699999999"/>
    <s v="2018_01.xlsx"/>
    <x v="2"/>
    <x v="0"/>
  </r>
  <r>
    <s v="MonthlyTradeStatistics 2018_01.xlsx"/>
    <x v="47"/>
    <n v="1042.6972000000001"/>
    <s v="2018_01.xlsx"/>
    <x v="2"/>
    <x v="0"/>
  </r>
  <r>
    <s v="MonthlyTradeStatistics 2018_01.xlsx"/>
    <x v="48"/>
    <n v="352.27080000000001"/>
    <s v="2018_01.xlsx"/>
    <x v="2"/>
    <x v="0"/>
  </r>
  <r>
    <s v="MonthlyTradeStatistics 2018_01.xlsx"/>
    <x v="49"/>
    <n v="66318.301999999996"/>
    <s v="2018_01.xlsx"/>
    <x v="2"/>
    <x v="0"/>
  </r>
  <r>
    <s v="MonthlyTradeStatistics 2018_01.xlsx"/>
    <x v="50"/>
    <n v="19784.8279"/>
    <s v="2018_01.xlsx"/>
    <x v="2"/>
    <x v="0"/>
  </r>
  <r>
    <s v="MonthlyTradeStatistics 2018_01.xlsx"/>
    <x v="51"/>
    <n v="3310"/>
    <s v="2018_01.xlsx"/>
    <x v="2"/>
    <x v="0"/>
  </r>
  <r>
    <s v="MonthlyTradeStatistics 2018_01.xlsx"/>
    <x v="52"/>
    <n v="320"/>
    <s v="2018_01.xlsx"/>
    <x v="2"/>
    <x v="0"/>
  </r>
  <r>
    <s v="MonthlyTradeStatistics 2018_01.xlsx"/>
    <x v="53"/>
    <n v="104.32299999999999"/>
    <s v="2018_01.xlsx"/>
    <x v="2"/>
    <x v="0"/>
  </r>
  <r>
    <s v="MonthlyTradeStatistics 2018_01.xlsx"/>
    <x v="54"/>
    <n v="401930.01"/>
    <s v="2018_01.xlsx"/>
    <x v="2"/>
    <x v="0"/>
  </r>
  <r>
    <s v="MonthlyTradeStatistics 2018_01.xlsx"/>
    <x v="55"/>
    <n v="30.721299999999999"/>
    <s v="2018_01.xlsx"/>
    <x v="2"/>
    <x v="0"/>
  </r>
  <r>
    <s v="MonthlyTradeStatistics 2018_01.xlsx"/>
    <x v="56"/>
    <n v="3345785.4918"/>
    <s v="2018_01.xlsx"/>
    <x v="2"/>
    <x v="0"/>
  </r>
  <r>
    <s v="MonthlyTradeStatistics 2018_01.xlsx"/>
    <x v="57"/>
    <n v="2969.9922000000001"/>
    <s v="2018_01.xlsx"/>
    <x v="2"/>
    <x v="0"/>
  </r>
  <r>
    <s v="MonthlyTradeStatistics 2018_01.xlsx"/>
    <x v="58"/>
    <n v="1802.7474"/>
    <s v="2018_01.xlsx"/>
    <x v="2"/>
    <x v="0"/>
  </r>
  <r>
    <s v="MonthlyTradeStatistics 2018_01.xlsx"/>
    <x v="59"/>
    <n v="0"/>
    <s v="2018_01.xlsx"/>
    <x v="2"/>
    <x v="0"/>
  </r>
  <r>
    <s v="MonthlyTradeStatistics 2018_02.xlsx"/>
    <x v="0"/>
    <n v="9839843.8880000003"/>
    <s v="2018_02.xlsx"/>
    <x v="2"/>
    <x v="1"/>
  </r>
  <r>
    <s v="MonthlyTradeStatistics 2018_02.xlsx"/>
    <x v="1"/>
    <n v="1235411.3540000001"/>
    <s v="2018_02.xlsx"/>
    <x v="2"/>
    <x v="1"/>
  </r>
  <r>
    <s v="MonthlyTradeStatistics 2018_02.xlsx"/>
    <x v="2"/>
    <n v="2548089.1749"/>
    <s v="2018_02.xlsx"/>
    <x v="2"/>
    <x v="1"/>
  </r>
  <r>
    <s v="MonthlyTradeStatistics 2018_02.xlsx"/>
    <x v="3"/>
    <n v="2585683.8136"/>
    <s v="2018_02.xlsx"/>
    <x v="2"/>
    <x v="1"/>
  </r>
  <r>
    <s v="MonthlyTradeStatistics 2018_02.xlsx"/>
    <x v="4"/>
    <n v="3470659.5455"/>
    <s v="2018_02.xlsx"/>
    <x v="2"/>
    <x v="1"/>
  </r>
  <r>
    <s v="MonthlyTradeStatistics 2018_02.xlsx"/>
    <x v="5"/>
    <n v="300"/>
    <s v="2018_02.xlsx"/>
    <x v="2"/>
    <x v="1"/>
  </r>
  <r>
    <s v="MonthlyTradeStatistics 2018_02.xlsx"/>
    <x v="6"/>
    <n v="437.16"/>
    <s v="2018_02.xlsx"/>
    <x v="2"/>
    <x v="1"/>
  </r>
  <r>
    <s v="MonthlyTradeStatistics 2018_02.xlsx"/>
    <x v="7"/>
    <n v="2511588.3612000002"/>
    <s v="2018_02.xlsx"/>
    <x v="2"/>
    <x v="1"/>
  </r>
  <r>
    <s v="MonthlyTradeStatistics 2018_02.xlsx"/>
    <x v="8"/>
    <n v="15296.0296"/>
    <s v="2018_02.xlsx"/>
    <x v="2"/>
    <x v="1"/>
  </r>
  <r>
    <s v="MonthlyTradeStatistics 2018_02.xlsx"/>
    <x v="9"/>
    <n v="4530"/>
    <s v="2018_02.xlsx"/>
    <x v="2"/>
    <x v="1"/>
  </r>
  <r>
    <s v="MonthlyTradeStatistics 2018_02.xlsx"/>
    <x v="10"/>
    <n v="3173"/>
    <s v="2018_02.xlsx"/>
    <x v="2"/>
    <x v="1"/>
  </r>
  <r>
    <s v="MonthlyTradeStatistics 2018_02.xlsx"/>
    <x v="11"/>
    <n v="1103149.2206999999"/>
    <s v="2018_02.xlsx"/>
    <x v="2"/>
    <x v="1"/>
  </r>
  <r>
    <s v="MonthlyTradeStatistics 2018_02.xlsx"/>
    <x v="12"/>
    <n v="0"/>
    <s v="2018_02.xlsx"/>
    <x v="2"/>
    <x v="1"/>
  </r>
  <r>
    <s v="MonthlyTradeStatistics 2018_02.xlsx"/>
    <x v="13"/>
    <n v="87057.158299999996"/>
    <s v="2018_02.xlsx"/>
    <x v="2"/>
    <x v="1"/>
  </r>
  <r>
    <s v="MonthlyTradeStatistics 2018_02.xlsx"/>
    <x v="14"/>
    <n v="61289.083899999998"/>
    <s v="2018_02.xlsx"/>
    <x v="2"/>
    <x v="1"/>
  </r>
  <r>
    <s v="MonthlyTradeStatistics 2018_02.xlsx"/>
    <x v="15"/>
    <n v="3479.1356999999998"/>
    <s v="2018_02.xlsx"/>
    <x v="2"/>
    <x v="1"/>
  </r>
  <r>
    <s v="MonthlyTradeStatistics 2018_02.xlsx"/>
    <x v="16"/>
    <n v="13238"/>
    <s v="2018_02.xlsx"/>
    <x v="2"/>
    <x v="1"/>
  </r>
  <r>
    <s v="MonthlyTradeStatistics 2018_02.xlsx"/>
    <x v="17"/>
    <n v="2547.4344999999998"/>
    <s v="2018_02.xlsx"/>
    <x v="2"/>
    <x v="1"/>
  </r>
  <r>
    <s v="MonthlyTradeStatistics 2018_02.xlsx"/>
    <x v="18"/>
    <n v="24230.284800000001"/>
    <s v="2018_02.xlsx"/>
    <x v="2"/>
    <x v="1"/>
  </r>
  <r>
    <s v="MonthlyTradeStatistics 2018_02.xlsx"/>
    <x v="19"/>
    <n v="55548.662300000004"/>
    <s v="2018_02.xlsx"/>
    <x v="2"/>
    <x v="1"/>
  </r>
  <r>
    <s v="MonthlyTradeStatistics 2018_02.xlsx"/>
    <x v="20"/>
    <n v="2.34"/>
    <s v="2018_02.xlsx"/>
    <x v="2"/>
    <x v="1"/>
  </r>
  <r>
    <s v="MonthlyTradeStatistics 2018_02.xlsx"/>
    <x v="21"/>
    <n v="189757.1666"/>
    <s v="2018_02.xlsx"/>
    <x v="2"/>
    <x v="1"/>
  </r>
  <r>
    <s v="MonthlyTradeStatistics 2018_02.xlsx"/>
    <x v="22"/>
    <n v="0.85"/>
    <s v="2018_02.xlsx"/>
    <x v="2"/>
    <x v="1"/>
  </r>
  <r>
    <s v="MonthlyTradeStatistics 2018_02.xlsx"/>
    <x v="23"/>
    <n v="872.94569999999999"/>
    <s v="2018_02.xlsx"/>
    <x v="2"/>
    <x v="1"/>
  </r>
  <r>
    <s v="MonthlyTradeStatistics 2018_02.xlsx"/>
    <x v="24"/>
    <n v="286231.5577"/>
    <s v="2018_02.xlsx"/>
    <x v="2"/>
    <x v="1"/>
  </r>
  <r>
    <s v="MonthlyTradeStatistics 2018_02.xlsx"/>
    <x v="25"/>
    <n v="13704.022199999999"/>
    <s v="2018_02.xlsx"/>
    <x v="2"/>
    <x v="1"/>
  </r>
  <r>
    <s v="MonthlyTradeStatistics 2018_02.xlsx"/>
    <x v="26"/>
    <n v="54.686700000000002"/>
    <s v="2018_02.xlsx"/>
    <x v="2"/>
    <x v="1"/>
  </r>
  <r>
    <s v="MonthlyTradeStatistics 2018_02.xlsx"/>
    <x v="27"/>
    <n v="49.380800000000001"/>
    <s v="2018_02.xlsx"/>
    <x v="2"/>
    <x v="1"/>
  </r>
  <r>
    <s v="MonthlyTradeStatistics 2018_02.xlsx"/>
    <x v="28"/>
    <n v="963774.06770000001"/>
    <s v="2018_02.xlsx"/>
    <x v="2"/>
    <x v="1"/>
  </r>
  <r>
    <s v="MonthlyTradeStatistics 2018_02.xlsx"/>
    <x v="29"/>
    <n v="615881.49360000005"/>
    <s v="2018_02.xlsx"/>
    <x v="2"/>
    <x v="1"/>
  </r>
  <r>
    <s v="MonthlyTradeStatistics 2018_02.xlsx"/>
    <x v="30"/>
    <n v="382619.32339999999"/>
    <s v="2018_02.xlsx"/>
    <x v="2"/>
    <x v="1"/>
  </r>
  <r>
    <s v="MonthlyTradeStatistics 2018_02.xlsx"/>
    <x v="31"/>
    <n v="424.10950000000003"/>
    <s v="2018_02.xlsx"/>
    <x v="2"/>
    <x v="1"/>
  </r>
  <r>
    <s v="MonthlyTradeStatistics 2018_02.xlsx"/>
    <x v="32"/>
    <n v="43154.533300000003"/>
    <s v="2018_02.xlsx"/>
    <x v="2"/>
    <x v="1"/>
  </r>
  <r>
    <s v="MonthlyTradeStatistics 2018_02.xlsx"/>
    <x v="33"/>
    <n v="23661.341100000001"/>
    <s v="2018_02.xlsx"/>
    <x v="2"/>
    <x v="1"/>
  </r>
  <r>
    <s v="MonthlyTradeStatistics 2018_02.xlsx"/>
    <x v="34"/>
    <n v="7295"/>
    <s v="2018_02.xlsx"/>
    <x v="2"/>
    <x v="1"/>
  </r>
  <r>
    <s v="MonthlyTradeStatistics 2018_02.xlsx"/>
    <x v="35"/>
    <n v="641.99"/>
    <s v="2018_02.xlsx"/>
    <x v="2"/>
    <x v="1"/>
  </r>
  <r>
    <s v="MonthlyTradeStatistics 2018_02.xlsx"/>
    <x v="36"/>
    <n v="967.49170000000004"/>
    <s v="2018_02.xlsx"/>
    <x v="2"/>
    <x v="1"/>
  </r>
  <r>
    <s v="MonthlyTradeStatistics 2018_02.xlsx"/>
    <x v="37"/>
    <n v="242196.20619999999"/>
    <s v="2018_02.xlsx"/>
    <x v="2"/>
    <x v="1"/>
  </r>
  <r>
    <s v="MonthlyTradeStatistics 2018_02.xlsx"/>
    <x v="38"/>
    <n v="331.91969999999998"/>
    <s v="2018_02.xlsx"/>
    <x v="2"/>
    <x v="1"/>
  </r>
  <r>
    <s v="MonthlyTradeStatistics 2018_02.xlsx"/>
    <x v="39"/>
    <n v="297460.09960000002"/>
    <s v="2018_02.xlsx"/>
    <x v="2"/>
    <x v="1"/>
  </r>
  <r>
    <s v="MonthlyTradeStatistics 2018_02.xlsx"/>
    <x v="41"/>
    <n v="1484.4917"/>
    <s v="2018_02.xlsx"/>
    <x v="2"/>
    <x v="1"/>
  </r>
  <r>
    <s v="MonthlyTradeStatistics 2018_02.xlsx"/>
    <x v="42"/>
    <n v="22549"/>
    <s v="2018_02.xlsx"/>
    <x v="2"/>
    <x v="1"/>
  </r>
  <r>
    <s v="MonthlyTradeStatistics 2018_02.xlsx"/>
    <x v="43"/>
    <n v="0"/>
    <s v="2018_02.xlsx"/>
    <x v="2"/>
    <x v="1"/>
  </r>
  <r>
    <s v="MonthlyTradeStatistics 2018_02.xlsx"/>
    <x v="44"/>
    <n v="157306.99"/>
    <s v="2018_02.xlsx"/>
    <x v="2"/>
    <x v="1"/>
  </r>
  <r>
    <s v="MonthlyTradeStatistics 2018_02.xlsx"/>
    <x v="45"/>
    <n v="59.347999999999999"/>
    <s v="2018_02.xlsx"/>
    <x v="2"/>
    <x v="1"/>
  </r>
  <r>
    <s v="MonthlyTradeStatistics 2018_02.xlsx"/>
    <x v="46"/>
    <n v="22037.94"/>
    <s v="2018_02.xlsx"/>
    <x v="2"/>
    <x v="1"/>
  </r>
  <r>
    <s v="MonthlyTradeStatistics 2018_02.xlsx"/>
    <x v="47"/>
    <n v="1236.3972000000001"/>
    <s v="2018_02.xlsx"/>
    <x v="2"/>
    <x v="1"/>
  </r>
  <r>
    <s v="MonthlyTradeStatistics 2018_02.xlsx"/>
    <x v="48"/>
    <n v="30.173500000000001"/>
    <s v="2018_02.xlsx"/>
    <x v="2"/>
    <x v="1"/>
  </r>
  <r>
    <s v="MonthlyTradeStatistics 2018_02.xlsx"/>
    <x v="49"/>
    <n v="101937.55"/>
    <s v="2018_02.xlsx"/>
    <x v="2"/>
    <x v="1"/>
  </r>
  <r>
    <s v="MonthlyTradeStatistics 2018_02.xlsx"/>
    <x v="50"/>
    <n v="20046.353599999999"/>
    <s v="2018_02.xlsx"/>
    <x v="2"/>
    <x v="1"/>
  </r>
  <r>
    <s v="MonthlyTradeStatistics 2018_02.xlsx"/>
    <x v="51"/>
    <n v="4965.5"/>
    <s v="2018_02.xlsx"/>
    <x v="2"/>
    <x v="1"/>
  </r>
  <r>
    <s v="MonthlyTradeStatistics 2018_02.xlsx"/>
    <x v="52"/>
    <n v="6422.0333000000001"/>
    <s v="2018_02.xlsx"/>
    <x v="2"/>
    <x v="1"/>
  </r>
  <r>
    <s v="MonthlyTradeStatistics 2018_02.xlsx"/>
    <x v="53"/>
    <n v="126.9064"/>
    <s v="2018_02.xlsx"/>
    <x v="2"/>
    <x v="1"/>
  </r>
  <r>
    <s v="MonthlyTradeStatistics 2018_02.xlsx"/>
    <x v="54"/>
    <n v="388644"/>
    <s v="2018_02.xlsx"/>
    <x v="2"/>
    <x v="1"/>
  </r>
  <r>
    <s v="MonthlyTradeStatistics 2018_02.xlsx"/>
    <x v="55"/>
    <n v="2120.2532999999999"/>
    <s v="2018_02.xlsx"/>
    <x v="2"/>
    <x v="1"/>
  </r>
  <r>
    <s v="MonthlyTradeStatistics 2018_02.xlsx"/>
    <x v="56"/>
    <n v="2151402.7291000001"/>
    <s v="2018_02.xlsx"/>
    <x v="2"/>
    <x v="1"/>
  </r>
  <r>
    <s v="MonthlyTradeStatistics 2018_02.xlsx"/>
    <x v="57"/>
    <n v="3222.3879999999999"/>
    <s v="2018_02.xlsx"/>
    <x v="2"/>
    <x v="1"/>
  </r>
  <r>
    <s v="MonthlyTradeStatistics 2018_02.xlsx"/>
    <x v="58"/>
    <n v="1307.7773999999999"/>
    <s v="2018_02.xlsx"/>
    <x v="2"/>
    <x v="1"/>
  </r>
  <r>
    <s v="MonthlyTradeStatistics 2018_02.xlsx"/>
    <x v="59"/>
    <n v="0"/>
    <s v="2018_02.xlsx"/>
    <x v="2"/>
    <x v="1"/>
  </r>
  <r>
    <s v="MonthlyTradeStatistics 2018_03.xlsx"/>
    <x v="0"/>
    <n v="11554927.043199999"/>
    <s v="2018_03.xlsx"/>
    <x v="2"/>
    <x v="2"/>
  </r>
  <r>
    <s v="MonthlyTradeStatistics 2018_03.xlsx"/>
    <x v="1"/>
    <n v="1161372.1587"/>
    <s v="2018_03.xlsx"/>
    <x v="2"/>
    <x v="2"/>
  </r>
  <r>
    <s v="MonthlyTradeStatistics 2018_03.xlsx"/>
    <x v="2"/>
    <n v="2751947.3725000001"/>
    <s v="2018_03.xlsx"/>
    <x v="2"/>
    <x v="2"/>
  </r>
  <r>
    <s v="MonthlyTradeStatistics 2018_03.xlsx"/>
    <x v="3"/>
    <n v="2752927.2368000001"/>
    <s v="2018_03.xlsx"/>
    <x v="2"/>
    <x v="2"/>
  </r>
  <r>
    <s v="MonthlyTradeStatistics 2018_03.xlsx"/>
    <x v="4"/>
    <n v="4888680.2752"/>
    <s v="2018_03.xlsx"/>
    <x v="2"/>
    <x v="2"/>
  </r>
  <r>
    <s v="MonthlyTradeStatistics 2018_03.xlsx"/>
    <x v="5"/>
    <n v="136"/>
    <s v="2018_03.xlsx"/>
    <x v="2"/>
    <x v="2"/>
  </r>
  <r>
    <s v="MonthlyTradeStatistics 2018_03.xlsx"/>
    <x v="6"/>
    <n v="1246.44"/>
    <s v="2018_03.xlsx"/>
    <x v="2"/>
    <x v="2"/>
  </r>
  <r>
    <s v="MonthlyTradeStatistics 2018_03.xlsx"/>
    <x v="7"/>
    <n v="2698364.4103999999"/>
    <s v="2018_03.xlsx"/>
    <x v="2"/>
    <x v="2"/>
  </r>
  <r>
    <s v="MonthlyTradeStatistics 2018_03.xlsx"/>
    <x v="8"/>
    <n v="26178.5"/>
    <s v="2018_03.xlsx"/>
    <x v="2"/>
    <x v="2"/>
  </r>
  <r>
    <s v="MonthlyTradeStatistics 2018_03.xlsx"/>
    <x v="9"/>
    <n v="16417"/>
    <s v="2018_03.xlsx"/>
    <x v="2"/>
    <x v="2"/>
  </r>
  <r>
    <s v="MonthlyTradeStatistics 2018_03.xlsx"/>
    <x v="10"/>
    <n v="8813"/>
    <s v="2018_03.xlsx"/>
    <x v="2"/>
    <x v="2"/>
  </r>
  <r>
    <s v="MonthlyTradeStatistics 2018_03.xlsx"/>
    <x v="11"/>
    <n v="1039863.112"/>
    <s v="2018_03.xlsx"/>
    <x v="2"/>
    <x v="2"/>
  </r>
  <r>
    <s v="MonthlyTradeStatistics 2018_03.xlsx"/>
    <x v="12"/>
    <n v="0"/>
    <s v="2018_03.xlsx"/>
    <x v="2"/>
    <x v="2"/>
  </r>
  <r>
    <s v="MonthlyTradeStatistics 2018_03.xlsx"/>
    <x v="13"/>
    <n v="137624.21950000001"/>
    <s v="2018_03.xlsx"/>
    <x v="2"/>
    <x v="2"/>
  </r>
  <r>
    <s v="MonthlyTradeStatistics 2018_03.xlsx"/>
    <x v="14"/>
    <n v="185990.16699999999"/>
    <s v="2018_03.xlsx"/>
    <x v="2"/>
    <x v="2"/>
  </r>
  <r>
    <s v="MonthlyTradeStatistics 2018_03.xlsx"/>
    <x v="15"/>
    <n v="2891.6084000000001"/>
    <s v="2018_03.xlsx"/>
    <x v="2"/>
    <x v="2"/>
  </r>
  <r>
    <s v="MonthlyTradeStatistics 2018_03.xlsx"/>
    <x v="16"/>
    <n v="14465"/>
    <s v="2018_03.xlsx"/>
    <x v="2"/>
    <x v="2"/>
  </r>
  <r>
    <s v="MonthlyTradeStatistics 2018_03.xlsx"/>
    <x v="17"/>
    <n v="1275.7563"/>
    <s v="2018_03.xlsx"/>
    <x v="2"/>
    <x v="2"/>
  </r>
  <r>
    <s v="MonthlyTradeStatistics 2018_03.xlsx"/>
    <x v="18"/>
    <n v="47362.21"/>
    <s v="2018_03.xlsx"/>
    <x v="2"/>
    <x v="2"/>
  </r>
  <r>
    <s v="MonthlyTradeStatistics 2018_03.xlsx"/>
    <x v="19"/>
    <n v="54343.073299999996"/>
    <s v="2018_03.xlsx"/>
    <x v="2"/>
    <x v="2"/>
  </r>
  <r>
    <s v="MonthlyTradeStatistics 2018_03.xlsx"/>
    <x v="20"/>
    <n v="2.34"/>
    <s v="2018_03.xlsx"/>
    <x v="2"/>
    <x v="2"/>
  </r>
  <r>
    <s v="MonthlyTradeStatistics 2018_03.xlsx"/>
    <x v="21"/>
    <n v="257396.8"/>
    <s v="2018_03.xlsx"/>
    <x v="2"/>
    <x v="2"/>
  </r>
  <r>
    <s v="MonthlyTradeStatistics 2018_03.xlsx"/>
    <x v="22"/>
    <n v="0.85"/>
    <s v="2018_03.xlsx"/>
    <x v="2"/>
    <x v="2"/>
  </r>
  <r>
    <s v="MonthlyTradeStatistics 2018_03.xlsx"/>
    <x v="23"/>
    <n v="1097.174"/>
    <s v="2018_03.xlsx"/>
    <x v="2"/>
    <x v="2"/>
  </r>
  <r>
    <s v="MonthlyTradeStatistics 2018_03.xlsx"/>
    <x v="24"/>
    <n v="399826.9768"/>
    <s v="2018_03.xlsx"/>
    <x v="2"/>
    <x v="2"/>
  </r>
  <r>
    <s v="MonthlyTradeStatistics 2018_03.xlsx"/>
    <x v="25"/>
    <n v="12594.022199999999"/>
    <s v="2018_03.xlsx"/>
    <x v="2"/>
    <x v="2"/>
  </r>
  <r>
    <s v="MonthlyTradeStatistics 2018_03.xlsx"/>
    <x v="26"/>
    <n v="45.11"/>
    <s v="2018_03.xlsx"/>
    <x v="2"/>
    <x v="2"/>
  </r>
  <r>
    <s v="MonthlyTradeStatistics 2018_03.xlsx"/>
    <x v="27"/>
    <n v="6.3308"/>
    <s v="2018_03.xlsx"/>
    <x v="2"/>
    <x v="2"/>
  </r>
  <r>
    <s v="MonthlyTradeStatistics 2018_03.xlsx"/>
    <x v="28"/>
    <n v="856772.80830000003"/>
    <s v="2018_03.xlsx"/>
    <x v="2"/>
    <x v="2"/>
  </r>
  <r>
    <s v="MonthlyTradeStatistics 2018_03.xlsx"/>
    <x v="29"/>
    <n v="748703.12239999999"/>
    <s v="2018_03.xlsx"/>
    <x v="2"/>
    <x v="2"/>
  </r>
  <r>
    <s v="MonthlyTradeStatistics 2018_03.xlsx"/>
    <x v="30"/>
    <n v="346312.39199999999"/>
    <s v="2018_03.xlsx"/>
    <x v="2"/>
    <x v="2"/>
  </r>
  <r>
    <s v="MonthlyTradeStatistics 2018_03.xlsx"/>
    <x v="31"/>
    <n v="1035.8929000000001"/>
    <s v="2018_03.xlsx"/>
    <x v="2"/>
    <x v="2"/>
  </r>
  <r>
    <s v="MonthlyTradeStatistics 2018_03.xlsx"/>
    <x v="32"/>
    <n v="65138.983399999997"/>
    <s v="2018_03.xlsx"/>
    <x v="2"/>
    <x v="2"/>
  </r>
  <r>
    <s v="MonthlyTradeStatistics 2018_03.xlsx"/>
    <x v="33"/>
    <n v="27353.331900000001"/>
    <s v="2018_03.xlsx"/>
    <x v="2"/>
    <x v="2"/>
  </r>
  <r>
    <s v="MonthlyTradeStatistics 2018_03.xlsx"/>
    <x v="34"/>
    <n v="0"/>
    <s v="2018_03.xlsx"/>
    <x v="2"/>
    <x v="2"/>
  </r>
  <r>
    <s v="MonthlyTradeStatistics 2018_03.xlsx"/>
    <x v="35"/>
    <n v="70.319999999999993"/>
    <s v="2018_03.xlsx"/>
    <x v="2"/>
    <x v="2"/>
  </r>
  <r>
    <s v="MonthlyTradeStatistics 2018_03.xlsx"/>
    <x v="36"/>
    <n v="2055.8217"/>
    <s v="2018_03.xlsx"/>
    <x v="2"/>
    <x v="2"/>
  </r>
  <r>
    <s v="MonthlyTradeStatistics 2018_03.xlsx"/>
    <x v="37"/>
    <n v="300622.5784"/>
    <s v="2018_03.xlsx"/>
    <x v="2"/>
    <x v="2"/>
  </r>
  <r>
    <s v="MonthlyTradeStatistics 2018_03.xlsx"/>
    <x v="38"/>
    <n v="35.249699999999997"/>
    <s v="2018_03.xlsx"/>
    <x v="2"/>
    <x v="2"/>
  </r>
  <r>
    <s v="MonthlyTradeStatistics 2018_03.xlsx"/>
    <x v="39"/>
    <n v="295890.30609999999"/>
    <s v="2018_03.xlsx"/>
    <x v="2"/>
    <x v="2"/>
  </r>
  <r>
    <s v="MonthlyTradeStatistics 2018_03.xlsx"/>
    <x v="41"/>
    <n v="2236.9634000000001"/>
    <s v="2018_03.xlsx"/>
    <x v="2"/>
    <x v="2"/>
  </r>
  <r>
    <s v="MonthlyTradeStatistics 2018_03.xlsx"/>
    <x v="42"/>
    <n v="32028.99"/>
    <s v="2018_03.xlsx"/>
    <x v="2"/>
    <x v="2"/>
  </r>
  <r>
    <s v="MonthlyTradeStatistics 2018_03.xlsx"/>
    <x v="43"/>
    <n v="0"/>
    <s v="2018_03.xlsx"/>
    <x v="2"/>
    <x v="2"/>
  </r>
  <r>
    <s v="MonthlyTradeStatistics 2018_03.xlsx"/>
    <x v="44"/>
    <n v="75006.23"/>
    <s v="2018_03.xlsx"/>
    <x v="2"/>
    <x v="2"/>
  </r>
  <r>
    <s v="MonthlyTradeStatistics 2018_03.xlsx"/>
    <x v="45"/>
    <n v="150.39500000000001"/>
    <s v="2018_03.xlsx"/>
    <x v="2"/>
    <x v="2"/>
  </r>
  <r>
    <s v="MonthlyTradeStatistics 2018_03.xlsx"/>
    <x v="46"/>
    <n v="29071.517599999999"/>
    <s v="2018_03.xlsx"/>
    <x v="2"/>
    <x v="2"/>
  </r>
  <r>
    <s v="MonthlyTradeStatistics 2018_03.xlsx"/>
    <x v="47"/>
    <n v="1276.4772"/>
    <s v="2018_03.xlsx"/>
    <x v="2"/>
    <x v="2"/>
  </r>
  <r>
    <s v="MonthlyTradeStatistics 2018_03.xlsx"/>
    <x v="48"/>
    <n v="417.27080000000001"/>
    <s v="2018_03.xlsx"/>
    <x v="2"/>
    <x v="2"/>
  </r>
  <r>
    <s v="MonthlyTradeStatistics 2018_03.xlsx"/>
    <x v="49"/>
    <n v="70797.55"/>
    <s v="2018_03.xlsx"/>
    <x v="2"/>
    <x v="2"/>
  </r>
  <r>
    <s v="MonthlyTradeStatistics 2018_03.xlsx"/>
    <x v="50"/>
    <n v="26601.057799999999"/>
    <s v="2018_03.xlsx"/>
    <x v="2"/>
    <x v="2"/>
  </r>
  <r>
    <s v="MonthlyTradeStatistics 2018_03.xlsx"/>
    <x v="51"/>
    <n v="321.66669999999999"/>
    <s v="2018_03.xlsx"/>
    <x v="2"/>
    <x v="2"/>
  </r>
  <r>
    <s v="MonthlyTradeStatistics 2018_03.xlsx"/>
    <x v="52"/>
    <n v="28076.9833"/>
    <s v="2018_03.xlsx"/>
    <x v="2"/>
    <x v="2"/>
  </r>
  <r>
    <s v="MonthlyTradeStatistics 2018_03.xlsx"/>
    <x v="53"/>
    <n v="111.6605"/>
    <s v="2018_03.xlsx"/>
    <x v="2"/>
    <x v="2"/>
  </r>
  <r>
    <s v="MonthlyTradeStatistics 2018_03.xlsx"/>
    <x v="54"/>
    <n v="388238"/>
    <s v="2018_03.xlsx"/>
    <x v="2"/>
    <x v="2"/>
  </r>
  <r>
    <s v="MonthlyTradeStatistics 2018_03.xlsx"/>
    <x v="55"/>
    <n v="20560.455600000001"/>
    <s v="2018_03.xlsx"/>
    <x v="2"/>
    <x v="2"/>
  </r>
  <r>
    <s v="MonthlyTradeStatistics 2018_03.xlsx"/>
    <x v="56"/>
    <n v="3323636.4048000001"/>
    <s v="2018_03.xlsx"/>
    <x v="2"/>
    <x v="2"/>
  </r>
  <r>
    <s v="MonthlyTradeStatistics 2018_03.xlsx"/>
    <x v="57"/>
    <n v="2969.9922000000001"/>
    <s v="2018_03.xlsx"/>
    <x v="2"/>
    <x v="2"/>
  </r>
  <r>
    <s v="MonthlyTradeStatistics 2018_03.xlsx"/>
    <x v="58"/>
    <n v="2477.9774000000002"/>
    <s v="2018_03.xlsx"/>
    <x v="2"/>
    <x v="2"/>
  </r>
  <r>
    <s v="MonthlyTradeStatistics 2018_03.xlsx"/>
    <x v="59"/>
    <n v="1016.5434"/>
    <s v="2018_03.xlsx"/>
    <x v="2"/>
    <x v="2"/>
  </r>
  <r>
    <s v="MonthlyTradeStatistics 2018_04.xlsx"/>
    <x v="0"/>
    <n v="10387944.9102"/>
    <s v="2018_04.xlsx"/>
    <x v="2"/>
    <x v="3"/>
  </r>
  <r>
    <s v="MonthlyTradeStatistics 2018_04.xlsx"/>
    <x v="1"/>
    <n v="1083154.9493"/>
    <s v="2018_04.xlsx"/>
    <x v="2"/>
    <x v="3"/>
  </r>
  <r>
    <s v="MonthlyTradeStatistics 2018_04.xlsx"/>
    <x v="2"/>
    <n v="2660974.7716000001"/>
    <s v="2018_04.xlsx"/>
    <x v="2"/>
    <x v="3"/>
  </r>
  <r>
    <s v="MonthlyTradeStatistics 2018_04.xlsx"/>
    <x v="3"/>
    <n v="2581238.4350000001"/>
    <s v="2018_04.xlsx"/>
    <x v="2"/>
    <x v="3"/>
  </r>
  <r>
    <s v="MonthlyTradeStatistics 2018_04.xlsx"/>
    <x v="4"/>
    <n v="4062576.7543000001"/>
    <s v="2018_04.xlsx"/>
    <x v="2"/>
    <x v="3"/>
  </r>
  <r>
    <s v="MonthlyTradeStatistics 2018_04.xlsx"/>
    <x v="5"/>
    <n v="2100"/>
    <s v="2018_04.xlsx"/>
    <x v="2"/>
    <x v="3"/>
  </r>
  <r>
    <s v="MonthlyTradeStatistics 2018_04.xlsx"/>
    <x v="6"/>
    <n v="119.67"/>
    <s v="2018_04.xlsx"/>
    <x v="2"/>
    <x v="3"/>
  </r>
  <r>
    <s v="MonthlyTradeStatistics 2018_04.xlsx"/>
    <x v="7"/>
    <n v="2388754.861"/>
    <s v="2018_04.xlsx"/>
    <x v="2"/>
    <x v="3"/>
  </r>
  <r>
    <s v="MonthlyTradeStatistics 2018_04.xlsx"/>
    <x v="8"/>
    <n v="10579.181"/>
    <s v="2018_04.xlsx"/>
    <x v="2"/>
    <x v="3"/>
  </r>
  <r>
    <s v="MonthlyTradeStatistics 2018_04.xlsx"/>
    <x v="9"/>
    <n v="35918.333400000003"/>
    <s v="2018_04.xlsx"/>
    <x v="2"/>
    <x v="3"/>
  </r>
  <r>
    <s v="MonthlyTradeStatistics 2018_04.xlsx"/>
    <x v="10"/>
    <n v="13004"/>
    <s v="2018_04.xlsx"/>
    <x v="2"/>
    <x v="3"/>
  </r>
  <r>
    <s v="MonthlyTradeStatistics 2018_04.xlsx"/>
    <x v="11"/>
    <n v="929864.75260000001"/>
    <s v="2018_04.xlsx"/>
    <x v="2"/>
    <x v="3"/>
  </r>
  <r>
    <s v="MonthlyTradeStatistics 2018_04.xlsx"/>
    <x v="12"/>
    <n v="0"/>
    <s v="2018_04.xlsx"/>
    <x v="2"/>
    <x v="3"/>
  </r>
  <r>
    <s v="MonthlyTradeStatistics 2018_04.xlsx"/>
    <x v="13"/>
    <n v="145974.54250000001"/>
    <s v="2018_04.xlsx"/>
    <x v="2"/>
    <x v="3"/>
  </r>
  <r>
    <s v="MonthlyTradeStatistics 2018_04.xlsx"/>
    <x v="14"/>
    <n v="119777.51609999999"/>
    <s v="2018_04.xlsx"/>
    <x v="2"/>
    <x v="3"/>
  </r>
  <r>
    <s v="MonthlyTradeStatistics 2018_04.xlsx"/>
    <x v="15"/>
    <n v="3156.8784999999998"/>
    <s v="2018_04.xlsx"/>
    <x v="2"/>
    <x v="3"/>
  </r>
  <r>
    <s v="MonthlyTradeStatistics 2018_04.xlsx"/>
    <x v="16"/>
    <n v="24701.6666"/>
    <s v="2018_04.xlsx"/>
    <x v="2"/>
    <x v="3"/>
  </r>
  <r>
    <s v="MonthlyTradeStatistics 2018_04.xlsx"/>
    <x v="17"/>
    <n v="1543.9775999999999"/>
    <s v="2018_04.xlsx"/>
    <x v="2"/>
    <x v="3"/>
  </r>
  <r>
    <s v="MonthlyTradeStatistics 2018_04.xlsx"/>
    <x v="18"/>
    <n v="41454.33"/>
    <s v="2018_04.xlsx"/>
    <x v="2"/>
    <x v="3"/>
  </r>
  <r>
    <s v="MonthlyTradeStatistics 2018_04.xlsx"/>
    <x v="19"/>
    <n v="70796.413799999995"/>
    <s v="2018_04.xlsx"/>
    <x v="2"/>
    <x v="3"/>
  </r>
  <r>
    <s v="MonthlyTradeStatistics 2018_04.xlsx"/>
    <x v="20"/>
    <n v="2.34"/>
    <s v="2018_04.xlsx"/>
    <x v="2"/>
    <x v="3"/>
  </r>
  <r>
    <s v="MonthlyTradeStatistics 2018_04.xlsx"/>
    <x v="21"/>
    <n v="306393.18329999998"/>
    <s v="2018_04.xlsx"/>
    <x v="2"/>
    <x v="3"/>
  </r>
  <r>
    <s v="MonthlyTradeStatistics 2018_04.xlsx"/>
    <x v="22"/>
    <n v="0.85"/>
    <s v="2018_04.xlsx"/>
    <x v="2"/>
    <x v="3"/>
  </r>
  <r>
    <s v="MonthlyTradeStatistics 2018_04.xlsx"/>
    <x v="23"/>
    <n v="1518.4693"/>
    <s v="2018_04.xlsx"/>
    <x v="2"/>
    <x v="3"/>
  </r>
  <r>
    <s v="MonthlyTradeStatistics 2018_04.xlsx"/>
    <x v="24"/>
    <n v="393761.43209999998"/>
    <s v="2018_04.xlsx"/>
    <x v="2"/>
    <x v="3"/>
  </r>
  <r>
    <s v="MonthlyTradeStatistics 2018_04.xlsx"/>
    <x v="25"/>
    <n v="13172.180200000001"/>
    <s v="2018_04.xlsx"/>
    <x v="2"/>
    <x v="3"/>
  </r>
  <r>
    <s v="MonthlyTradeStatistics 2018_04.xlsx"/>
    <x v="26"/>
    <n v="125.66670000000001"/>
    <s v="2018_04.xlsx"/>
    <x v="2"/>
    <x v="3"/>
  </r>
  <r>
    <s v="MonthlyTradeStatistics 2018_04.xlsx"/>
    <x v="27"/>
    <n v="15.6723"/>
    <s v="2018_04.xlsx"/>
    <x v="2"/>
    <x v="3"/>
  </r>
  <r>
    <s v="MonthlyTradeStatistics 2018_04.xlsx"/>
    <x v="28"/>
    <n v="802848.44200000004"/>
    <s v="2018_04.xlsx"/>
    <x v="2"/>
    <x v="3"/>
  </r>
  <r>
    <s v="MonthlyTradeStatistics 2018_04.xlsx"/>
    <x v="29"/>
    <n v="669740.25870000001"/>
    <s v="2018_04.xlsx"/>
    <x v="2"/>
    <x v="3"/>
  </r>
  <r>
    <s v="MonthlyTradeStatistics 2018_04.xlsx"/>
    <x v="30"/>
    <n v="454328.1312"/>
    <s v="2018_04.xlsx"/>
    <x v="2"/>
    <x v="3"/>
  </r>
  <r>
    <s v="MonthlyTradeStatistics 2018_04.xlsx"/>
    <x v="31"/>
    <n v="427.42720000000003"/>
    <s v="2018_04.xlsx"/>
    <x v="2"/>
    <x v="3"/>
  </r>
  <r>
    <s v="MonthlyTradeStatistics 2018_04.xlsx"/>
    <x v="32"/>
    <n v="79639.156700000007"/>
    <s v="2018_04.xlsx"/>
    <x v="2"/>
    <x v="3"/>
  </r>
  <r>
    <s v="MonthlyTradeStatistics 2018_04.xlsx"/>
    <x v="33"/>
    <n v="41990.174099999997"/>
    <s v="2018_04.xlsx"/>
    <x v="2"/>
    <x v="3"/>
  </r>
  <r>
    <s v="MonthlyTradeStatistics 2018_04.xlsx"/>
    <x v="34"/>
    <n v="0"/>
    <s v="2018_04.xlsx"/>
    <x v="2"/>
    <x v="3"/>
  </r>
  <r>
    <s v="MonthlyTradeStatistics 2018_04.xlsx"/>
    <x v="35"/>
    <n v="1046.98"/>
    <s v="2018_04.xlsx"/>
    <x v="2"/>
    <x v="3"/>
  </r>
  <r>
    <s v="MonthlyTradeStatistics 2018_04.xlsx"/>
    <x v="36"/>
    <n v="399.1617"/>
    <s v="2018_04.xlsx"/>
    <x v="2"/>
    <x v="3"/>
  </r>
  <r>
    <s v="MonthlyTradeStatistics 2018_04.xlsx"/>
    <x v="37"/>
    <n v="334148.98959999997"/>
    <s v="2018_04.xlsx"/>
    <x v="2"/>
    <x v="3"/>
  </r>
  <r>
    <s v="MonthlyTradeStatistics 2018_04.xlsx"/>
    <x v="38"/>
    <n v="65.449700000000007"/>
    <s v="2018_04.xlsx"/>
    <x v="2"/>
    <x v="3"/>
  </r>
  <r>
    <s v="MonthlyTradeStatistics 2018_04.xlsx"/>
    <x v="39"/>
    <n v="318984.97440000001"/>
    <s v="2018_04.xlsx"/>
    <x v="2"/>
    <x v="3"/>
  </r>
  <r>
    <s v="MonthlyTradeStatistics 2018_04.xlsx"/>
    <x v="40"/>
    <n v="0.78"/>
    <s v="2018_04.xlsx"/>
    <x v="2"/>
    <x v="3"/>
  </r>
  <r>
    <s v="MonthlyTradeStatistics 2018_04.xlsx"/>
    <x v="41"/>
    <n v="5670.9794000000002"/>
    <s v="2018_04.xlsx"/>
    <x v="2"/>
    <x v="3"/>
  </r>
  <r>
    <s v="MonthlyTradeStatistics 2018_04.xlsx"/>
    <x v="42"/>
    <n v="41225"/>
    <s v="2018_04.xlsx"/>
    <x v="2"/>
    <x v="3"/>
  </r>
  <r>
    <s v="MonthlyTradeStatistics 2018_04.xlsx"/>
    <x v="43"/>
    <n v="0"/>
    <s v="2018_04.xlsx"/>
    <x v="2"/>
    <x v="3"/>
  </r>
  <r>
    <s v="MonthlyTradeStatistics 2018_04.xlsx"/>
    <x v="44"/>
    <n v="52817.14"/>
    <s v="2018_04.xlsx"/>
    <x v="2"/>
    <x v="3"/>
  </r>
  <r>
    <s v="MonthlyTradeStatistics 2018_04.xlsx"/>
    <x v="45"/>
    <n v="520.1277"/>
    <s v="2018_04.xlsx"/>
    <x v="2"/>
    <x v="3"/>
  </r>
  <r>
    <s v="MonthlyTradeStatistics 2018_04.xlsx"/>
    <x v="46"/>
    <n v="18993.254799999999"/>
    <s v="2018_04.xlsx"/>
    <x v="2"/>
    <x v="3"/>
  </r>
  <r>
    <s v="MonthlyTradeStatistics 2018_04.xlsx"/>
    <x v="47"/>
    <n v="3180.5672"/>
    <s v="2018_04.xlsx"/>
    <x v="2"/>
    <x v="3"/>
  </r>
  <r>
    <s v="MonthlyTradeStatistics 2018_04.xlsx"/>
    <x v="48"/>
    <n v="32.3005"/>
    <s v="2018_04.xlsx"/>
    <x v="2"/>
    <x v="3"/>
  </r>
  <r>
    <s v="MonthlyTradeStatistics 2018_04.xlsx"/>
    <x v="49"/>
    <n v="82874.42"/>
    <s v="2018_04.xlsx"/>
    <x v="2"/>
    <x v="3"/>
  </r>
  <r>
    <s v="MonthlyTradeStatistics 2018_04.xlsx"/>
    <x v="50"/>
    <n v="24996.3639"/>
    <s v="2018_04.xlsx"/>
    <x v="2"/>
    <x v="3"/>
  </r>
  <r>
    <s v="MonthlyTradeStatistics 2018_04.xlsx"/>
    <x v="51"/>
    <n v="4560"/>
    <s v="2018_04.xlsx"/>
    <x v="2"/>
    <x v="3"/>
  </r>
  <r>
    <s v="MonthlyTradeStatistics 2018_04.xlsx"/>
    <x v="52"/>
    <n v="8617.5499999999993"/>
    <s v="2018_04.xlsx"/>
    <x v="2"/>
    <x v="3"/>
  </r>
  <r>
    <s v="MonthlyTradeStatistics 2018_04.xlsx"/>
    <x v="53"/>
    <n v="138.89250000000001"/>
    <s v="2018_04.xlsx"/>
    <x v="2"/>
    <x v="3"/>
  </r>
  <r>
    <s v="MonthlyTradeStatistics 2018_04.xlsx"/>
    <x v="54"/>
    <n v="295035"/>
    <s v="2018_04.xlsx"/>
    <x v="2"/>
    <x v="3"/>
  </r>
  <r>
    <s v="MonthlyTradeStatistics 2018_04.xlsx"/>
    <x v="55"/>
    <n v="39030.955300000001"/>
    <s v="2018_04.xlsx"/>
    <x v="2"/>
    <x v="3"/>
  </r>
  <r>
    <s v="MonthlyTradeStatistics 2018_04.xlsx"/>
    <x v="56"/>
    <n v="2597099.6469999999"/>
    <s v="2018_04.xlsx"/>
    <x v="2"/>
    <x v="3"/>
  </r>
  <r>
    <s v="MonthlyTradeStatistics 2018_04.xlsx"/>
    <x v="57"/>
    <n v="4084.0922"/>
    <s v="2018_04.xlsx"/>
    <x v="2"/>
    <x v="3"/>
  </r>
  <r>
    <s v="MonthlyTradeStatistics 2018_04.xlsx"/>
    <x v="58"/>
    <n v="2712.7773999999999"/>
    <s v="2018_04.xlsx"/>
    <x v="2"/>
    <x v="3"/>
  </r>
  <r>
    <s v="MonthlyTradeStatistics 2018_04.xlsx"/>
    <x v="59"/>
    <n v="0"/>
    <s v="2018_04.xlsx"/>
    <x v="2"/>
    <x v="3"/>
  </r>
  <r>
    <s v="MonthlyTradeStatistics 2018_05.xlsx"/>
    <x v="0"/>
    <n v="10488940.9267"/>
    <s v="2018_05.xlsx"/>
    <x v="2"/>
    <x v="4"/>
  </r>
  <r>
    <s v="MonthlyTradeStatistics 2018_05.xlsx"/>
    <x v="1"/>
    <n v="1080741.8970999999"/>
    <s v="2018_05.xlsx"/>
    <x v="2"/>
    <x v="4"/>
  </r>
  <r>
    <s v="MonthlyTradeStatistics 2018_05.xlsx"/>
    <x v="2"/>
    <n v="2731145.9654999999"/>
    <s v="2018_05.xlsx"/>
    <x v="2"/>
    <x v="4"/>
  </r>
  <r>
    <s v="MonthlyTradeStatistics 2018_05.xlsx"/>
    <x v="3"/>
    <n v="2054086.612"/>
    <s v="2018_05.xlsx"/>
    <x v="2"/>
    <x v="4"/>
  </r>
  <r>
    <s v="MonthlyTradeStatistics 2018_05.xlsx"/>
    <x v="4"/>
    <n v="4622966.4521000003"/>
    <s v="2018_05.xlsx"/>
    <x v="2"/>
    <x v="4"/>
  </r>
  <r>
    <s v="MonthlyTradeStatistics 2018_05.xlsx"/>
    <x v="5"/>
    <n v="1500"/>
    <s v="2018_05.xlsx"/>
    <x v="2"/>
    <x v="4"/>
  </r>
  <r>
    <s v="MonthlyTradeStatistics 2018_05.xlsx"/>
    <x v="6"/>
    <n v="254.33"/>
    <s v="2018_05.xlsx"/>
    <x v="2"/>
    <x v="4"/>
  </r>
  <r>
    <s v="MonthlyTradeStatistics 2018_05.xlsx"/>
    <x v="7"/>
    <n v="1729254.4069999999"/>
    <s v="2018_05.xlsx"/>
    <x v="2"/>
    <x v="4"/>
  </r>
  <r>
    <s v="MonthlyTradeStatistics 2018_05.xlsx"/>
    <x v="8"/>
    <n v="5334.2166999999999"/>
    <s v="2018_05.xlsx"/>
    <x v="2"/>
    <x v="4"/>
  </r>
  <r>
    <s v="MonthlyTradeStatistics 2018_05.xlsx"/>
    <x v="9"/>
    <n v="42574"/>
    <s v="2018_05.xlsx"/>
    <x v="2"/>
    <x v="4"/>
  </r>
  <r>
    <s v="MonthlyTradeStatistics 2018_05.xlsx"/>
    <x v="10"/>
    <n v="11120"/>
    <s v="2018_05.xlsx"/>
    <x v="2"/>
    <x v="4"/>
  </r>
  <r>
    <s v="MonthlyTradeStatistics 2018_05.xlsx"/>
    <x v="11"/>
    <n v="953576.42709999997"/>
    <s v="2018_05.xlsx"/>
    <x v="2"/>
    <x v="4"/>
  </r>
  <r>
    <s v="MonthlyTradeStatistics 2018_05.xlsx"/>
    <x v="12"/>
    <n v="0"/>
    <s v="2018_05.xlsx"/>
    <x v="2"/>
    <x v="4"/>
  </r>
  <r>
    <s v="MonthlyTradeStatistics 2018_05.xlsx"/>
    <x v="13"/>
    <n v="170026.14910000001"/>
    <s v="2018_05.xlsx"/>
    <x v="2"/>
    <x v="4"/>
  </r>
  <r>
    <s v="MonthlyTradeStatistics 2018_05.xlsx"/>
    <x v="14"/>
    <n v="172033.46650000001"/>
    <s v="2018_05.xlsx"/>
    <x v="2"/>
    <x v="4"/>
  </r>
  <r>
    <s v="MonthlyTradeStatistics 2018_05.xlsx"/>
    <x v="15"/>
    <n v="2770.9857000000002"/>
    <s v="2018_05.xlsx"/>
    <x v="2"/>
    <x v="4"/>
  </r>
  <r>
    <s v="MonthlyTradeStatistics 2018_05.xlsx"/>
    <x v="16"/>
    <n v="18843.3334"/>
    <s v="2018_05.xlsx"/>
    <x v="2"/>
    <x v="4"/>
  </r>
  <r>
    <s v="MonthlyTradeStatistics 2018_05.xlsx"/>
    <x v="17"/>
    <n v="1409.9119000000001"/>
    <s v="2018_05.xlsx"/>
    <x v="2"/>
    <x v="4"/>
  </r>
  <r>
    <s v="MonthlyTradeStatistics 2018_05.xlsx"/>
    <x v="18"/>
    <n v="43570.754999999997"/>
    <s v="2018_05.xlsx"/>
    <x v="2"/>
    <x v="4"/>
  </r>
  <r>
    <s v="MonthlyTradeStatistics 2018_05.xlsx"/>
    <x v="19"/>
    <n v="99422.664699999994"/>
    <s v="2018_05.xlsx"/>
    <x v="2"/>
    <x v="4"/>
  </r>
  <r>
    <s v="MonthlyTradeStatistics 2018_05.xlsx"/>
    <x v="20"/>
    <n v="2.34"/>
    <s v="2018_05.xlsx"/>
    <x v="2"/>
    <x v="4"/>
  </r>
  <r>
    <s v="MonthlyTradeStatistics 2018_05.xlsx"/>
    <x v="21"/>
    <n v="396813.5"/>
    <s v="2018_05.xlsx"/>
    <x v="2"/>
    <x v="4"/>
  </r>
  <r>
    <s v="MonthlyTradeStatistics 2018_05.xlsx"/>
    <x v="22"/>
    <n v="0.85"/>
    <s v="2018_05.xlsx"/>
    <x v="2"/>
    <x v="4"/>
  </r>
  <r>
    <s v="MonthlyTradeStatistics 2018_05.xlsx"/>
    <x v="23"/>
    <n v="1445.4353000000001"/>
    <s v="2018_05.xlsx"/>
    <x v="2"/>
    <x v="4"/>
  </r>
  <r>
    <s v="MonthlyTradeStatistics 2018_05.xlsx"/>
    <x v="24"/>
    <n v="480190.04940000002"/>
    <s v="2018_05.xlsx"/>
    <x v="2"/>
    <x v="4"/>
  </r>
  <r>
    <s v="MonthlyTradeStatistics 2018_05.xlsx"/>
    <x v="25"/>
    <n v="12296.002200000001"/>
    <s v="2018_05.xlsx"/>
    <x v="2"/>
    <x v="4"/>
  </r>
  <r>
    <s v="MonthlyTradeStatistics 2018_05.xlsx"/>
    <x v="26"/>
    <n v="102.18"/>
    <s v="2018_05.xlsx"/>
    <x v="2"/>
    <x v="4"/>
  </r>
  <r>
    <s v="MonthlyTradeStatistics 2018_05.xlsx"/>
    <x v="27"/>
    <n v="346.44560000000001"/>
    <s v="2018_05.xlsx"/>
    <x v="2"/>
    <x v="4"/>
  </r>
  <r>
    <s v="MonthlyTradeStatistics 2018_05.xlsx"/>
    <x v="28"/>
    <n v="747591.42500000005"/>
    <s v="2018_05.xlsx"/>
    <x v="2"/>
    <x v="4"/>
  </r>
  <r>
    <s v="MonthlyTradeStatistics 2018_05.xlsx"/>
    <x v="29"/>
    <n v="630992.9693"/>
    <s v="2018_05.xlsx"/>
    <x v="2"/>
    <x v="4"/>
  </r>
  <r>
    <s v="MonthlyTradeStatistics 2018_05.xlsx"/>
    <x v="30"/>
    <n v="416793.69699999999"/>
    <s v="2018_05.xlsx"/>
    <x v="2"/>
    <x v="4"/>
  </r>
  <r>
    <s v="MonthlyTradeStatistics 2018_05.xlsx"/>
    <x v="31"/>
    <n v="1220.0012999999999"/>
    <s v="2018_05.xlsx"/>
    <x v="2"/>
    <x v="4"/>
  </r>
  <r>
    <s v="MonthlyTradeStatistics 2018_05.xlsx"/>
    <x v="32"/>
    <n v="81444.03"/>
    <s v="2018_05.xlsx"/>
    <x v="2"/>
    <x v="4"/>
  </r>
  <r>
    <s v="MonthlyTradeStatistics 2018_05.xlsx"/>
    <x v="33"/>
    <n v="52553.902099999999"/>
    <s v="2018_05.xlsx"/>
    <x v="2"/>
    <x v="4"/>
  </r>
  <r>
    <s v="MonthlyTradeStatistics 2018_05.xlsx"/>
    <x v="34"/>
    <n v="0"/>
    <s v="2018_05.xlsx"/>
    <x v="2"/>
    <x v="4"/>
  </r>
  <r>
    <s v="MonthlyTradeStatistics 2018_05.xlsx"/>
    <x v="35"/>
    <n v="343.9"/>
    <s v="2018_05.xlsx"/>
    <x v="2"/>
    <x v="4"/>
  </r>
  <r>
    <s v="MonthlyTradeStatistics 2018_05.xlsx"/>
    <x v="36"/>
    <n v="767.49170000000004"/>
    <s v="2018_05.xlsx"/>
    <x v="2"/>
    <x v="4"/>
  </r>
  <r>
    <s v="MonthlyTradeStatistics 2018_05.xlsx"/>
    <x v="37"/>
    <n v="310522.83539999998"/>
    <s v="2018_05.xlsx"/>
    <x v="2"/>
    <x v="4"/>
  </r>
  <r>
    <s v="MonthlyTradeStatistics 2018_05.xlsx"/>
    <x v="38"/>
    <n v="188.01169999999999"/>
    <s v="2018_05.xlsx"/>
    <x v="2"/>
    <x v="4"/>
  </r>
  <r>
    <s v="MonthlyTradeStatistics 2018_05.xlsx"/>
    <x v="39"/>
    <n v="284988.44770000002"/>
    <s v="2018_05.xlsx"/>
    <x v="2"/>
    <x v="4"/>
  </r>
  <r>
    <s v="MonthlyTradeStatistics 2018_05.xlsx"/>
    <x v="40"/>
    <n v="0"/>
    <s v="2018_05.xlsx"/>
    <x v="2"/>
    <x v="4"/>
  </r>
  <r>
    <s v="MonthlyTradeStatistics 2018_05.xlsx"/>
    <x v="41"/>
    <n v="5800.4885000000004"/>
    <s v="2018_05.xlsx"/>
    <x v="2"/>
    <x v="4"/>
  </r>
  <r>
    <s v="MonthlyTradeStatistics 2018_05.xlsx"/>
    <x v="42"/>
    <n v="56091.67"/>
    <s v="2018_05.xlsx"/>
    <x v="2"/>
    <x v="4"/>
  </r>
  <r>
    <s v="MonthlyTradeStatistics 2018_05.xlsx"/>
    <x v="43"/>
    <n v="0"/>
    <s v="2018_05.xlsx"/>
    <x v="2"/>
    <x v="4"/>
  </r>
  <r>
    <s v="MonthlyTradeStatistics 2018_05.xlsx"/>
    <x v="44"/>
    <n v="108694.21"/>
    <s v="2018_05.xlsx"/>
    <x v="2"/>
    <x v="4"/>
  </r>
  <r>
    <s v="MonthlyTradeStatistics 2018_05.xlsx"/>
    <x v="45"/>
    <n v="147.55000000000001"/>
    <s v="2018_05.xlsx"/>
    <x v="2"/>
    <x v="4"/>
  </r>
  <r>
    <s v="MonthlyTradeStatistics 2018_05.xlsx"/>
    <x v="46"/>
    <n v="11943.9545"/>
    <s v="2018_05.xlsx"/>
    <x v="2"/>
    <x v="4"/>
  </r>
  <r>
    <s v="MonthlyTradeStatistics 2018_05.xlsx"/>
    <x v="47"/>
    <n v="4441.3972000000003"/>
    <s v="2018_05.xlsx"/>
    <x v="2"/>
    <x v="4"/>
  </r>
  <r>
    <s v="MonthlyTradeStatistics 2018_05.xlsx"/>
    <x v="48"/>
    <n v="28.613499999999998"/>
    <s v="2018_05.xlsx"/>
    <x v="2"/>
    <x v="4"/>
  </r>
  <r>
    <s v="MonthlyTradeStatistics 2018_05.xlsx"/>
    <x v="49"/>
    <n v="59194.44"/>
    <s v="2018_05.xlsx"/>
    <x v="2"/>
    <x v="4"/>
  </r>
  <r>
    <s v="MonthlyTradeStatistics 2018_05.xlsx"/>
    <x v="50"/>
    <n v="26299.239799999999"/>
    <s v="2018_05.xlsx"/>
    <x v="2"/>
    <x v="4"/>
  </r>
  <r>
    <s v="MonthlyTradeStatistics 2018_05.xlsx"/>
    <x v="51"/>
    <n v="1823"/>
    <s v="2018_05.xlsx"/>
    <x v="2"/>
    <x v="4"/>
  </r>
  <r>
    <s v="MonthlyTradeStatistics 2018_05.xlsx"/>
    <x v="52"/>
    <n v="2560.4"/>
    <s v="2018_05.xlsx"/>
    <x v="2"/>
    <x v="4"/>
  </r>
  <r>
    <s v="MonthlyTradeStatistics 2018_05.xlsx"/>
    <x v="53"/>
    <n v="207.0899"/>
    <s v="2018_05.xlsx"/>
    <x v="2"/>
    <x v="4"/>
  </r>
  <r>
    <s v="MonthlyTradeStatistics 2018_05.xlsx"/>
    <x v="54"/>
    <n v="318701"/>
    <s v="2018_05.xlsx"/>
    <x v="2"/>
    <x v="4"/>
  </r>
  <r>
    <s v="MonthlyTradeStatistics 2018_05.xlsx"/>
    <x v="55"/>
    <n v="5597.1532999999999"/>
    <s v="2018_05.xlsx"/>
    <x v="2"/>
    <x v="4"/>
  </r>
  <r>
    <s v="MonthlyTradeStatistics 2018_05.xlsx"/>
    <x v="56"/>
    <n v="3212374.1904000002"/>
    <s v="2018_05.xlsx"/>
    <x v="2"/>
    <x v="4"/>
  </r>
  <r>
    <s v="MonthlyTradeStatistics 2018_05.xlsx"/>
    <x v="57"/>
    <n v="3152.1421999999998"/>
    <s v="2018_05.xlsx"/>
    <x v="2"/>
    <x v="4"/>
  </r>
  <r>
    <s v="MonthlyTradeStatistics 2018_05.xlsx"/>
    <x v="58"/>
    <n v="1587.7474"/>
    <s v="2018_05.xlsx"/>
    <x v="2"/>
    <x v="4"/>
  </r>
  <r>
    <s v="MonthlyTradeStatistics 2018_05.xlsx"/>
    <x v="59"/>
    <n v="2.4792000000000001"/>
    <s v="2018_05.xlsx"/>
    <x v="2"/>
    <x v="4"/>
  </r>
  <r>
    <s v="MonthlyTradeStatistics 2018_06.xlsx"/>
    <x v="0"/>
    <n v="10709855.1832"/>
    <s v="2018_06.xlsx"/>
    <x v="2"/>
    <x v="5"/>
  </r>
  <r>
    <s v="MonthlyTradeStatistics 2018_06.xlsx"/>
    <x v="1"/>
    <n v="1029027.1626"/>
    <s v="2018_06.xlsx"/>
    <x v="2"/>
    <x v="5"/>
  </r>
  <r>
    <s v="MonthlyTradeStatistics 2018_06.xlsx"/>
    <x v="2"/>
    <n v="2900614.7686000001"/>
    <s v="2018_06.xlsx"/>
    <x v="2"/>
    <x v="5"/>
  </r>
  <r>
    <s v="MonthlyTradeStatistics 2018_06.xlsx"/>
    <x v="3"/>
    <n v="2683025.0243000002"/>
    <s v="2018_06.xlsx"/>
    <x v="2"/>
    <x v="5"/>
  </r>
  <r>
    <s v="MonthlyTradeStatistics 2018_06.xlsx"/>
    <x v="4"/>
    <n v="4097188.2277000002"/>
    <s v="2018_06.xlsx"/>
    <x v="2"/>
    <x v="5"/>
  </r>
  <r>
    <s v="MonthlyTradeStatistics 2018_06.xlsx"/>
    <x v="5"/>
    <n v="600"/>
    <s v="2018_06.xlsx"/>
    <x v="2"/>
    <x v="5"/>
  </r>
  <r>
    <s v="MonthlyTradeStatistics 2018_06.xlsx"/>
    <x v="6"/>
    <n v="618.34"/>
    <s v="2018_06.xlsx"/>
    <x v="2"/>
    <x v="5"/>
  </r>
  <r>
    <s v="MonthlyTradeStatistics 2018_06.xlsx"/>
    <x v="7"/>
    <n v="2583614.3931999998"/>
    <s v="2018_06.xlsx"/>
    <x v="2"/>
    <x v="5"/>
  </r>
  <r>
    <s v="MonthlyTradeStatistics 2018_06.xlsx"/>
    <x v="8"/>
    <n v="7989.6832999999997"/>
    <s v="2018_06.xlsx"/>
    <x v="2"/>
    <x v="5"/>
  </r>
  <r>
    <s v="MonthlyTradeStatistics 2018_06.xlsx"/>
    <x v="9"/>
    <n v="35390"/>
    <s v="2018_06.xlsx"/>
    <x v="2"/>
    <x v="5"/>
  </r>
  <r>
    <s v="MonthlyTradeStatistics 2018_06.xlsx"/>
    <x v="10"/>
    <n v="0"/>
    <s v="2018_06.xlsx"/>
    <x v="2"/>
    <x v="5"/>
  </r>
  <r>
    <s v="MonthlyTradeStatistics 2018_06.xlsx"/>
    <x v="11"/>
    <n v="918083.07290000003"/>
    <s v="2018_06.xlsx"/>
    <x v="2"/>
    <x v="5"/>
  </r>
  <r>
    <s v="MonthlyTradeStatistics 2018_06.xlsx"/>
    <x v="12"/>
    <n v="8.3299999999999999E-2"/>
    <s v="2018_06.xlsx"/>
    <x v="2"/>
    <x v="5"/>
  </r>
  <r>
    <s v="MonthlyTradeStatistics 2018_06.xlsx"/>
    <x v="13"/>
    <n v="198327.0111"/>
    <s v="2018_06.xlsx"/>
    <x v="2"/>
    <x v="5"/>
  </r>
  <r>
    <s v="MonthlyTradeStatistics 2018_06.xlsx"/>
    <x v="14"/>
    <n v="68016.016499999998"/>
    <s v="2018_06.xlsx"/>
    <x v="2"/>
    <x v="5"/>
  </r>
  <r>
    <s v="MonthlyTradeStatistics 2018_06.xlsx"/>
    <x v="15"/>
    <n v="4623.2453999999998"/>
    <s v="2018_06.xlsx"/>
    <x v="2"/>
    <x v="5"/>
  </r>
  <r>
    <s v="MonthlyTradeStatistics 2018_06.xlsx"/>
    <x v="16"/>
    <n v="21500"/>
    <s v="2018_06.xlsx"/>
    <x v="2"/>
    <x v="5"/>
  </r>
  <r>
    <s v="MonthlyTradeStatistics 2018_06.xlsx"/>
    <x v="17"/>
    <n v="1836.76"/>
    <s v="2018_06.xlsx"/>
    <x v="2"/>
    <x v="5"/>
  </r>
  <r>
    <s v="MonthlyTradeStatistics 2018_06.xlsx"/>
    <x v="18"/>
    <n v="31068.117999999999"/>
    <s v="2018_06.xlsx"/>
    <x v="2"/>
    <x v="5"/>
  </r>
  <r>
    <s v="MonthlyTradeStatistics 2018_06.xlsx"/>
    <x v="19"/>
    <n v="103682.5425"/>
    <s v="2018_06.xlsx"/>
    <x v="2"/>
    <x v="5"/>
  </r>
  <r>
    <s v="MonthlyTradeStatistics 2018_06.xlsx"/>
    <x v="20"/>
    <n v="32.340000000000003"/>
    <s v="2018_06.xlsx"/>
    <x v="2"/>
    <x v="5"/>
  </r>
  <r>
    <s v="MonthlyTradeStatistics 2018_06.xlsx"/>
    <x v="21"/>
    <n v="399180"/>
    <s v="2018_06.xlsx"/>
    <x v="2"/>
    <x v="5"/>
  </r>
  <r>
    <s v="MonthlyTradeStatistics 2018_06.xlsx"/>
    <x v="22"/>
    <n v="0.85"/>
    <s v="2018_06.xlsx"/>
    <x v="2"/>
    <x v="5"/>
  </r>
  <r>
    <s v="MonthlyTradeStatistics 2018_06.xlsx"/>
    <x v="23"/>
    <n v="1395.056"/>
    <s v="2018_06.xlsx"/>
    <x v="2"/>
    <x v="5"/>
  </r>
  <r>
    <s v="MonthlyTradeStatistics 2018_06.xlsx"/>
    <x v="24"/>
    <n v="457839.59039999999"/>
    <s v="2018_06.xlsx"/>
    <x v="2"/>
    <x v="5"/>
  </r>
  <r>
    <s v="MonthlyTradeStatistics 2018_06.xlsx"/>
    <x v="25"/>
    <n v="12319.022199999999"/>
    <s v="2018_06.xlsx"/>
    <x v="2"/>
    <x v="5"/>
  </r>
  <r>
    <s v="MonthlyTradeStatistics 2018_06.xlsx"/>
    <x v="26"/>
    <n v="62.0533"/>
    <s v="2018_06.xlsx"/>
    <x v="2"/>
    <x v="5"/>
  </r>
  <r>
    <s v="MonthlyTradeStatistics 2018_06.xlsx"/>
    <x v="27"/>
    <n v="595.09079999999994"/>
    <s v="2018_06.xlsx"/>
    <x v="2"/>
    <x v="5"/>
  </r>
  <r>
    <s v="MonthlyTradeStatistics 2018_06.xlsx"/>
    <x v="28"/>
    <n v="856001.09699999995"/>
    <s v="2018_06.xlsx"/>
    <x v="2"/>
    <x v="5"/>
  </r>
  <r>
    <s v="MonthlyTradeStatistics 2018_06.xlsx"/>
    <x v="29"/>
    <n v="591179.79929999996"/>
    <s v="2018_06.xlsx"/>
    <x v="2"/>
    <x v="5"/>
  </r>
  <r>
    <s v="MonthlyTradeStatistics 2018_06.xlsx"/>
    <x v="30"/>
    <n v="288175.86040000001"/>
    <s v="2018_06.xlsx"/>
    <x v="2"/>
    <x v="5"/>
  </r>
  <r>
    <s v="MonthlyTradeStatistics 2018_06.xlsx"/>
    <x v="31"/>
    <n v="1297.6338000000001"/>
    <s v="2018_06.xlsx"/>
    <x v="2"/>
    <x v="5"/>
  </r>
  <r>
    <s v="MonthlyTradeStatistics 2018_06.xlsx"/>
    <x v="32"/>
    <n v="81693.664000000004"/>
    <s v="2018_06.xlsx"/>
    <x v="2"/>
    <x v="5"/>
  </r>
  <r>
    <s v="MonthlyTradeStatistics 2018_06.xlsx"/>
    <x v="33"/>
    <n v="42005.002099999998"/>
    <s v="2018_06.xlsx"/>
    <x v="2"/>
    <x v="5"/>
  </r>
  <r>
    <s v="MonthlyTradeStatistics 2018_06.xlsx"/>
    <x v="34"/>
    <n v="85"/>
    <s v="2018_06.xlsx"/>
    <x v="2"/>
    <x v="5"/>
  </r>
  <r>
    <s v="MonthlyTradeStatistics 2018_06.xlsx"/>
    <x v="35"/>
    <n v="343.65"/>
    <s v="2018_06.xlsx"/>
    <x v="2"/>
    <x v="5"/>
  </r>
  <r>
    <s v="MonthlyTradeStatistics 2018_06.xlsx"/>
    <x v="36"/>
    <n v="990.95320000000004"/>
    <s v="2018_06.xlsx"/>
    <x v="2"/>
    <x v="5"/>
  </r>
  <r>
    <s v="MonthlyTradeStatistics 2018_06.xlsx"/>
    <x v="37"/>
    <n v="275661.76819999999"/>
    <s v="2018_06.xlsx"/>
    <x v="2"/>
    <x v="5"/>
  </r>
  <r>
    <s v="MonthlyTradeStatistics 2018_06.xlsx"/>
    <x v="38"/>
    <n v="231.0539"/>
    <s v="2018_06.xlsx"/>
    <x v="2"/>
    <x v="5"/>
  </r>
  <r>
    <s v="MonthlyTradeStatistics 2018_06.xlsx"/>
    <x v="39"/>
    <n v="261325.0661"/>
    <s v="2018_06.xlsx"/>
    <x v="2"/>
    <x v="5"/>
  </r>
  <r>
    <s v="MonthlyTradeStatistics 2018_06.xlsx"/>
    <x v="40"/>
    <n v="0"/>
    <s v="2018_06.xlsx"/>
    <x v="2"/>
    <x v="5"/>
  </r>
  <r>
    <s v="MonthlyTradeStatistics 2018_06.xlsx"/>
    <x v="41"/>
    <n v="5086.1881999999996"/>
    <s v="2018_06.xlsx"/>
    <x v="2"/>
    <x v="5"/>
  </r>
  <r>
    <s v="MonthlyTradeStatistics 2018_06.xlsx"/>
    <x v="42"/>
    <n v="85116.33"/>
    <s v="2018_06.xlsx"/>
    <x v="2"/>
    <x v="5"/>
  </r>
  <r>
    <s v="MonthlyTradeStatistics 2018_06.xlsx"/>
    <x v="43"/>
    <n v="3.1238000000000001"/>
    <s v="2018_06.xlsx"/>
    <x v="2"/>
    <x v="5"/>
  </r>
  <r>
    <s v="MonthlyTradeStatistics 2018_06.xlsx"/>
    <x v="44"/>
    <n v="225960.15"/>
    <s v="2018_06.xlsx"/>
    <x v="2"/>
    <x v="5"/>
  </r>
  <r>
    <s v="MonthlyTradeStatistics 2018_06.xlsx"/>
    <x v="45"/>
    <n v="441.54469999999998"/>
    <s v="2018_06.xlsx"/>
    <x v="2"/>
    <x v="5"/>
  </r>
  <r>
    <s v="MonthlyTradeStatistics 2018_06.xlsx"/>
    <x v="46"/>
    <n v="24442.629499999999"/>
    <s v="2018_06.xlsx"/>
    <x v="2"/>
    <x v="5"/>
  </r>
  <r>
    <s v="MonthlyTradeStatistics 2018_06.xlsx"/>
    <x v="47"/>
    <n v="5056.3972000000003"/>
    <s v="2018_06.xlsx"/>
    <x v="2"/>
    <x v="5"/>
  </r>
  <r>
    <s v="MonthlyTradeStatistics 2018_06.xlsx"/>
    <x v="48"/>
    <n v="30.2835"/>
    <s v="2018_06.xlsx"/>
    <x v="2"/>
    <x v="5"/>
  </r>
  <r>
    <s v="MonthlyTradeStatistics 2018_06.xlsx"/>
    <x v="49"/>
    <n v="54413.637999999999"/>
    <s v="2018_06.xlsx"/>
    <x v="2"/>
    <x v="5"/>
  </r>
  <r>
    <s v="MonthlyTradeStatistics 2018_06.xlsx"/>
    <x v="50"/>
    <n v="33352.311099999999"/>
    <s v="2018_06.xlsx"/>
    <x v="2"/>
    <x v="5"/>
  </r>
  <r>
    <s v="MonthlyTradeStatistics 2018_06.xlsx"/>
    <x v="51"/>
    <n v="5875.8333000000002"/>
    <s v="2018_06.xlsx"/>
    <x v="2"/>
    <x v="5"/>
  </r>
  <r>
    <s v="MonthlyTradeStatistics 2018_06.xlsx"/>
    <x v="52"/>
    <n v="3827.2667000000001"/>
    <s v="2018_06.xlsx"/>
    <x v="2"/>
    <x v="5"/>
  </r>
  <r>
    <s v="MonthlyTradeStatistics 2018_06.xlsx"/>
    <x v="53"/>
    <n v="145.5018"/>
    <s v="2018_06.xlsx"/>
    <x v="2"/>
    <x v="5"/>
  </r>
  <r>
    <s v="MonthlyTradeStatistics 2018_06.xlsx"/>
    <x v="54"/>
    <n v="320339"/>
    <s v="2018_06.xlsx"/>
    <x v="2"/>
    <x v="5"/>
  </r>
  <r>
    <s v="MonthlyTradeStatistics 2018_06.xlsx"/>
    <x v="55"/>
    <n v="780.38329999999996"/>
    <s v="2018_06.xlsx"/>
    <x v="2"/>
    <x v="5"/>
  </r>
  <r>
    <s v="MonthlyTradeStatistics 2018_06.xlsx"/>
    <x v="56"/>
    <n v="2694177.4056000002"/>
    <s v="2018_06.xlsx"/>
    <x v="2"/>
    <x v="5"/>
  </r>
  <r>
    <s v="MonthlyTradeStatistics 2018_06.xlsx"/>
    <x v="57"/>
    <n v="3111.9122000000002"/>
    <s v="2018_06.xlsx"/>
    <x v="2"/>
    <x v="5"/>
  </r>
  <r>
    <s v="MonthlyTradeStatistics 2018_06.xlsx"/>
    <x v="58"/>
    <n v="1931.4674"/>
    <s v="2018_06.xlsx"/>
    <x v="2"/>
    <x v="5"/>
  </r>
  <r>
    <s v="MonthlyTradeStatistics 2018_06.xlsx"/>
    <x v="59"/>
    <n v="0"/>
    <s v="2018_06.xlsx"/>
    <x v="2"/>
    <x v="5"/>
  </r>
  <r>
    <s v="MonthlyTradeStatistics 2018_07.xlsx"/>
    <x v="0"/>
    <n v="10413653.937799999"/>
    <s v="2018_07.xlsx"/>
    <x v="2"/>
    <x v="6"/>
  </r>
  <r>
    <s v="MonthlyTradeStatistics 2018_07.xlsx"/>
    <x v="1"/>
    <n v="1182063.2923999999"/>
    <s v="2018_07.xlsx"/>
    <x v="2"/>
    <x v="6"/>
  </r>
  <r>
    <s v="MonthlyTradeStatistics 2018_07.xlsx"/>
    <x v="2"/>
    <n v="2572023.7579999999"/>
    <s v="2018_07.xlsx"/>
    <x v="2"/>
    <x v="6"/>
  </r>
  <r>
    <s v="MonthlyTradeStatistics 2018_07.xlsx"/>
    <x v="3"/>
    <n v="2631182.7379000001"/>
    <s v="2018_07.xlsx"/>
    <x v="2"/>
    <x v="6"/>
  </r>
  <r>
    <s v="MonthlyTradeStatistics 2018_07.xlsx"/>
    <x v="4"/>
    <n v="4028384.1494999998"/>
    <s v="2018_07.xlsx"/>
    <x v="2"/>
    <x v="6"/>
  </r>
  <r>
    <s v="MonthlyTradeStatistics 2018_07.xlsx"/>
    <x v="5"/>
    <n v="472"/>
    <s v="2018_07.xlsx"/>
    <x v="2"/>
    <x v="6"/>
  </r>
  <r>
    <s v="MonthlyTradeStatistics 2018_07.xlsx"/>
    <x v="6"/>
    <n v="437.5"/>
    <s v="2018_07.xlsx"/>
    <x v="2"/>
    <x v="6"/>
  </r>
  <r>
    <s v="MonthlyTradeStatistics 2018_07.xlsx"/>
    <x v="7"/>
    <n v="2465428.7014000001"/>
    <s v="2018_07.xlsx"/>
    <x v="2"/>
    <x v="6"/>
  </r>
  <r>
    <s v="MonthlyTradeStatistics 2018_07.xlsx"/>
    <x v="8"/>
    <n v="7192.6666999999998"/>
    <s v="2018_07.xlsx"/>
    <x v="2"/>
    <x v="6"/>
  </r>
  <r>
    <s v="MonthlyTradeStatistics 2018_07.xlsx"/>
    <x v="9"/>
    <n v="38926.583299999998"/>
    <s v="2018_07.xlsx"/>
    <x v="2"/>
    <x v="6"/>
  </r>
  <r>
    <s v="MonthlyTradeStatistics 2018_07.xlsx"/>
    <x v="10"/>
    <n v="0"/>
    <s v="2018_07.xlsx"/>
    <x v="2"/>
    <x v="6"/>
  </r>
  <r>
    <s v="MonthlyTradeStatistics 2018_07.xlsx"/>
    <x v="11"/>
    <n v="1079360.8207"/>
    <s v="2018_07.xlsx"/>
    <x v="2"/>
    <x v="6"/>
  </r>
  <r>
    <s v="MonthlyTradeStatistics 2018_07.xlsx"/>
    <x v="12"/>
    <n v="13"/>
    <s v="2018_07.xlsx"/>
    <x v="2"/>
    <x v="6"/>
  </r>
  <r>
    <s v="MonthlyTradeStatistics 2018_07.xlsx"/>
    <x v="13"/>
    <n v="122835.6528"/>
    <s v="2018_07.xlsx"/>
    <x v="2"/>
    <x v="6"/>
  </r>
  <r>
    <s v="MonthlyTradeStatistics 2018_07.xlsx"/>
    <x v="14"/>
    <n v="182965.31659999999"/>
    <s v="2018_07.xlsx"/>
    <x v="2"/>
    <x v="6"/>
  </r>
  <r>
    <s v="MonthlyTradeStatistics 2018_07.xlsx"/>
    <x v="15"/>
    <n v="1889.9377999999999"/>
    <s v="2018_07.xlsx"/>
    <x v="2"/>
    <x v="6"/>
  </r>
  <r>
    <s v="MonthlyTradeStatistics 2018_07.xlsx"/>
    <x v="16"/>
    <n v="17310"/>
    <s v="2018_07.xlsx"/>
    <x v="2"/>
    <x v="6"/>
  </r>
  <r>
    <s v="MonthlyTradeStatistics 2018_07.xlsx"/>
    <x v="17"/>
    <n v="3388.7656999999999"/>
    <s v="2018_07.xlsx"/>
    <x v="2"/>
    <x v="6"/>
  </r>
  <r>
    <s v="MonthlyTradeStatistics 2018_07.xlsx"/>
    <x v="18"/>
    <n v="29122.266"/>
    <s v="2018_07.xlsx"/>
    <x v="2"/>
    <x v="6"/>
  </r>
  <r>
    <s v="MonthlyTradeStatistics 2018_07.xlsx"/>
    <x v="19"/>
    <n v="58168.823799999998"/>
    <s v="2018_07.xlsx"/>
    <x v="2"/>
    <x v="6"/>
  </r>
  <r>
    <s v="MonthlyTradeStatistics 2018_07.xlsx"/>
    <x v="20"/>
    <n v="2.34"/>
    <s v="2018_07.xlsx"/>
    <x v="2"/>
    <x v="6"/>
  </r>
  <r>
    <s v="MonthlyTradeStatistics 2018_07.xlsx"/>
    <x v="21"/>
    <n v="421897.95"/>
    <s v="2018_07.xlsx"/>
    <x v="2"/>
    <x v="6"/>
  </r>
  <r>
    <s v="MonthlyTradeStatistics 2018_07.xlsx"/>
    <x v="22"/>
    <n v="7.52"/>
    <s v="2018_07.xlsx"/>
    <x v="2"/>
    <x v="6"/>
  </r>
  <r>
    <s v="MonthlyTradeStatistics 2018_07.xlsx"/>
    <x v="23"/>
    <n v="361.21570000000003"/>
    <s v="2018_07.xlsx"/>
    <x v="2"/>
    <x v="6"/>
  </r>
  <r>
    <s v="MonthlyTradeStatistics 2018_07.xlsx"/>
    <x v="24"/>
    <n v="345262.67460000003"/>
    <s v="2018_07.xlsx"/>
    <x v="2"/>
    <x v="6"/>
  </r>
  <r>
    <s v="MonthlyTradeStatistics 2018_07.xlsx"/>
    <x v="25"/>
    <n v="13019.022199999999"/>
    <s v="2018_07.xlsx"/>
    <x v="2"/>
    <x v="6"/>
  </r>
  <r>
    <s v="MonthlyTradeStatistics 2018_07.xlsx"/>
    <x v="26"/>
    <n v="3.952"/>
    <s v="2018_07.xlsx"/>
    <x v="2"/>
    <x v="6"/>
  </r>
  <r>
    <s v="MonthlyTradeStatistics 2018_07.xlsx"/>
    <x v="27"/>
    <n v="397.7208"/>
    <s v="2018_07.xlsx"/>
    <x v="2"/>
    <x v="6"/>
  </r>
  <r>
    <s v="MonthlyTradeStatistics 2018_07.xlsx"/>
    <x v="28"/>
    <n v="688192.88230000006"/>
    <s v="2018_07.xlsx"/>
    <x v="2"/>
    <x v="6"/>
  </r>
  <r>
    <s v="MonthlyTradeStatistics 2018_07.xlsx"/>
    <x v="29"/>
    <n v="408532.13270000002"/>
    <s v="2018_07.xlsx"/>
    <x v="2"/>
    <x v="6"/>
  </r>
  <r>
    <s v="MonthlyTradeStatistics 2018_07.xlsx"/>
    <x v="30"/>
    <n v="687675.23820000002"/>
    <s v="2018_07.xlsx"/>
    <x v="2"/>
    <x v="6"/>
  </r>
  <r>
    <s v="MonthlyTradeStatistics 2018_07.xlsx"/>
    <x v="31"/>
    <n v="1501.6887999999999"/>
    <s v="2018_07.xlsx"/>
    <x v="2"/>
    <x v="6"/>
  </r>
  <r>
    <s v="MonthlyTradeStatistics 2018_07.xlsx"/>
    <x v="32"/>
    <n v="83829.45"/>
    <s v="2018_07.xlsx"/>
    <x v="2"/>
    <x v="6"/>
  </r>
  <r>
    <s v="MonthlyTradeStatistics 2018_07.xlsx"/>
    <x v="33"/>
    <n v="36095.504699999998"/>
    <s v="2018_07.xlsx"/>
    <x v="2"/>
    <x v="6"/>
  </r>
  <r>
    <s v="MonthlyTradeStatistics 2018_07.xlsx"/>
    <x v="34"/>
    <n v="0"/>
    <s v="2018_07.xlsx"/>
    <x v="2"/>
    <x v="6"/>
  </r>
  <r>
    <s v="MonthlyTradeStatistics 2018_07.xlsx"/>
    <x v="35"/>
    <n v="761.99"/>
    <s v="2018_07.xlsx"/>
    <x v="2"/>
    <x v="6"/>
  </r>
  <r>
    <s v="MonthlyTradeStatistics 2018_07.xlsx"/>
    <x v="36"/>
    <n v="630.82169999999996"/>
    <s v="2018_07.xlsx"/>
    <x v="2"/>
    <x v="6"/>
  </r>
  <r>
    <s v="MonthlyTradeStatistics 2018_07.xlsx"/>
    <x v="37"/>
    <n v="254287.0099"/>
    <s v="2018_07.xlsx"/>
    <x v="2"/>
    <x v="6"/>
  </r>
  <r>
    <s v="MonthlyTradeStatistics 2018_07.xlsx"/>
    <x v="38"/>
    <n v="135.4597"/>
    <s v="2018_07.xlsx"/>
    <x v="2"/>
    <x v="6"/>
  </r>
  <r>
    <s v="MonthlyTradeStatistics 2018_07.xlsx"/>
    <x v="39"/>
    <n v="272519.20919999998"/>
    <s v="2018_07.xlsx"/>
    <x v="2"/>
    <x v="6"/>
  </r>
  <r>
    <s v="MonthlyTradeStatistics 2018_07.xlsx"/>
    <x v="40"/>
    <n v="0"/>
    <s v="2018_07.xlsx"/>
    <x v="2"/>
    <x v="6"/>
  </r>
  <r>
    <s v="MonthlyTradeStatistics 2018_07.xlsx"/>
    <x v="41"/>
    <n v="3548.8525"/>
    <s v="2018_07.xlsx"/>
    <x v="2"/>
    <x v="6"/>
  </r>
  <r>
    <s v="MonthlyTradeStatistics 2018_07.xlsx"/>
    <x v="42"/>
    <n v="108514.66"/>
    <s v="2018_07.xlsx"/>
    <x v="2"/>
    <x v="6"/>
  </r>
  <r>
    <s v="MonthlyTradeStatistics 2018_07.xlsx"/>
    <x v="43"/>
    <n v="0"/>
    <s v="2018_07.xlsx"/>
    <x v="2"/>
    <x v="6"/>
  </r>
  <r>
    <s v="MonthlyTradeStatistics 2018_07.xlsx"/>
    <x v="44"/>
    <n v="350236.78"/>
    <s v="2018_07.xlsx"/>
    <x v="2"/>
    <x v="6"/>
  </r>
  <r>
    <s v="MonthlyTradeStatistics 2018_07.xlsx"/>
    <x v="45"/>
    <n v="163.761"/>
    <s v="2018_07.xlsx"/>
    <x v="2"/>
    <x v="6"/>
  </r>
  <r>
    <s v="MonthlyTradeStatistics 2018_07.xlsx"/>
    <x v="46"/>
    <n v="26441.070800000001"/>
    <s v="2018_07.xlsx"/>
    <x v="2"/>
    <x v="6"/>
  </r>
  <r>
    <s v="MonthlyTradeStatistics 2018_07.xlsx"/>
    <x v="47"/>
    <n v="2754.7271999999998"/>
    <s v="2018_07.xlsx"/>
    <x v="2"/>
    <x v="6"/>
  </r>
  <r>
    <s v="MonthlyTradeStatistics 2018_07.xlsx"/>
    <x v="48"/>
    <n v="490.54860000000002"/>
    <s v="2018_07.xlsx"/>
    <x v="2"/>
    <x v="6"/>
  </r>
  <r>
    <s v="MonthlyTradeStatistics 2018_07.xlsx"/>
    <x v="49"/>
    <n v="54498.48"/>
    <s v="2018_07.xlsx"/>
    <x v="2"/>
    <x v="6"/>
  </r>
  <r>
    <s v="MonthlyTradeStatistics 2018_07.xlsx"/>
    <x v="50"/>
    <n v="8356.7297999999992"/>
    <s v="2018_07.xlsx"/>
    <x v="2"/>
    <x v="6"/>
  </r>
  <r>
    <s v="MonthlyTradeStatistics 2018_07.xlsx"/>
    <x v="51"/>
    <n v="25266.966700000001"/>
    <s v="2018_07.xlsx"/>
    <x v="2"/>
    <x v="6"/>
  </r>
  <r>
    <s v="MonthlyTradeStatistics 2018_07.xlsx"/>
    <x v="52"/>
    <n v="6116.5"/>
    <s v="2018_07.xlsx"/>
    <x v="2"/>
    <x v="6"/>
  </r>
  <r>
    <s v="MonthlyTradeStatistics 2018_07.xlsx"/>
    <x v="53"/>
    <n v="37.5334"/>
    <s v="2018_07.xlsx"/>
    <x v="2"/>
    <x v="6"/>
  </r>
  <r>
    <s v="MonthlyTradeStatistics 2018_07.xlsx"/>
    <x v="54"/>
    <n v="393021.99"/>
    <s v="2018_07.xlsx"/>
    <x v="2"/>
    <x v="6"/>
  </r>
  <r>
    <s v="MonthlyTradeStatistics 2018_07.xlsx"/>
    <x v="55"/>
    <n v="1156.5012999999999"/>
    <s v="2018_07.xlsx"/>
    <x v="2"/>
    <x v="6"/>
  </r>
  <r>
    <s v="MonthlyTradeStatistics 2018_07.xlsx"/>
    <x v="56"/>
    <n v="2205288.9596000002"/>
    <s v="2018_07.xlsx"/>
    <x v="2"/>
    <x v="6"/>
  </r>
  <r>
    <s v="MonthlyTradeStatistics 2018_07.xlsx"/>
    <x v="57"/>
    <n v="3481.3121999999998"/>
    <s v="2018_07.xlsx"/>
    <x v="2"/>
    <x v="6"/>
  </r>
  <r>
    <s v="MonthlyTradeStatistics 2018_07.xlsx"/>
    <x v="58"/>
    <n v="1652.7474"/>
    <s v="2018_07.xlsx"/>
    <x v="2"/>
    <x v="6"/>
  </r>
  <r>
    <s v="MonthlyTradeStatistics 2018_07.xlsx"/>
    <x v="59"/>
    <n v="0"/>
    <s v="2018_07.xlsx"/>
    <x v="2"/>
    <x v="6"/>
  </r>
  <r>
    <s v="MonthlyTradeStatistics 2018_08.xlsx"/>
    <x v="0"/>
    <n v="11067157.6128"/>
    <s v="2018_08.xlsx"/>
    <x v="2"/>
    <x v="7"/>
  </r>
  <r>
    <s v="MonthlyTradeStatistics 2018_08.xlsx"/>
    <x v="1"/>
    <n v="1091034.5386999999"/>
    <s v="2018_08.xlsx"/>
    <x v="2"/>
    <x v="7"/>
  </r>
  <r>
    <s v="MonthlyTradeStatistics 2018_08.xlsx"/>
    <x v="2"/>
    <n v="2369979.3061000002"/>
    <s v="2018_08.xlsx"/>
    <x v="2"/>
    <x v="7"/>
  </r>
  <r>
    <s v="MonthlyTradeStatistics 2018_08.xlsx"/>
    <x v="3"/>
    <n v="3272778.7126000002"/>
    <s v="2018_08.xlsx"/>
    <x v="2"/>
    <x v="7"/>
  </r>
  <r>
    <s v="MonthlyTradeStatistics 2018_08.xlsx"/>
    <x v="4"/>
    <n v="4333365.0554"/>
    <s v="2018_08.xlsx"/>
    <x v="2"/>
    <x v="7"/>
  </r>
  <r>
    <s v="MonthlyTradeStatistics 2018_08.xlsx"/>
    <x v="5"/>
    <n v="1410"/>
    <s v="2018_08.xlsx"/>
    <x v="2"/>
    <x v="7"/>
  </r>
  <r>
    <s v="MonthlyTradeStatistics 2018_08.xlsx"/>
    <x v="6"/>
    <n v="2585.42"/>
    <s v="2018_08.xlsx"/>
    <x v="2"/>
    <x v="7"/>
  </r>
  <r>
    <s v="MonthlyTradeStatistics 2018_08.xlsx"/>
    <x v="7"/>
    <n v="3544383.3996000001"/>
    <s v="2018_08.xlsx"/>
    <x v="2"/>
    <x v="7"/>
  </r>
  <r>
    <s v="MonthlyTradeStatistics 2018_08.xlsx"/>
    <x v="8"/>
    <n v="21542.483400000001"/>
    <s v="2018_08.xlsx"/>
    <x v="2"/>
    <x v="7"/>
  </r>
  <r>
    <s v="MonthlyTradeStatistics 2018_08.xlsx"/>
    <x v="9"/>
    <n v="32556"/>
    <s v="2018_08.xlsx"/>
    <x v="2"/>
    <x v="7"/>
  </r>
  <r>
    <s v="MonthlyTradeStatistics 2018_08.xlsx"/>
    <x v="10"/>
    <n v="0"/>
    <s v="2018_08.xlsx"/>
    <x v="2"/>
    <x v="7"/>
  </r>
  <r>
    <s v="MonthlyTradeStatistics 2018_08.xlsx"/>
    <x v="11"/>
    <n v="1031796.6844"/>
    <s v="2018_08.xlsx"/>
    <x v="2"/>
    <x v="7"/>
  </r>
  <r>
    <s v="MonthlyTradeStatistics 2018_08.xlsx"/>
    <x v="12"/>
    <n v="0"/>
    <s v="2018_08.xlsx"/>
    <x v="2"/>
    <x v="7"/>
  </r>
  <r>
    <s v="MonthlyTradeStatistics 2018_08.xlsx"/>
    <x v="13"/>
    <n v="133239.9547"/>
    <s v="2018_08.xlsx"/>
    <x v="2"/>
    <x v="7"/>
  </r>
  <r>
    <s v="MonthlyTradeStatistics 2018_08.xlsx"/>
    <x v="14"/>
    <n v="117405.5003"/>
    <s v="2018_08.xlsx"/>
    <x v="2"/>
    <x v="7"/>
  </r>
  <r>
    <s v="MonthlyTradeStatistics 2018_08.xlsx"/>
    <x v="15"/>
    <n v="5519.9937"/>
    <s v="2018_08.xlsx"/>
    <x v="2"/>
    <x v="7"/>
  </r>
  <r>
    <s v="MonthlyTradeStatistics 2018_08.xlsx"/>
    <x v="16"/>
    <n v="19990"/>
    <s v="2018_08.xlsx"/>
    <x v="2"/>
    <x v="7"/>
  </r>
  <r>
    <s v="MonthlyTradeStatistics 2018_08.xlsx"/>
    <x v="17"/>
    <n v="6158.9660000000003"/>
    <s v="2018_08.xlsx"/>
    <x v="2"/>
    <x v="7"/>
  </r>
  <r>
    <s v="MonthlyTradeStatistics 2018_08.xlsx"/>
    <x v="18"/>
    <n v="44104.827299999997"/>
    <s v="2018_08.xlsx"/>
    <x v="2"/>
    <x v="7"/>
  </r>
  <r>
    <s v="MonthlyTradeStatistics 2018_08.xlsx"/>
    <x v="19"/>
    <n v="36919.968000000001"/>
    <s v="2018_08.xlsx"/>
    <x v="2"/>
    <x v="7"/>
  </r>
  <r>
    <s v="MonthlyTradeStatistics 2018_08.xlsx"/>
    <x v="20"/>
    <n v="2.34"/>
    <s v="2018_08.xlsx"/>
    <x v="2"/>
    <x v="7"/>
  </r>
  <r>
    <s v="MonthlyTradeStatistics 2018_08.xlsx"/>
    <x v="21"/>
    <n v="317765.37"/>
    <s v="2018_08.xlsx"/>
    <x v="2"/>
    <x v="7"/>
  </r>
  <r>
    <s v="MonthlyTradeStatistics 2018_08.xlsx"/>
    <x v="22"/>
    <n v="0.85"/>
    <s v="2018_08.xlsx"/>
    <x v="2"/>
    <x v="7"/>
  </r>
  <r>
    <s v="MonthlyTradeStatistics 2018_08.xlsx"/>
    <x v="23"/>
    <n v="648.09770000000003"/>
    <s v="2018_08.xlsx"/>
    <x v="2"/>
    <x v="7"/>
  </r>
  <r>
    <s v="MonthlyTradeStatistics 2018_08.xlsx"/>
    <x v="24"/>
    <n v="292962.96779999998"/>
    <s v="2018_08.xlsx"/>
    <x v="2"/>
    <x v="7"/>
  </r>
  <r>
    <s v="MonthlyTradeStatistics 2018_08.xlsx"/>
    <x v="25"/>
    <n v="14257.352199999999"/>
    <s v="2018_08.xlsx"/>
    <x v="2"/>
    <x v="7"/>
  </r>
  <r>
    <s v="MonthlyTradeStatistics 2018_08.xlsx"/>
    <x v="26"/>
    <n v="13.433299999999999"/>
    <s v="2018_08.xlsx"/>
    <x v="2"/>
    <x v="7"/>
  </r>
  <r>
    <s v="MonthlyTradeStatistics 2018_08.xlsx"/>
    <x v="27"/>
    <n v="237.35079999999999"/>
    <s v="2018_08.xlsx"/>
    <x v="2"/>
    <x v="7"/>
  </r>
  <r>
    <s v="MonthlyTradeStatistics 2018_08.xlsx"/>
    <x v="28"/>
    <n v="473625.69829999999"/>
    <s v="2018_08.xlsx"/>
    <x v="2"/>
    <x v="7"/>
  </r>
  <r>
    <s v="MonthlyTradeStatistics 2018_08.xlsx"/>
    <x v="29"/>
    <n v="385647.63010000001"/>
    <s v="2018_08.xlsx"/>
    <x v="2"/>
    <x v="7"/>
  </r>
  <r>
    <s v="MonthlyTradeStatistics 2018_08.xlsx"/>
    <x v="30"/>
    <n v="414235.01179999998"/>
    <s v="2018_08.xlsx"/>
    <x v="2"/>
    <x v="7"/>
  </r>
  <r>
    <s v="MonthlyTradeStatistics 2018_08.xlsx"/>
    <x v="31"/>
    <n v="878.5068"/>
    <s v="2018_08.xlsx"/>
    <x v="2"/>
    <x v="7"/>
  </r>
  <r>
    <s v="MonthlyTradeStatistics 2018_08.xlsx"/>
    <x v="32"/>
    <n v="50372.4833"/>
    <s v="2018_08.xlsx"/>
    <x v="2"/>
    <x v="7"/>
  </r>
  <r>
    <s v="MonthlyTradeStatistics 2018_08.xlsx"/>
    <x v="33"/>
    <n v="36737.604299999999"/>
    <s v="2018_08.xlsx"/>
    <x v="2"/>
    <x v="7"/>
  </r>
  <r>
    <s v="MonthlyTradeStatistics 2018_08.xlsx"/>
    <x v="34"/>
    <n v="0"/>
    <s v="2018_08.xlsx"/>
    <x v="2"/>
    <x v="7"/>
  </r>
  <r>
    <s v="MonthlyTradeStatistics 2018_08.xlsx"/>
    <x v="35"/>
    <n v="501.87"/>
    <s v="2018_08.xlsx"/>
    <x v="2"/>
    <x v="7"/>
  </r>
  <r>
    <s v="MonthlyTradeStatistics 2018_08.xlsx"/>
    <x v="36"/>
    <n v="387.49169999999998"/>
    <s v="2018_08.xlsx"/>
    <x v="2"/>
    <x v="7"/>
  </r>
  <r>
    <s v="MonthlyTradeStatistics 2018_08.xlsx"/>
    <x v="37"/>
    <n v="226915.56219999999"/>
    <s v="2018_08.xlsx"/>
    <x v="2"/>
    <x v="7"/>
  </r>
  <r>
    <s v="MonthlyTradeStatistics 2018_08.xlsx"/>
    <x v="38"/>
    <n v="312.80369999999999"/>
    <s v="2018_08.xlsx"/>
    <x v="2"/>
    <x v="7"/>
  </r>
  <r>
    <s v="MonthlyTradeStatistics 2018_08.xlsx"/>
    <x v="39"/>
    <n v="171364.8866"/>
    <s v="2018_08.xlsx"/>
    <x v="2"/>
    <x v="7"/>
  </r>
  <r>
    <s v="MonthlyTradeStatistics 2018_08.xlsx"/>
    <x v="40"/>
    <n v="0"/>
    <s v="2018_08.xlsx"/>
    <x v="2"/>
    <x v="7"/>
  </r>
  <r>
    <s v="MonthlyTradeStatistics 2018_08.xlsx"/>
    <x v="41"/>
    <n v="2482.4884999999999"/>
    <s v="2018_08.xlsx"/>
    <x v="2"/>
    <x v="7"/>
  </r>
  <r>
    <s v="MonthlyTradeStatistics 2018_08.xlsx"/>
    <x v="42"/>
    <n v="122897.636"/>
    <s v="2018_08.xlsx"/>
    <x v="2"/>
    <x v="7"/>
  </r>
  <r>
    <s v="MonthlyTradeStatistics 2018_08.xlsx"/>
    <x v="43"/>
    <n v="3.1238000000000001"/>
    <s v="2018_08.xlsx"/>
    <x v="2"/>
    <x v="7"/>
  </r>
  <r>
    <s v="MonthlyTradeStatistics 2018_08.xlsx"/>
    <x v="44"/>
    <n v="512391.19"/>
    <s v="2018_08.xlsx"/>
    <x v="2"/>
    <x v="7"/>
  </r>
  <r>
    <s v="MonthlyTradeStatistics 2018_08.xlsx"/>
    <x v="45"/>
    <n v="655.46820000000002"/>
    <s v="2018_08.xlsx"/>
    <x v="2"/>
    <x v="7"/>
  </r>
  <r>
    <s v="MonthlyTradeStatistics 2018_08.xlsx"/>
    <x v="46"/>
    <n v="42083.803200000002"/>
    <s v="2018_08.xlsx"/>
    <x v="2"/>
    <x v="7"/>
  </r>
  <r>
    <s v="MonthlyTradeStatistics 2018_08.xlsx"/>
    <x v="47"/>
    <n v="1464.2972"/>
    <s v="2018_08.xlsx"/>
    <x v="2"/>
    <x v="7"/>
  </r>
  <r>
    <s v="MonthlyTradeStatistics 2018_08.xlsx"/>
    <x v="48"/>
    <n v="37.1235"/>
    <s v="2018_08.xlsx"/>
    <x v="2"/>
    <x v="7"/>
  </r>
  <r>
    <s v="MonthlyTradeStatistics 2018_08.xlsx"/>
    <x v="49"/>
    <n v="24621.272000000001"/>
    <s v="2018_08.xlsx"/>
    <x v="2"/>
    <x v="7"/>
  </r>
  <r>
    <s v="MonthlyTradeStatistics 2018_08.xlsx"/>
    <x v="50"/>
    <n v="22437.355800000001"/>
    <s v="2018_08.xlsx"/>
    <x v="2"/>
    <x v="7"/>
  </r>
  <r>
    <s v="MonthlyTradeStatistics 2018_08.xlsx"/>
    <x v="51"/>
    <n v="15058.466700000001"/>
    <s v="2018_08.xlsx"/>
    <x v="2"/>
    <x v="7"/>
  </r>
  <r>
    <s v="MonthlyTradeStatistics 2018_08.xlsx"/>
    <x v="52"/>
    <n v="5747.0667000000003"/>
    <s v="2018_08.xlsx"/>
    <x v="2"/>
    <x v="7"/>
  </r>
  <r>
    <s v="MonthlyTradeStatistics 2018_08.xlsx"/>
    <x v="53"/>
    <n v="103.0163"/>
    <s v="2018_08.xlsx"/>
    <x v="2"/>
    <x v="7"/>
  </r>
  <r>
    <s v="MonthlyTradeStatistics 2018_08.xlsx"/>
    <x v="54"/>
    <n v="348952.01"/>
    <s v="2018_08.xlsx"/>
    <x v="2"/>
    <x v="7"/>
  </r>
  <r>
    <s v="MonthlyTradeStatistics 2018_08.xlsx"/>
    <x v="55"/>
    <n v="1530.6433"/>
    <s v="2018_08.xlsx"/>
    <x v="2"/>
    <x v="7"/>
  </r>
  <r>
    <s v="MonthlyTradeStatistics 2018_08.xlsx"/>
    <x v="56"/>
    <n v="2576753.5414999998"/>
    <s v="2018_08.xlsx"/>
    <x v="2"/>
    <x v="7"/>
  </r>
  <r>
    <s v="MonthlyTradeStatistics 2018_08.xlsx"/>
    <x v="57"/>
    <n v="3665.3562000000002"/>
    <s v="2018_08.xlsx"/>
    <x v="2"/>
    <x v="7"/>
  </r>
  <r>
    <s v="MonthlyTradeStatistics 2018_08.xlsx"/>
    <x v="58"/>
    <n v="1774.4174"/>
    <s v="2018_08.xlsx"/>
    <x v="2"/>
    <x v="7"/>
  </r>
  <r>
    <s v="MonthlyTradeStatistics 2018_08.xlsx"/>
    <x v="59"/>
    <n v="18.828499999999998"/>
    <s v="2018_08.xlsx"/>
    <x v="2"/>
    <x v="7"/>
  </r>
  <r>
    <s v="MonthlyTradeStatistics 2018_09.xlsx"/>
    <x v="0"/>
    <n v="9686522.3005999997"/>
    <s v="2018_09.xlsx"/>
    <x v="2"/>
    <x v="8"/>
  </r>
  <r>
    <s v="MonthlyTradeStatistics 2018_09.xlsx"/>
    <x v="1"/>
    <n v="1181345.4380999999"/>
    <s v="2018_09.xlsx"/>
    <x v="2"/>
    <x v="8"/>
  </r>
  <r>
    <s v="MonthlyTradeStatistics 2018_09.xlsx"/>
    <x v="2"/>
    <n v="1911481.8670000001"/>
    <s v="2018_09.xlsx"/>
    <x v="2"/>
    <x v="8"/>
  </r>
  <r>
    <s v="MonthlyTradeStatistics 2018_09.xlsx"/>
    <x v="3"/>
    <n v="3074917.6697999998"/>
    <s v="2018_09.xlsx"/>
    <x v="2"/>
    <x v="8"/>
  </r>
  <r>
    <s v="MonthlyTradeStatistics 2018_09.xlsx"/>
    <x v="4"/>
    <n v="3518777.3256999999"/>
    <s v="2018_09.xlsx"/>
    <x v="2"/>
    <x v="8"/>
  </r>
  <r>
    <s v="MonthlyTradeStatistics 2018_09.xlsx"/>
    <x v="5"/>
    <n v="610"/>
    <s v="2018_09.xlsx"/>
    <x v="2"/>
    <x v="8"/>
  </r>
  <r>
    <s v="MonthlyTradeStatistics 2018_09.xlsx"/>
    <x v="6"/>
    <n v="1674.19"/>
    <s v="2018_09.xlsx"/>
    <x v="2"/>
    <x v="8"/>
  </r>
  <r>
    <s v="MonthlyTradeStatistics 2018_09.xlsx"/>
    <x v="7"/>
    <n v="3150780.2096000002"/>
    <s v="2018_09.xlsx"/>
    <x v="2"/>
    <x v="8"/>
  </r>
  <r>
    <s v="MonthlyTradeStatistics 2018_09.xlsx"/>
    <x v="8"/>
    <n v="21071.5134"/>
    <s v="2018_09.xlsx"/>
    <x v="2"/>
    <x v="8"/>
  </r>
  <r>
    <s v="MonthlyTradeStatistics 2018_09.xlsx"/>
    <x v="9"/>
    <n v="25000"/>
    <s v="2018_09.xlsx"/>
    <x v="2"/>
    <x v="8"/>
  </r>
  <r>
    <s v="MonthlyTradeStatistics 2018_09.xlsx"/>
    <x v="10"/>
    <n v="0"/>
    <s v="2018_09.xlsx"/>
    <x v="2"/>
    <x v="8"/>
  </r>
  <r>
    <s v="MonthlyTradeStatistics 2018_09.xlsx"/>
    <x v="11"/>
    <n v="1104944.4325000001"/>
    <s v="2018_09.xlsx"/>
    <x v="2"/>
    <x v="8"/>
  </r>
  <r>
    <s v="MonthlyTradeStatistics 2018_09.xlsx"/>
    <x v="12"/>
    <n v="0"/>
    <s v="2018_09.xlsx"/>
    <x v="2"/>
    <x v="8"/>
  </r>
  <r>
    <s v="MonthlyTradeStatistics 2018_09.xlsx"/>
    <x v="13"/>
    <n v="45180.985999999997"/>
    <s v="2018_09.xlsx"/>
    <x v="2"/>
    <x v="8"/>
  </r>
  <r>
    <s v="MonthlyTradeStatistics 2018_09.xlsx"/>
    <x v="14"/>
    <n v="117506.16680000001"/>
    <s v="2018_09.xlsx"/>
    <x v="2"/>
    <x v="8"/>
  </r>
  <r>
    <s v="MonthlyTradeStatistics 2018_09.xlsx"/>
    <x v="15"/>
    <n v="1329.0297"/>
    <s v="2018_09.xlsx"/>
    <x v="2"/>
    <x v="8"/>
  </r>
  <r>
    <s v="MonthlyTradeStatistics 2018_09.xlsx"/>
    <x v="16"/>
    <n v="11405"/>
    <s v="2018_09.xlsx"/>
    <x v="2"/>
    <x v="8"/>
  </r>
  <r>
    <s v="MonthlyTradeStatistics 2018_09.xlsx"/>
    <x v="17"/>
    <n v="6922.2347"/>
    <s v="2018_09.xlsx"/>
    <x v="2"/>
    <x v="8"/>
  </r>
  <r>
    <s v="MonthlyTradeStatistics 2018_09.xlsx"/>
    <x v="18"/>
    <n v="43522.839800000002"/>
    <s v="2018_09.xlsx"/>
    <x v="2"/>
    <x v="8"/>
  </r>
  <r>
    <s v="MonthlyTradeStatistics 2018_09.xlsx"/>
    <x v="19"/>
    <n v="25762.343700000001"/>
    <s v="2018_09.xlsx"/>
    <x v="2"/>
    <x v="8"/>
  </r>
  <r>
    <s v="MonthlyTradeStatistics 2018_09.xlsx"/>
    <x v="20"/>
    <n v="2.34"/>
    <s v="2018_09.xlsx"/>
    <x v="2"/>
    <x v="8"/>
  </r>
  <r>
    <s v="MonthlyTradeStatistics 2018_09.xlsx"/>
    <x v="21"/>
    <n v="259363.23329999999"/>
    <s v="2018_09.xlsx"/>
    <x v="2"/>
    <x v="8"/>
  </r>
  <r>
    <s v="MonthlyTradeStatistics 2018_09.xlsx"/>
    <x v="22"/>
    <n v="0.85"/>
    <s v="2018_09.xlsx"/>
    <x v="2"/>
    <x v="8"/>
  </r>
  <r>
    <s v="MonthlyTradeStatistics 2018_09.xlsx"/>
    <x v="23"/>
    <n v="530.86800000000005"/>
    <s v="2018_09.xlsx"/>
    <x v="2"/>
    <x v="8"/>
  </r>
  <r>
    <s v="MonthlyTradeStatistics 2018_09.xlsx"/>
    <x v="24"/>
    <n v="164271.1758"/>
    <s v="2018_09.xlsx"/>
    <x v="2"/>
    <x v="8"/>
  </r>
  <r>
    <s v="MonthlyTradeStatistics 2018_09.xlsx"/>
    <x v="25"/>
    <n v="12594.022199999999"/>
    <s v="2018_09.xlsx"/>
    <x v="2"/>
    <x v="8"/>
  </r>
  <r>
    <s v="MonthlyTradeStatistics 2018_09.xlsx"/>
    <x v="26"/>
    <n v="225.8"/>
    <s v="2018_09.xlsx"/>
    <x v="2"/>
    <x v="8"/>
  </r>
  <r>
    <s v="MonthlyTradeStatistics 2018_09.xlsx"/>
    <x v="27"/>
    <n v="14.6251"/>
    <s v="2018_09.xlsx"/>
    <x v="2"/>
    <x v="8"/>
  </r>
  <r>
    <s v="MonthlyTradeStatistics 2018_09.xlsx"/>
    <x v="28"/>
    <n v="296639.54070000001"/>
    <s v="2018_09.xlsx"/>
    <x v="2"/>
    <x v="8"/>
  </r>
  <r>
    <s v="MonthlyTradeStatistics 2018_09.xlsx"/>
    <x v="29"/>
    <n v="439147.70539999998"/>
    <s v="2018_09.xlsx"/>
    <x v="2"/>
    <x v="8"/>
  </r>
  <r>
    <s v="MonthlyTradeStatistics 2018_09.xlsx"/>
    <x v="30"/>
    <n v="429838.08620000002"/>
    <s v="2018_09.xlsx"/>
    <x v="2"/>
    <x v="8"/>
  </r>
  <r>
    <s v="MonthlyTradeStatistics 2018_09.xlsx"/>
    <x v="31"/>
    <n v="687.92240000000004"/>
    <s v="2018_09.xlsx"/>
    <x v="2"/>
    <x v="8"/>
  </r>
  <r>
    <s v="MonthlyTradeStatistics 2018_09.xlsx"/>
    <x v="32"/>
    <n v="51723.255599999997"/>
    <s v="2018_09.xlsx"/>
    <x v="2"/>
    <x v="8"/>
  </r>
  <r>
    <s v="MonthlyTradeStatistics 2018_09.xlsx"/>
    <x v="33"/>
    <n v="25531.524099999999"/>
    <s v="2018_09.xlsx"/>
    <x v="2"/>
    <x v="8"/>
  </r>
  <r>
    <s v="MonthlyTradeStatistics 2018_09.xlsx"/>
    <x v="34"/>
    <n v="0"/>
    <s v="2018_09.xlsx"/>
    <x v="2"/>
    <x v="8"/>
  </r>
  <r>
    <s v="MonthlyTradeStatistics 2018_09.xlsx"/>
    <x v="35"/>
    <n v="350.32"/>
    <s v="2018_09.xlsx"/>
    <x v="2"/>
    <x v="8"/>
  </r>
  <r>
    <s v="MonthlyTradeStatistics 2018_09.xlsx"/>
    <x v="36"/>
    <n v="636.149"/>
    <s v="2018_09.xlsx"/>
    <x v="2"/>
    <x v="8"/>
  </r>
  <r>
    <s v="MonthlyTradeStatistics 2018_09.xlsx"/>
    <x v="37"/>
    <n v="208422.35740000001"/>
    <s v="2018_09.xlsx"/>
    <x v="2"/>
    <x v="8"/>
  </r>
  <r>
    <s v="MonthlyTradeStatistics 2018_09.xlsx"/>
    <x v="38"/>
    <n v="70.239699999999999"/>
    <s v="2018_09.xlsx"/>
    <x v="2"/>
    <x v="8"/>
  </r>
  <r>
    <s v="MonthlyTradeStatistics 2018_09.xlsx"/>
    <x v="39"/>
    <n v="90929.609100000001"/>
    <s v="2018_09.xlsx"/>
    <x v="2"/>
    <x v="8"/>
  </r>
  <r>
    <s v="MonthlyTradeStatistics 2018_09.xlsx"/>
    <x v="40"/>
    <n v="0"/>
    <s v="2018_09.xlsx"/>
    <x v="2"/>
    <x v="8"/>
  </r>
  <r>
    <s v="MonthlyTradeStatistics 2018_09.xlsx"/>
    <x v="41"/>
    <n v="1160.6033"/>
    <s v="2018_09.xlsx"/>
    <x v="2"/>
    <x v="8"/>
  </r>
  <r>
    <s v="MonthlyTradeStatistics 2018_09.xlsx"/>
    <x v="42"/>
    <n v="103528.01"/>
    <s v="2018_09.xlsx"/>
    <x v="2"/>
    <x v="8"/>
  </r>
  <r>
    <s v="MonthlyTradeStatistics 2018_09.xlsx"/>
    <x v="43"/>
    <n v="0"/>
    <s v="2018_09.xlsx"/>
    <x v="2"/>
    <x v="8"/>
  </r>
  <r>
    <s v="MonthlyTradeStatistics 2018_09.xlsx"/>
    <x v="44"/>
    <n v="568018"/>
    <s v="2018_09.xlsx"/>
    <x v="2"/>
    <x v="8"/>
  </r>
  <r>
    <s v="MonthlyTradeStatistics 2018_09.xlsx"/>
    <x v="45"/>
    <n v="119.66370000000001"/>
    <s v="2018_09.xlsx"/>
    <x v="2"/>
    <x v="8"/>
  </r>
  <r>
    <s v="MonthlyTradeStatistics 2018_09.xlsx"/>
    <x v="46"/>
    <n v="37744.512499999997"/>
    <s v="2018_09.xlsx"/>
    <x v="2"/>
    <x v="8"/>
  </r>
  <r>
    <s v="MonthlyTradeStatistics 2018_09.xlsx"/>
    <x v="47"/>
    <n v="1303.0672"/>
    <s v="2018_09.xlsx"/>
    <x v="2"/>
    <x v="8"/>
  </r>
  <r>
    <s v="MonthlyTradeStatistics 2018_09.xlsx"/>
    <x v="48"/>
    <n v="28.613499999999998"/>
    <s v="2018_09.xlsx"/>
    <x v="2"/>
    <x v="8"/>
  </r>
  <r>
    <s v="MonthlyTradeStatistics 2018_09.xlsx"/>
    <x v="49"/>
    <n v="42839.15"/>
    <s v="2018_09.xlsx"/>
    <x v="2"/>
    <x v="8"/>
  </r>
  <r>
    <s v="MonthlyTradeStatistics 2018_09.xlsx"/>
    <x v="50"/>
    <n v="19402.9879"/>
    <s v="2018_09.xlsx"/>
    <x v="2"/>
    <x v="8"/>
  </r>
  <r>
    <s v="MonthlyTradeStatistics 2018_09.xlsx"/>
    <x v="51"/>
    <n v="20920.5"/>
    <s v="2018_09.xlsx"/>
    <x v="2"/>
    <x v="8"/>
  </r>
  <r>
    <s v="MonthlyTradeStatistics 2018_09.xlsx"/>
    <x v="52"/>
    <n v="44935.916700000002"/>
    <s v="2018_09.xlsx"/>
    <x v="2"/>
    <x v="8"/>
  </r>
  <r>
    <s v="MonthlyTradeStatistics 2018_09.xlsx"/>
    <x v="53"/>
    <n v="196.23830000000001"/>
    <s v="2018_09.xlsx"/>
    <x v="2"/>
    <x v="8"/>
  </r>
  <r>
    <s v="MonthlyTradeStatistics 2018_09.xlsx"/>
    <x v="54"/>
    <n v="293199"/>
    <s v="2018_09.xlsx"/>
    <x v="2"/>
    <x v="8"/>
  </r>
  <r>
    <s v="MonthlyTradeStatistics 2018_09.xlsx"/>
    <x v="55"/>
    <n v="705.77329999999995"/>
    <s v="2018_09.xlsx"/>
    <x v="2"/>
    <x v="8"/>
  </r>
  <r>
    <s v="MonthlyTradeStatistics 2018_09.xlsx"/>
    <x v="56"/>
    <n v="2008470.0544"/>
    <s v="2018_09.xlsx"/>
    <x v="2"/>
    <x v="8"/>
  </r>
  <r>
    <s v="MonthlyTradeStatistics 2018_09.xlsx"/>
    <x v="57"/>
    <n v="3387.2222000000002"/>
    <s v="2018_09.xlsx"/>
    <x v="2"/>
    <x v="8"/>
  </r>
  <r>
    <s v="MonthlyTradeStatistics 2018_09.xlsx"/>
    <x v="58"/>
    <n v="3874.4173999999998"/>
    <s v="2018_09.xlsx"/>
    <x v="2"/>
    <x v="8"/>
  </r>
  <r>
    <s v="MonthlyTradeStatistics 2018_09.xlsx"/>
    <x v="59"/>
    <n v="0"/>
    <s v="2018_09.xlsx"/>
    <x v="2"/>
    <x v="8"/>
  </r>
  <r>
    <s v="MonthlyTradeStatistics 2018_10.xlsx"/>
    <x v="0"/>
    <n v="10397562.096100001"/>
    <s v="2018_10.xlsx"/>
    <x v="2"/>
    <x v="9"/>
  </r>
  <r>
    <s v="MonthlyTradeStatistics 2018_10.xlsx"/>
    <x v="1"/>
    <n v="1153747.2246999999"/>
    <s v="2018_10.xlsx"/>
    <x v="2"/>
    <x v="9"/>
  </r>
  <r>
    <s v="MonthlyTradeStatistics 2018_10.xlsx"/>
    <x v="2"/>
    <n v="1774809.1913999999"/>
    <s v="2018_10.xlsx"/>
    <x v="2"/>
    <x v="9"/>
  </r>
  <r>
    <s v="MonthlyTradeStatistics 2018_10.xlsx"/>
    <x v="3"/>
    <n v="3716639.4062000001"/>
    <s v="2018_10.xlsx"/>
    <x v="2"/>
    <x v="9"/>
  </r>
  <r>
    <s v="MonthlyTradeStatistics 2018_10.xlsx"/>
    <x v="4"/>
    <n v="3752366.2738000001"/>
    <s v="2018_10.xlsx"/>
    <x v="2"/>
    <x v="9"/>
  </r>
  <r>
    <s v="MonthlyTradeStatistics 2018_10.xlsx"/>
    <x v="5"/>
    <n v="1544.3167000000001"/>
    <s v="2018_10.xlsx"/>
    <x v="2"/>
    <x v="9"/>
  </r>
  <r>
    <s v="MonthlyTradeStatistics 2018_10.xlsx"/>
    <x v="6"/>
    <n v="4305.62"/>
    <s v="2018_10.xlsx"/>
    <x v="2"/>
    <x v="9"/>
  </r>
  <r>
    <s v="MonthlyTradeStatistics 2018_10.xlsx"/>
    <x v="7"/>
    <n v="3937859.0506000002"/>
    <s v="2018_10.xlsx"/>
    <x v="2"/>
    <x v="9"/>
  </r>
  <r>
    <s v="MonthlyTradeStatistics 2018_10.xlsx"/>
    <x v="8"/>
    <n v="38971.85"/>
    <s v="2018_10.xlsx"/>
    <x v="2"/>
    <x v="9"/>
  </r>
  <r>
    <s v="MonthlyTradeStatistics 2018_10.xlsx"/>
    <x v="9"/>
    <n v="13973.3333"/>
    <s v="2018_10.xlsx"/>
    <x v="2"/>
    <x v="9"/>
  </r>
  <r>
    <s v="MonthlyTradeStatistics 2018_10.xlsx"/>
    <x v="10"/>
    <n v="0"/>
    <s v="2018_10.xlsx"/>
    <x v="2"/>
    <x v="9"/>
  </r>
  <r>
    <s v="MonthlyTradeStatistics 2018_10.xlsx"/>
    <x v="11"/>
    <n v="1063521.4783999999"/>
    <s v="2018_10.xlsx"/>
    <x v="2"/>
    <x v="9"/>
  </r>
  <r>
    <s v="MonthlyTradeStatistics 2018_10.xlsx"/>
    <x v="12"/>
    <n v="0"/>
    <s v="2018_10.xlsx"/>
    <x v="2"/>
    <x v="9"/>
  </r>
  <r>
    <s v="MonthlyTradeStatistics 2018_10.xlsx"/>
    <x v="13"/>
    <n v="35018.663200000003"/>
    <s v="2018_10.xlsx"/>
    <x v="2"/>
    <x v="9"/>
  </r>
  <r>
    <s v="MonthlyTradeStatistics 2018_10.xlsx"/>
    <x v="14"/>
    <n v="170789.76199999999"/>
    <s v="2018_10.xlsx"/>
    <x v="2"/>
    <x v="9"/>
  </r>
  <r>
    <s v="MonthlyTradeStatistics 2018_10.xlsx"/>
    <x v="15"/>
    <n v="3759.7937000000002"/>
    <s v="2018_10.xlsx"/>
    <x v="2"/>
    <x v="9"/>
  </r>
  <r>
    <s v="MonthlyTradeStatistics 2018_10.xlsx"/>
    <x v="16"/>
    <n v="7116.6666999999998"/>
    <s v="2018_10.xlsx"/>
    <x v="2"/>
    <x v="9"/>
  </r>
  <r>
    <s v="MonthlyTradeStatistics 2018_10.xlsx"/>
    <x v="17"/>
    <n v="3253.7251000000001"/>
    <s v="2018_10.xlsx"/>
    <x v="2"/>
    <x v="9"/>
  </r>
  <r>
    <s v="MonthlyTradeStatistics 2018_10.xlsx"/>
    <x v="18"/>
    <n v="42224.839800000002"/>
    <s v="2018_10.xlsx"/>
    <x v="2"/>
    <x v="9"/>
  </r>
  <r>
    <s v="MonthlyTradeStatistics 2018_10.xlsx"/>
    <x v="19"/>
    <n v="14475.833199999999"/>
    <s v="2018_10.xlsx"/>
    <x v="2"/>
    <x v="9"/>
  </r>
  <r>
    <s v="MonthlyTradeStatistics 2018_10.xlsx"/>
    <x v="20"/>
    <n v="2.34"/>
    <s v="2018_10.xlsx"/>
    <x v="2"/>
    <x v="9"/>
  </r>
  <r>
    <s v="MonthlyTradeStatistics 2018_10.xlsx"/>
    <x v="21"/>
    <n v="363702.37"/>
    <s v="2018_10.xlsx"/>
    <x v="2"/>
    <x v="9"/>
  </r>
  <r>
    <s v="MonthlyTradeStatistics 2018_10.xlsx"/>
    <x v="22"/>
    <n v="0.85"/>
    <s v="2018_10.xlsx"/>
    <x v="2"/>
    <x v="9"/>
  </r>
  <r>
    <s v="MonthlyTradeStatistics 2018_10.xlsx"/>
    <x v="23"/>
    <n v="1126.6277"/>
    <s v="2018_10.xlsx"/>
    <x v="2"/>
    <x v="9"/>
  </r>
  <r>
    <s v="MonthlyTradeStatistics 2018_10.xlsx"/>
    <x v="24"/>
    <n v="76489.879700000005"/>
    <s v="2018_10.xlsx"/>
    <x v="2"/>
    <x v="9"/>
  </r>
  <r>
    <s v="MonthlyTradeStatistics 2018_10.xlsx"/>
    <x v="25"/>
    <n v="14354.680200000001"/>
    <s v="2018_10.xlsx"/>
    <x v="2"/>
    <x v="9"/>
  </r>
  <r>
    <s v="MonthlyTradeStatistics 2018_10.xlsx"/>
    <x v="26"/>
    <n v="93.8733"/>
    <s v="2018_10.xlsx"/>
    <x v="2"/>
    <x v="9"/>
  </r>
  <r>
    <s v="MonthlyTradeStatistics 2018_10.xlsx"/>
    <x v="27"/>
    <n v="6.3308"/>
    <s v="2018_10.xlsx"/>
    <x v="2"/>
    <x v="9"/>
  </r>
  <r>
    <s v="MonthlyTradeStatistics 2018_10.xlsx"/>
    <x v="28"/>
    <n v="101053.145"/>
    <s v="2018_10.xlsx"/>
    <x v="2"/>
    <x v="9"/>
  </r>
  <r>
    <s v="MonthlyTradeStatistics 2018_10.xlsx"/>
    <x v="29"/>
    <n v="358942.45319999999"/>
    <s v="2018_10.xlsx"/>
    <x v="2"/>
    <x v="9"/>
  </r>
  <r>
    <s v="MonthlyTradeStatistics 2018_10.xlsx"/>
    <x v="30"/>
    <n v="168985.2078"/>
    <s v="2018_10.xlsx"/>
    <x v="2"/>
    <x v="9"/>
  </r>
  <r>
    <s v="MonthlyTradeStatistics 2018_10.xlsx"/>
    <x v="31"/>
    <n v="1063.2615000000001"/>
    <s v="2018_10.xlsx"/>
    <x v="2"/>
    <x v="9"/>
  </r>
  <r>
    <s v="MonthlyTradeStatistics 2018_10.xlsx"/>
    <x v="32"/>
    <n v="56480.652300000002"/>
    <s v="2018_10.xlsx"/>
    <x v="2"/>
    <x v="9"/>
  </r>
  <r>
    <s v="MonthlyTradeStatistics 2018_10.xlsx"/>
    <x v="33"/>
    <n v="20761.1554"/>
    <s v="2018_10.xlsx"/>
    <x v="2"/>
    <x v="9"/>
  </r>
  <r>
    <s v="MonthlyTradeStatistics 2018_10.xlsx"/>
    <x v="34"/>
    <n v="30"/>
    <s v="2018_10.xlsx"/>
    <x v="2"/>
    <x v="9"/>
  </r>
  <r>
    <s v="MonthlyTradeStatistics 2018_10.xlsx"/>
    <x v="35"/>
    <n v="341.99"/>
    <s v="2018_10.xlsx"/>
    <x v="2"/>
    <x v="9"/>
  </r>
  <r>
    <s v="MonthlyTradeStatistics 2018_10.xlsx"/>
    <x v="36"/>
    <n v="437.49169999999998"/>
    <s v="2018_10.xlsx"/>
    <x v="2"/>
    <x v="9"/>
  </r>
  <r>
    <s v="MonthlyTradeStatistics 2018_10.xlsx"/>
    <x v="37"/>
    <n v="189131.15410000001"/>
    <s v="2018_10.xlsx"/>
    <x v="2"/>
    <x v="9"/>
  </r>
  <r>
    <s v="MonthlyTradeStatistics 2018_10.xlsx"/>
    <x v="38"/>
    <n v="138.90700000000001"/>
    <s v="2018_10.xlsx"/>
    <x v="2"/>
    <x v="9"/>
  </r>
  <r>
    <s v="MonthlyTradeStatistics 2018_10.xlsx"/>
    <x v="39"/>
    <n v="46261.814899999998"/>
    <s v="2018_10.xlsx"/>
    <x v="2"/>
    <x v="9"/>
  </r>
  <r>
    <s v="MonthlyTradeStatistics 2018_10.xlsx"/>
    <x v="40"/>
    <n v="0"/>
    <s v="2018_10.xlsx"/>
    <x v="2"/>
    <x v="9"/>
  </r>
  <r>
    <s v="MonthlyTradeStatistics 2018_10.xlsx"/>
    <x v="41"/>
    <n v="16779.473000000002"/>
    <s v="2018_10.xlsx"/>
    <x v="2"/>
    <x v="9"/>
  </r>
  <r>
    <s v="MonthlyTradeStatistics 2018_10.xlsx"/>
    <x v="42"/>
    <n v="98757.599000000002"/>
    <s v="2018_10.xlsx"/>
    <x v="2"/>
    <x v="9"/>
  </r>
  <r>
    <s v="MonthlyTradeStatistics 2018_10.xlsx"/>
    <x v="43"/>
    <n v="2.0825"/>
    <s v="2018_10.xlsx"/>
    <x v="2"/>
    <x v="9"/>
  </r>
  <r>
    <s v="MonthlyTradeStatistics 2018_10.xlsx"/>
    <x v="44"/>
    <n v="741188.62"/>
    <s v="2018_10.xlsx"/>
    <x v="2"/>
    <x v="9"/>
  </r>
  <r>
    <s v="MonthlyTradeStatistics 2018_10.xlsx"/>
    <x v="45"/>
    <n v="397.8"/>
    <s v="2018_10.xlsx"/>
    <x v="2"/>
    <x v="9"/>
  </r>
  <r>
    <s v="MonthlyTradeStatistics 2018_10.xlsx"/>
    <x v="46"/>
    <n v="48201.408799999997"/>
    <s v="2018_10.xlsx"/>
    <x v="2"/>
    <x v="9"/>
  </r>
  <r>
    <s v="MonthlyTradeStatistics 2018_10.xlsx"/>
    <x v="47"/>
    <n v="1473.8972000000001"/>
    <s v="2018_10.xlsx"/>
    <x v="2"/>
    <x v="9"/>
  </r>
  <r>
    <s v="MonthlyTradeStatistics 2018_10.xlsx"/>
    <x v="48"/>
    <n v="30.077200000000001"/>
    <s v="2018_10.xlsx"/>
    <x v="2"/>
    <x v="9"/>
  </r>
  <r>
    <s v="MonthlyTradeStatistics 2018_10.xlsx"/>
    <x v="49"/>
    <n v="46668.567999999999"/>
    <s v="2018_10.xlsx"/>
    <x v="2"/>
    <x v="9"/>
  </r>
  <r>
    <s v="MonthlyTradeStatistics 2018_10.xlsx"/>
    <x v="50"/>
    <n v="24553.8472"/>
    <s v="2018_10.xlsx"/>
    <x v="2"/>
    <x v="9"/>
  </r>
  <r>
    <s v="MonthlyTradeStatistics 2018_10.xlsx"/>
    <x v="51"/>
    <n v="26041.7333"/>
    <s v="2018_10.xlsx"/>
    <x v="2"/>
    <x v="9"/>
  </r>
  <r>
    <s v="MonthlyTradeStatistics 2018_10.xlsx"/>
    <x v="52"/>
    <n v="0"/>
    <s v="2018_10.xlsx"/>
    <x v="2"/>
    <x v="9"/>
  </r>
  <r>
    <s v="MonthlyTradeStatistics 2018_10.xlsx"/>
    <x v="53"/>
    <n v="155.58080000000001"/>
    <s v="2018_10.xlsx"/>
    <x v="2"/>
    <x v="9"/>
  </r>
  <r>
    <s v="MonthlyTradeStatistics 2018_10.xlsx"/>
    <x v="54"/>
    <n v="350742.99"/>
    <s v="2018_10.xlsx"/>
    <x v="2"/>
    <x v="9"/>
  </r>
  <r>
    <s v="MonthlyTradeStatistics 2018_10.xlsx"/>
    <x v="55"/>
    <n v="30.383299999999998"/>
    <s v="2018_10.xlsx"/>
    <x v="2"/>
    <x v="9"/>
  </r>
  <r>
    <s v="MonthlyTradeStatistics 2018_10.xlsx"/>
    <x v="56"/>
    <n v="2299875.7296000002"/>
    <s v="2018_10.xlsx"/>
    <x v="2"/>
    <x v="9"/>
  </r>
  <r>
    <s v="MonthlyTradeStatistics 2018_10.xlsx"/>
    <x v="57"/>
    <n v="4077.6922"/>
    <s v="2018_10.xlsx"/>
    <x v="2"/>
    <x v="9"/>
  </r>
  <r>
    <s v="MonthlyTradeStatistics 2018_10.xlsx"/>
    <x v="58"/>
    <n v="2045.4174"/>
    <s v="2018_10.xlsx"/>
    <x v="2"/>
    <x v="9"/>
  </r>
  <r>
    <s v="MonthlyTradeStatistics 2018_10.xlsx"/>
    <x v="59"/>
    <n v="320.07929999999999"/>
    <s v="2018_10.xlsx"/>
    <x v="2"/>
    <x v="9"/>
  </r>
  <r>
    <s v="MonthlyTradeStatistics 2018_11.xlsx"/>
    <x v="0"/>
    <n v="10352191.1205"/>
    <s v="2018_11.xlsx"/>
    <x v="2"/>
    <x v="10"/>
  </r>
  <r>
    <s v="MonthlyTradeStatistics 2018_11.xlsx"/>
    <x v="1"/>
    <n v="1391546.9731999999"/>
    <s v="2018_11.xlsx"/>
    <x v="2"/>
    <x v="10"/>
  </r>
  <r>
    <s v="MonthlyTradeStatistics 2018_11.xlsx"/>
    <x v="2"/>
    <n v="1525949.6232"/>
    <s v="2018_11.xlsx"/>
    <x v="2"/>
    <x v="10"/>
  </r>
  <r>
    <s v="MonthlyTradeStatistics 2018_11.xlsx"/>
    <x v="3"/>
    <n v="3794471.8574999999"/>
    <s v="2018_11.xlsx"/>
    <x v="2"/>
    <x v="10"/>
  </r>
  <r>
    <s v="MonthlyTradeStatistics 2018_11.xlsx"/>
    <x v="4"/>
    <n v="3640222.6666000001"/>
    <s v="2018_11.xlsx"/>
    <x v="2"/>
    <x v="10"/>
  </r>
  <r>
    <s v="MonthlyTradeStatistics 2018_11.xlsx"/>
    <x v="5"/>
    <n v="632.75"/>
    <s v="2018_11.xlsx"/>
    <x v="2"/>
    <x v="10"/>
  </r>
  <r>
    <s v="MonthlyTradeStatistics 2018_11.xlsx"/>
    <x v="6"/>
    <n v="3879.17"/>
    <s v="2018_11.xlsx"/>
    <x v="2"/>
    <x v="10"/>
  </r>
  <r>
    <s v="MonthlyTradeStatistics 2018_11.xlsx"/>
    <x v="7"/>
    <n v="3902855.5162"/>
    <s v="2018_11.xlsx"/>
    <x v="2"/>
    <x v="10"/>
  </r>
  <r>
    <s v="MonthlyTradeStatistics 2018_11.xlsx"/>
    <x v="8"/>
    <n v="50457.840700000001"/>
    <s v="2018_11.xlsx"/>
    <x v="2"/>
    <x v="10"/>
  </r>
  <r>
    <s v="MonthlyTradeStatistics 2018_11.xlsx"/>
    <x v="9"/>
    <n v="2678.67"/>
    <s v="2018_11.xlsx"/>
    <x v="2"/>
    <x v="10"/>
  </r>
  <r>
    <s v="MonthlyTradeStatistics 2018_11.xlsx"/>
    <x v="10"/>
    <n v="0"/>
    <s v="2018_11.xlsx"/>
    <x v="2"/>
    <x v="10"/>
  </r>
  <r>
    <s v="MonthlyTradeStatistics 2018_11.xlsx"/>
    <x v="11"/>
    <n v="1239136.4805999999"/>
    <s v="2018_11.xlsx"/>
    <x v="2"/>
    <x v="10"/>
  </r>
  <r>
    <s v="MonthlyTradeStatistics 2018_11.xlsx"/>
    <x v="12"/>
    <n v="0"/>
    <s v="2018_11.xlsx"/>
    <x v="2"/>
    <x v="10"/>
  </r>
  <r>
    <s v="MonthlyTradeStatistics 2018_11.xlsx"/>
    <x v="13"/>
    <n v="27840.792799999999"/>
    <s v="2018_11.xlsx"/>
    <x v="2"/>
    <x v="10"/>
  </r>
  <r>
    <s v="MonthlyTradeStatistics 2018_11.xlsx"/>
    <x v="14"/>
    <n v="233875.46"/>
    <s v="2018_11.xlsx"/>
    <x v="2"/>
    <x v="10"/>
  </r>
  <r>
    <s v="MonthlyTradeStatistics 2018_11.xlsx"/>
    <x v="15"/>
    <n v="1612.6177"/>
    <s v="2018_11.xlsx"/>
    <x v="2"/>
    <x v="10"/>
  </r>
  <r>
    <s v="MonthlyTradeStatistics 2018_11.xlsx"/>
    <x v="16"/>
    <n v="15740"/>
    <s v="2018_11.xlsx"/>
    <x v="2"/>
    <x v="10"/>
  </r>
  <r>
    <s v="MonthlyTradeStatistics 2018_11.xlsx"/>
    <x v="17"/>
    <n v="2203.759"/>
    <s v="2018_11.xlsx"/>
    <x v="2"/>
    <x v="10"/>
  </r>
  <r>
    <s v="MonthlyTradeStatistics 2018_11.xlsx"/>
    <x v="18"/>
    <n v="41449.727599999998"/>
    <s v="2018_11.xlsx"/>
    <x v="2"/>
    <x v="10"/>
  </r>
  <r>
    <s v="MonthlyTradeStatistics 2018_11.xlsx"/>
    <x v="19"/>
    <n v="5699.0995000000003"/>
    <s v="2018_11.xlsx"/>
    <x v="2"/>
    <x v="10"/>
  </r>
  <r>
    <s v="MonthlyTradeStatistics 2018_11.xlsx"/>
    <x v="20"/>
    <n v="2.34"/>
    <s v="2018_11.xlsx"/>
    <x v="2"/>
    <x v="10"/>
  </r>
  <r>
    <s v="MonthlyTradeStatistics 2018_11.xlsx"/>
    <x v="21"/>
    <n v="233457.86660000001"/>
    <s v="2018_11.xlsx"/>
    <x v="2"/>
    <x v="10"/>
  </r>
  <r>
    <s v="MonthlyTradeStatistics 2018_11.xlsx"/>
    <x v="22"/>
    <n v="0.85"/>
    <s v="2018_11.xlsx"/>
    <x v="2"/>
    <x v="10"/>
  </r>
  <r>
    <s v="MonthlyTradeStatistics 2018_11.xlsx"/>
    <x v="23"/>
    <n v="1600.482"/>
    <s v="2018_11.xlsx"/>
    <x v="2"/>
    <x v="10"/>
  </r>
  <r>
    <s v="MonthlyTradeStatistics 2018_11.xlsx"/>
    <x v="24"/>
    <n v="59448.616499999996"/>
    <s v="2018_11.xlsx"/>
    <x v="2"/>
    <x v="10"/>
  </r>
  <r>
    <s v="MonthlyTradeStatistics 2018_11.xlsx"/>
    <x v="25"/>
    <n v="12775.022199999999"/>
    <s v="2018_11.xlsx"/>
    <x v="2"/>
    <x v="10"/>
  </r>
  <r>
    <s v="MonthlyTradeStatistics 2018_11.xlsx"/>
    <x v="26"/>
    <n v="272.35000000000002"/>
    <s v="2018_11.xlsx"/>
    <x v="2"/>
    <x v="10"/>
  </r>
  <r>
    <s v="MonthlyTradeStatistics 2018_11.xlsx"/>
    <x v="27"/>
    <n v="332.7826"/>
    <s v="2018_11.xlsx"/>
    <x v="2"/>
    <x v="10"/>
  </r>
  <r>
    <s v="MonthlyTradeStatistics 2018_11.xlsx"/>
    <x v="28"/>
    <n v="113896.47530000001"/>
    <s v="2018_11.xlsx"/>
    <x v="2"/>
    <x v="10"/>
  </r>
  <r>
    <s v="MonthlyTradeStatistics 2018_11.xlsx"/>
    <x v="29"/>
    <n v="365162.78419999999"/>
    <s v="2018_11.xlsx"/>
    <x v="2"/>
    <x v="10"/>
  </r>
  <r>
    <s v="MonthlyTradeStatistics 2018_11.xlsx"/>
    <x v="30"/>
    <n v="204376.7218"/>
    <s v="2018_11.xlsx"/>
    <x v="2"/>
    <x v="10"/>
  </r>
  <r>
    <s v="MonthlyTradeStatistics 2018_11.xlsx"/>
    <x v="31"/>
    <n v="463.04020000000003"/>
    <s v="2018_11.xlsx"/>
    <x v="2"/>
    <x v="10"/>
  </r>
  <r>
    <s v="MonthlyTradeStatistics 2018_11.xlsx"/>
    <x v="32"/>
    <n v="72962.272599999997"/>
    <s v="2018_11.xlsx"/>
    <x v="2"/>
    <x v="10"/>
  </r>
  <r>
    <s v="MonthlyTradeStatistics 2018_11.xlsx"/>
    <x v="33"/>
    <n v="20860.428800000002"/>
    <s v="2018_11.xlsx"/>
    <x v="2"/>
    <x v="10"/>
  </r>
  <r>
    <s v="MonthlyTradeStatistics 2018_11.xlsx"/>
    <x v="34"/>
    <n v="0"/>
    <s v="2018_11.xlsx"/>
    <x v="2"/>
    <x v="10"/>
  </r>
  <r>
    <s v="MonthlyTradeStatistics 2018_11.xlsx"/>
    <x v="35"/>
    <n v="45.32"/>
    <s v="2018_11.xlsx"/>
    <x v="2"/>
    <x v="10"/>
  </r>
  <r>
    <s v="MonthlyTradeStatistics 2018_11.xlsx"/>
    <x v="36"/>
    <n v="709.1617"/>
    <s v="2018_11.xlsx"/>
    <x v="2"/>
    <x v="10"/>
  </r>
  <r>
    <s v="MonthlyTradeStatistics 2018_11.xlsx"/>
    <x v="37"/>
    <n v="138961.5459"/>
    <s v="2018_11.xlsx"/>
    <x v="2"/>
    <x v="10"/>
  </r>
  <r>
    <s v="MonthlyTradeStatistics 2018_11.xlsx"/>
    <x v="38"/>
    <n v="151.39699999999999"/>
    <s v="2018_11.xlsx"/>
    <x v="2"/>
    <x v="10"/>
  </r>
  <r>
    <s v="MonthlyTradeStatistics 2018_11.xlsx"/>
    <x v="39"/>
    <n v="47918.800999999999"/>
    <s v="2018_11.xlsx"/>
    <x v="2"/>
    <x v="10"/>
  </r>
  <r>
    <s v="MonthlyTradeStatistics 2018_11.xlsx"/>
    <x v="40"/>
    <n v="0"/>
    <s v="2018_11.xlsx"/>
    <x v="2"/>
    <x v="10"/>
  </r>
  <r>
    <s v="MonthlyTradeStatistics 2018_11.xlsx"/>
    <x v="41"/>
    <n v="185.6643"/>
    <s v="2018_11.xlsx"/>
    <x v="2"/>
    <x v="10"/>
  </r>
  <r>
    <s v="MonthlyTradeStatistics 2018_11.xlsx"/>
    <x v="42"/>
    <n v="102934.74"/>
    <s v="2018_11.xlsx"/>
    <x v="2"/>
    <x v="10"/>
  </r>
  <r>
    <s v="MonthlyTradeStatistics 2018_11.xlsx"/>
    <x v="43"/>
    <n v="0"/>
    <s v="2018_11.xlsx"/>
    <x v="2"/>
    <x v="10"/>
  </r>
  <r>
    <s v="MonthlyTradeStatistics 2018_11.xlsx"/>
    <x v="44"/>
    <n v="582738"/>
    <s v="2018_11.xlsx"/>
    <x v="2"/>
    <x v="10"/>
  </r>
  <r>
    <s v="MonthlyTradeStatistics 2018_11.xlsx"/>
    <x v="45"/>
    <n v="638.53800000000001"/>
    <s v="2018_11.xlsx"/>
    <x v="2"/>
    <x v="10"/>
  </r>
  <r>
    <s v="MonthlyTradeStatistics 2018_11.xlsx"/>
    <x v="46"/>
    <n v="35952.171699999999"/>
    <s v="2018_11.xlsx"/>
    <x v="2"/>
    <x v="10"/>
  </r>
  <r>
    <s v="MonthlyTradeStatistics 2018_11.xlsx"/>
    <x v="47"/>
    <n v="1541.3972000000001"/>
    <s v="2018_11.xlsx"/>
    <x v="2"/>
    <x v="10"/>
  </r>
  <r>
    <s v="MonthlyTradeStatistics 2018_11.xlsx"/>
    <x v="48"/>
    <n v="30.286000000000001"/>
    <s v="2018_11.xlsx"/>
    <x v="2"/>
    <x v="10"/>
  </r>
  <r>
    <s v="MonthlyTradeStatistics 2018_11.xlsx"/>
    <x v="49"/>
    <n v="101290.27"/>
    <s v="2018_11.xlsx"/>
    <x v="2"/>
    <x v="10"/>
  </r>
  <r>
    <s v="MonthlyTradeStatistics 2018_11.xlsx"/>
    <x v="50"/>
    <n v="15441.5717"/>
    <s v="2018_11.xlsx"/>
    <x v="2"/>
    <x v="10"/>
  </r>
  <r>
    <s v="MonthlyTradeStatistics 2018_11.xlsx"/>
    <x v="51"/>
    <n v="12603.8"/>
    <s v="2018_11.xlsx"/>
    <x v="2"/>
    <x v="10"/>
  </r>
  <r>
    <s v="MonthlyTradeStatistics 2018_11.xlsx"/>
    <x v="52"/>
    <n v="1589"/>
    <s v="2018_11.xlsx"/>
    <x v="2"/>
    <x v="10"/>
  </r>
  <r>
    <s v="MonthlyTradeStatistics 2018_11.xlsx"/>
    <x v="53"/>
    <n v="106.9834"/>
    <s v="2018_11.xlsx"/>
    <x v="2"/>
    <x v="10"/>
  </r>
  <r>
    <s v="MonthlyTradeStatistics 2018_11.xlsx"/>
    <x v="54"/>
    <n v="410240"/>
    <s v="2018_11.xlsx"/>
    <x v="2"/>
    <x v="10"/>
  </r>
  <r>
    <s v="MonthlyTradeStatistics 2018_11.xlsx"/>
    <x v="55"/>
    <n v="30.305299999999999"/>
    <s v="2018_11.xlsx"/>
    <x v="2"/>
    <x v="10"/>
  </r>
  <r>
    <s v="MonthlyTradeStatistics 2018_11.xlsx"/>
    <x v="56"/>
    <n v="2278219.2014000001"/>
    <s v="2018_11.xlsx"/>
    <x v="2"/>
    <x v="10"/>
  </r>
  <r>
    <s v="MonthlyTradeStatistics 2018_11.xlsx"/>
    <x v="57"/>
    <n v="4553.9422000000004"/>
    <s v="2018_11.xlsx"/>
    <x v="2"/>
    <x v="10"/>
  </r>
  <r>
    <s v="MonthlyTradeStatistics 2018_11.xlsx"/>
    <x v="58"/>
    <n v="1837.7274"/>
    <s v="2018_11.xlsx"/>
    <x v="2"/>
    <x v="10"/>
  </r>
  <r>
    <s v="MonthlyTradeStatistics 2018_11.xlsx"/>
    <x v="59"/>
    <n v="797.37940000000003"/>
    <s v="2018_11.xlsx"/>
    <x v="2"/>
    <x v="10"/>
  </r>
  <r>
    <s v="MonthlyTradeStatistics 2018_12.xlsx"/>
    <x v="0"/>
    <n v="10874896.1951"/>
    <s v="2018_12.xlsx"/>
    <x v="2"/>
    <x v="11"/>
  </r>
  <r>
    <s v="MonthlyTradeStatistics 2018_12.xlsx"/>
    <x v="1"/>
    <n v="1425664.4752"/>
    <s v="2018_12.xlsx"/>
    <x v="2"/>
    <x v="11"/>
  </r>
  <r>
    <s v="MonthlyTradeStatistics 2018_12.xlsx"/>
    <x v="2"/>
    <n v="1696659.3136"/>
    <s v="2018_12.xlsx"/>
    <x v="2"/>
    <x v="11"/>
  </r>
  <r>
    <s v="MonthlyTradeStatistics 2018_12.xlsx"/>
    <x v="3"/>
    <n v="3903927.3339"/>
    <s v="2018_12.xlsx"/>
    <x v="2"/>
    <x v="11"/>
  </r>
  <r>
    <s v="MonthlyTradeStatistics 2018_12.xlsx"/>
    <x v="4"/>
    <n v="3848645.0723999999"/>
    <s v="2018_12.xlsx"/>
    <x v="2"/>
    <x v="11"/>
  </r>
  <r>
    <s v="MonthlyTradeStatistics 2018_12.xlsx"/>
    <x v="5"/>
    <n v="18.329999999999998"/>
    <s v="2018_12.xlsx"/>
    <x v="2"/>
    <x v="11"/>
  </r>
  <r>
    <s v="MonthlyTradeStatistics 2018_12.xlsx"/>
    <x v="6"/>
    <n v="3909.01"/>
    <s v="2018_12.xlsx"/>
    <x v="2"/>
    <x v="11"/>
  </r>
  <r>
    <s v="MonthlyTradeStatistics 2018_12.xlsx"/>
    <x v="7"/>
    <n v="4004539.2878"/>
    <s v="2018_12.xlsx"/>
    <x v="2"/>
    <x v="11"/>
  </r>
  <r>
    <s v="MonthlyTradeStatistics 2018_12.xlsx"/>
    <x v="8"/>
    <n v="51366.580900000001"/>
    <s v="2018_12.xlsx"/>
    <x v="2"/>
    <x v="11"/>
  </r>
  <r>
    <s v="MonthlyTradeStatistics 2018_12.xlsx"/>
    <x v="9"/>
    <n v="4736.33"/>
    <s v="2018_12.xlsx"/>
    <x v="2"/>
    <x v="11"/>
  </r>
  <r>
    <s v="MonthlyTradeStatistics 2018_12.xlsx"/>
    <x v="10"/>
    <n v="0"/>
    <s v="2018_12.xlsx"/>
    <x v="2"/>
    <x v="11"/>
  </r>
  <r>
    <s v="MonthlyTradeStatistics 2018_12.xlsx"/>
    <x v="11"/>
    <n v="1287455.8085"/>
    <s v="2018_12.xlsx"/>
    <x v="2"/>
    <x v="11"/>
  </r>
  <r>
    <s v="MonthlyTradeStatistics 2018_12.xlsx"/>
    <x v="12"/>
    <n v="0"/>
    <s v="2018_12.xlsx"/>
    <x v="2"/>
    <x v="11"/>
  </r>
  <r>
    <s v="MonthlyTradeStatistics 2018_12.xlsx"/>
    <x v="13"/>
    <n v="30857.7359"/>
    <s v="2018_12.xlsx"/>
    <x v="2"/>
    <x v="11"/>
  </r>
  <r>
    <s v="MonthlyTradeStatistics 2018_12.xlsx"/>
    <x v="14"/>
    <n v="17032.716899999999"/>
    <s v="2018_12.xlsx"/>
    <x v="2"/>
    <x v="11"/>
  </r>
  <r>
    <s v="MonthlyTradeStatistics 2018_12.xlsx"/>
    <x v="15"/>
    <n v="736.63919999999996"/>
    <s v="2018_12.xlsx"/>
    <x v="2"/>
    <x v="11"/>
  </r>
  <r>
    <s v="MonthlyTradeStatistics 2018_12.xlsx"/>
    <x v="16"/>
    <n v="10360"/>
    <s v="2018_12.xlsx"/>
    <x v="2"/>
    <x v="11"/>
  </r>
  <r>
    <s v="MonthlyTradeStatistics 2018_12.xlsx"/>
    <x v="17"/>
    <n v="486.87520000000001"/>
    <s v="2018_12.xlsx"/>
    <x v="2"/>
    <x v="11"/>
  </r>
  <r>
    <s v="MonthlyTradeStatistics 2018_12.xlsx"/>
    <x v="18"/>
    <n v="43161.823299999996"/>
    <s v="2018_12.xlsx"/>
    <x v="2"/>
    <x v="11"/>
  </r>
  <r>
    <s v="MonthlyTradeStatistics 2018_12.xlsx"/>
    <x v="19"/>
    <n v="26077.962800000001"/>
    <s v="2018_12.xlsx"/>
    <x v="2"/>
    <x v="11"/>
  </r>
  <r>
    <s v="MonthlyTradeStatistics 2018_12.xlsx"/>
    <x v="20"/>
    <n v="2.34"/>
    <s v="2018_12.xlsx"/>
    <x v="2"/>
    <x v="11"/>
  </r>
  <r>
    <s v="MonthlyTradeStatistics 2018_12.xlsx"/>
    <x v="21"/>
    <n v="209494.65"/>
    <s v="2018_12.xlsx"/>
    <x v="2"/>
    <x v="11"/>
  </r>
  <r>
    <s v="MonthlyTradeStatistics 2018_12.xlsx"/>
    <x v="22"/>
    <n v="0.85"/>
    <s v="2018_12.xlsx"/>
    <x v="2"/>
    <x v="11"/>
  </r>
  <r>
    <s v="MonthlyTradeStatistics 2018_12.xlsx"/>
    <x v="23"/>
    <n v="654.57169999999996"/>
    <s v="2018_12.xlsx"/>
    <x v="2"/>
    <x v="11"/>
  </r>
  <r>
    <s v="MonthlyTradeStatistics 2018_12.xlsx"/>
    <x v="24"/>
    <n v="138547.5552"/>
    <s v="2018_12.xlsx"/>
    <x v="2"/>
    <x v="11"/>
  </r>
  <r>
    <s v="MonthlyTradeStatistics 2018_12.xlsx"/>
    <x v="25"/>
    <n v="12294.022199999999"/>
    <s v="2018_12.xlsx"/>
    <x v="2"/>
    <x v="11"/>
  </r>
  <r>
    <s v="MonthlyTradeStatistics 2018_12.xlsx"/>
    <x v="26"/>
    <n v="179.84"/>
    <s v="2018_12.xlsx"/>
    <x v="2"/>
    <x v="11"/>
  </r>
  <r>
    <s v="MonthlyTradeStatistics 2018_12.xlsx"/>
    <x v="27"/>
    <n v="11.0608"/>
    <s v="2018_12.xlsx"/>
    <x v="2"/>
    <x v="11"/>
  </r>
  <r>
    <s v="MonthlyTradeStatistics 2018_12.xlsx"/>
    <x v="28"/>
    <n v="354121.15600000002"/>
    <s v="2018_12.xlsx"/>
    <x v="2"/>
    <x v="11"/>
  </r>
  <r>
    <s v="MonthlyTradeStatistics 2018_12.xlsx"/>
    <x v="29"/>
    <n v="335936.04869999998"/>
    <s v="2018_12.xlsx"/>
    <x v="2"/>
    <x v="11"/>
  </r>
  <r>
    <s v="MonthlyTradeStatistics 2018_12.xlsx"/>
    <x v="30"/>
    <n v="300547.29519999999"/>
    <s v="2018_12.xlsx"/>
    <x v="2"/>
    <x v="11"/>
  </r>
  <r>
    <s v="MonthlyTradeStatistics 2018_12.xlsx"/>
    <x v="31"/>
    <n v="361.8614"/>
    <s v="2018_12.xlsx"/>
    <x v="2"/>
    <x v="11"/>
  </r>
  <r>
    <s v="MonthlyTradeStatistics 2018_12.xlsx"/>
    <x v="32"/>
    <n v="52870.7667"/>
    <s v="2018_12.xlsx"/>
    <x v="2"/>
    <x v="11"/>
  </r>
  <r>
    <s v="MonthlyTradeStatistics 2018_12.xlsx"/>
    <x v="33"/>
    <n v="17669.285400000001"/>
    <s v="2018_12.xlsx"/>
    <x v="2"/>
    <x v="11"/>
  </r>
  <r>
    <s v="MonthlyTradeStatistics 2018_12.xlsx"/>
    <x v="34"/>
    <n v="323.33"/>
    <s v="2018_12.xlsx"/>
    <x v="2"/>
    <x v="11"/>
  </r>
  <r>
    <s v="MonthlyTradeStatistics 2018_12.xlsx"/>
    <x v="35"/>
    <n v="640.32000000000005"/>
    <s v="2018_12.xlsx"/>
    <x v="2"/>
    <x v="11"/>
  </r>
  <r>
    <s v="MonthlyTradeStatistics 2018_12.xlsx"/>
    <x v="36"/>
    <n v="1390.8416999999999"/>
    <s v="2018_12.xlsx"/>
    <x v="2"/>
    <x v="11"/>
  </r>
  <r>
    <s v="MonthlyTradeStatistics 2018_12.xlsx"/>
    <x v="37"/>
    <n v="176439.2409"/>
    <s v="2018_12.xlsx"/>
    <x v="2"/>
    <x v="11"/>
  </r>
  <r>
    <s v="MonthlyTradeStatistics 2018_12.xlsx"/>
    <x v="38"/>
    <n v="112.9293"/>
    <s v="2018_12.xlsx"/>
    <x v="2"/>
    <x v="11"/>
  </r>
  <r>
    <s v="MonthlyTradeStatistics 2018_12.xlsx"/>
    <x v="39"/>
    <n v="64526.299400000004"/>
    <s v="2018_12.xlsx"/>
    <x v="2"/>
    <x v="11"/>
  </r>
  <r>
    <s v="MonthlyTradeStatistics 2018_12.xlsx"/>
    <x v="40"/>
    <n v="0"/>
    <s v="2018_12.xlsx"/>
    <x v="2"/>
    <x v="11"/>
  </r>
  <r>
    <s v="MonthlyTradeStatistics 2018_12.xlsx"/>
    <x v="41"/>
    <n v="305.63330000000002"/>
    <s v="2018_12.xlsx"/>
    <x v="2"/>
    <x v="11"/>
  </r>
  <r>
    <s v="MonthlyTradeStatistics 2018_12.xlsx"/>
    <x v="42"/>
    <n v="67080.38"/>
    <s v="2018_12.xlsx"/>
    <x v="2"/>
    <x v="11"/>
  </r>
  <r>
    <s v="MonthlyTradeStatistics 2018_12.xlsx"/>
    <x v="43"/>
    <n v="5.2062999999999997"/>
    <s v="2018_12.xlsx"/>
    <x v="2"/>
    <x v="11"/>
  </r>
  <r>
    <s v="MonthlyTradeStatistics 2018_12.xlsx"/>
    <x v="44"/>
    <n v="431359.79"/>
    <s v="2018_12.xlsx"/>
    <x v="2"/>
    <x v="11"/>
  </r>
  <r>
    <s v="MonthlyTradeStatistics 2018_12.xlsx"/>
    <x v="45"/>
    <n v="678.87400000000002"/>
    <s v="2018_12.xlsx"/>
    <x v="2"/>
    <x v="11"/>
  </r>
  <r>
    <s v="MonthlyTradeStatistics 2018_12.xlsx"/>
    <x v="46"/>
    <n v="32697.4859"/>
    <s v="2018_12.xlsx"/>
    <x v="2"/>
    <x v="11"/>
  </r>
  <r>
    <s v="MonthlyTradeStatistics 2018_12.xlsx"/>
    <x v="47"/>
    <n v="1774.7272"/>
    <s v="2018_12.xlsx"/>
    <x v="2"/>
    <x v="11"/>
  </r>
  <r>
    <s v="MonthlyTradeStatistics 2018_12.xlsx"/>
    <x v="48"/>
    <n v="30.636500000000002"/>
    <s v="2018_12.xlsx"/>
    <x v="2"/>
    <x v="11"/>
  </r>
  <r>
    <s v="MonthlyTradeStatistics 2018_12.xlsx"/>
    <x v="49"/>
    <n v="150550.48000000001"/>
    <s v="2018_12.xlsx"/>
    <x v="2"/>
    <x v="11"/>
  </r>
  <r>
    <s v="MonthlyTradeStatistics 2018_12.xlsx"/>
    <x v="50"/>
    <n v="16861.010699999999"/>
    <s v="2018_12.xlsx"/>
    <x v="2"/>
    <x v="11"/>
  </r>
  <r>
    <s v="MonthlyTradeStatistics 2018_12.xlsx"/>
    <x v="51"/>
    <n v="7921"/>
    <s v="2018_12.xlsx"/>
    <x v="2"/>
    <x v="11"/>
  </r>
  <r>
    <s v="MonthlyTradeStatistics 2018_12.xlsx"/>
    <x v="52"/>
    <n v="2831.6333"/>
    <s v="2018_12.xlsx"/>
    <x v="2"/>
    <x v="11"/>
  </r>
  <r>
    <s v="MonthlyTradeStatistics 2018_12.xlsx"/>
    <x v="53"/>
    <n v="59.3703"/>
    <s v="2018_12.xlsx"/>
    <x v="2"/>
    <x v="11"/>
  </r>
  <r>
    <s v="MonthlyTradeStatistics 2018_12.xlsx"/>
    <x v="54"/>
    <n v="314439"/>
    <s v="2018_12.xlsx"/>
    <x v="2"/>
    <x v="11"/>
  </r>
  <r>
    <s v="MonthlyTradeStatistics 2018_12.xlsx"/>
    <x v="55"/>
    <n v="199.56559999999999"/>
    <s v="2018_12.xlsx"/>
    <x v="2"/>
    <x v="11"/>
  </r>
  <r>
    <s v="MonthlyTradeStatistics 2018_12.xlsx"/>
    <x v="56"/>
    <n v="2691982.5373"/>
    <s v="2018_12.xlsx"/>
    <x v="2"/>
    <x v="11"/>
  </r>
  <r>
    <s v="MonthlyTradeStatistics 2018_12.xlsx"/>
    <x v="57"/>
    <n v="3441.7521999999999"/>
    <s v="2018_12.xlsx"/>
    <x v="2"/>
    <x v="11"/>
  </r>
  <r>
    <s v="MonthlyTradeStatistics 2018_12.xlsx"/>
    <x v="58"/>
    <n v="3163.7474000000002"/>
    <s v="2018_12.xlsx"/>
    <x v="2"/>
    <x v="11"/>
  </r>
  <r>
    <s v="MonthlyTradeStatistics 2018_12.xlsx"/>
    <x v="59"/>
    <n v="2650"/>
    <s v="2018_12.xlsx"/>
    <x v="2"/>
    <x v="11"/>
  </r>
  <r>
    <s v="MonthlyTradeStatistics 2019_01.xlsx"/>
    <x v="0"/>
    <n v="11242266.3123"/>
    <s v="2019_01.xlsx"/>
    <x v="3"/>
    <x v="0"/>
  </r>
  <r>
    <s v="MonthlyTradeStatistics 2019_01.xlsx"/>
    <x v="1"/>
    <n v="1274565.4197"/>
    <s v="2019_01.xlsx"/>
    <x v="3"/>
    <x v="0"/>
  </r>
  <r>
    <s v="MonthlyTradeStatistics 2019_01.xlsx"/>
    <x v="2"/>
    <n v="2026835.9132999999"/>
    <s v="2019_01.xlsx"/>
    <x v="3"/>
    <x v="0"/>
  </r>
  <r>
    <s v="MonthlyTradeStatistics 2019_01.xlsx"/>
    <x v="3"/>
    <n v="3477452.1301000002"/>
    <s v="2019_01.xlsx"/>
    <x v="3"/>
    <x v="0"/>
  </r>
  <r>
    <s v="MonthlyTradeStatistics 2019_01.xlsx"/>
    <x v="4"/>
    <n v="4463412.8492000001"/>
    <s v="2019_01.xlsx"/>
    <x v="3"/>
    <x v="0"/>
  </r>
  <r>
    <s v="MonthlyTradeStatistics 2019_01.xlsx"/>
    <x v="5"/>
    <n v="1233.0867000000001"/>
    <s v="2019_01.xlsx"/>
    <x v="3"/>
    <x v="0"/>
  </r>
  <r>
    <s v="MonthlyTradeStatistics 2019_01.xlsx"/>
    <x v="6"/>
    <n v="3119"/>
    <s v="2019_01.xlsx"/>
    <x v="3"/>
    <x v="0"/>
  </r>
  <r>
    <s v="MonthlyTradeStatistics 2019_01.xlsx"/>
    <x v="7"/>
    <n v="3470505.8177999998"/>
    <s v="2019_01.xlsx"/>
    <x v="3"/>
    <x v="0"/>
  </r>
  <r>
    <s v="MonthlyTradeStatistics 2019_01.xlsx"/>
    <x v="8"/>
    <n v="32209.774300000001"/>
    <s v="2019_01.xlsx"/>
    <x v="3"/>
    <x v="0"/>
  </r>
  <r>
    <s v="MonthlyTradeStatistics 2019_01.xlsx"/>
    <x v="9"/>
    <n v="16828.98"/>
    <s v="2019_01.xlsx"/>
    <x v="3"/>
    <x v="0"/>
  </r>
  <r>
    <s v="MonthlyTradeStatistics 2019_01.xlsx"/>
    <x v="10"/>
    <n v="0"/>
    <s v="2019_01.xlsx"/>
    <x v="3"/>
    <x v="0"/>
  </r>
  <r>
    <s v="MonthlyTradeStatistics 2019_01.xlsx"/>
    <x v="11"/>
    <n v="1166592.2164"/>
    <s v="2019_01.xlsx"/>
    <x v="3"/>
    <x v="0"/>
  </r>
  <r>
    <s v="MonthlyTradeStatistics 2019_01.xlsx"/>
    <x v="12"/>
    <n v="0"/>
    <s v="2019_01.xlsx"/>
    <x v="3"/>
    <x v="0"/>
  </r>
  <r>
    <s v="MonthlyTradeStatistics 2019_01.xlsx"/>
    <x v="13"/>
    <n v="54351.188699999999"/>
    <s v="2019_01.xlsx"/>
    <x v="3"/>
    <x v="0"/>
  </r>
  <r>
    <s v="MonthlyTradeStatistics 2019_01.xlsx"/>
    <x v="14"/>
    <n v="106780.7332"/>
    <s v="2019_01.xlsx"/>
    <x v="3"/>
    <x v="0"/>
  </r>
  <r>
    <s v="MonthlyTradeStatistics 2019_01.xlsx"/>
    <x v="15"/>
    <n v="1349.6353999999999"/>
    <s v="2019_01.xlsx"/>
    <x v="3"/>
    <x v="0"/>
  </r>
  <r>
    <s v="MonthlyTradeStatistics 2019_01.xlsx"/>
    <x v="16"/>
    <n v="11531"/>
    <s v="2019_01.xlsx"/>
    <x v="3"/>
    <x v="0"/>
  </r>
  <r>
    <s v="MonthlyTradeStatistics 2019_01.xlsx"/>
    <x v="17"/>
    <n v="1220.4002"/>
    <s v="2019_01.xlsx"/>
    <x v="3"/>
    <x v="0"/>
  </r>
  <r>
    <s v="MonthlyTradeStatistics 2019_01.xlsx"/>
    <x v="18"/>
    <n v="18013.513999999999"/>
    <s v="2019_01.xlsx"/>
    <x v="3"/>
    <x v="0"/>
  </r>
  <r>
    <s v="MonthlyTradeStatistics 2019_01.xlsx"/>
    <x v="19"/>
    <n v="35334.073499999999"/>
    <s v="2019_01.xlsx"/>
    <x v="3"/>
    <x v="0"/>
  </r>
  <r>
    <s v="MonthlyTradeStatistics 2019_01.xlsx"/>
    <x v="20"/>
    <n v="0"/>
    <s v="2019_01.xlsx"/>
    <x v="3"/>
    <x v="0"/>
  </r>
  <r>
    <s v="MonthlyTradeStatistics 2019_01.xlsx"/>
    <x v="21"/>
    <n v="180903.76670000001"/>
    <s v="2019_01.xlsx"/>
    <x v="3"/>
    <x v="0"/>
  </r>
  <r>
    <s v="MonthlyTradeStatistics 2019_01.xlsx"/>
    <x v="22"/>
    <n v="1.67"/>
    <s v="2019_01.xlsx"/>
    <x v="3"/>
    <x v="0"/>
  </r>
  <r>
    <s v="MonthlyTradeStatistics 2019_01.xlsx"/>
    <x v="23"/>
    <n v="864.06299999999999"/>
    <s v="2019_01.xlsx"/>
    <x v="3"/>
    <x v="0"/>
  </r>
  <r>
    <s v="MonthlyTradeStatistics 2019_01.xlsx"/>
    <x v="24"/>
    <n v="223652.81359999999"/>
    <s v="2019_01.xlsx"/>
    <x v="3"/>
    <x v="0"/>
  </r>
  <r>
    <s v="MonthlyTradeStatistics 2019_01.xlsx"/>
    <x v="25"/>
    <n v="4761.6938"/>
    <s v="2019_01.xlsx"/>
    <x v="3"/>
    <x v="0"/>
  </r>
  <r>
    <s v="MonthlyTradeStatistics 2019_01.xlsx"/>
    <x v="26"/>
    <n v="0.86670000000000003"/>
    <s v="2019_01.xlsx"/>
    <x v="3"/>
    <x v="0"/>
  </r>
  <r>
    <s v="MonthlyTradeStatistics 2019_01.xlsx"/>
    <x v="27"/>
    <n v="17.429500000000001"/>
    <s v="2019_01.xlsx"/>
    <x v="3"/>
    <x v="0"/>
  </r>
  <r>
    <s v="MonthlyTradeStatistics 2019_01.xlsx"/>
    <x v="28"/>
    <n v="616090.98730000004"/>
    <s v="2019_01.xlsx"/>
    <x v="3"/>
    <x v="0"/>
  </r>
  <r>
    <s v="MonthlyTradeStatistics 2019_01.xlsx"/>
    <x v="29"/>
    <n v="483499.95"/>
    <s v="2019_01.xlsx"/>
    <x v="3"/>
    <x v="0"/>
  </r>
  <r>
    <s v="MonthlyTradeStatistics 2019_01.xlsx"/>
    <x v="30"/>
    <n v="391103.35379999998"/>
    <s v="2019_01.xlsx"/>
    <x v="3"/>
    <x v="0"/>
  </r>
  <r>
    <s v="MonthlyTradeStatistics 2019_01.xlsx"/>
    <x v="31"/>
    <n v="321.41120000000001"/>
    <s v="2019_01.xlsx"/>
    <x v="3"/>
    <x v="0"/>
  </r>
  <r>
    <s v="MonthlyTradeStatistics 2019_01.xlsx"/>
    <x v="32"/>
    <n v="46708.133300000001"/>
    <s v="2019_01.xlsx"/>
    <x v="3"/>
    <x v="0"/>
  </r>
  <r>
    <s v="MonthlyTradeStatistics 2019_01.xlsx"/>
    <x v="33"/>
    <n v="49702.644500000002"/>
    <s v="2019_01.xlsx"/>
    <x v="3"/>
    <x v="0"/>
  </r>
  <r>
    <s v="MonthlyTradeStatistics 2019_01.xlsx"/>
    <x v="34"/>
    <n v="583.33000000000004"/>
    <s v="2019_01.xlsx"/>
    <x v="3"/>
    <x v="0"/>
  </r>
  <r>
    <s v="MonthlyTradeStatistics 2019_01.xlsx"/>
    <x v="35"/>
    <n v="3.9699999999999999E-2"/>
    <s v="2019_01.xlsx"/>
    <x v="3"/>
    <x v="0"/>
  </r>
  <r>
    <s v="MonthlyTradeStatistics 2019_01.xlsx"/>
    <x v="36"/>
    <n v="1209.7380000000001"/>
    <s v="2019_01.xlsx"/>
    <x v="3"/>
    <x v="0"/>
  </r>
  <r>
    <s v="MonthlyTradeStatistics 2019_01.xlsx"/>
    <x v="37"/>
    <n v="246289.58240000001"/>
    <s v="2019_01.xlsx"/>
    <x v="3"/>
    <x v="0"/>
  </r>
  <r>
    <s v="MonthlyTradeStatistics 2019_01.xlsx"/>
    <x v="38"/>
    <n v="31.569299999999998"/>
    <s v="2019_01.xlsx"/>
    <x v="3"/>
    <x v="0"/>
  </r>
  <r>
    <s v="MonthlyTradeStatistics 2019_01.xlsx"/>
    <x v="39"/>
    <n v="162466.75750000001"/>
    <s v="2019_01.xlsx"/>
    <x v="3"/>
    <x v="0"/>
  </r>
  <r>
    <s v="MonthlyTradeStatistics 2019_01.xlsx"/>
    <x v="40"/>
    <n v="0"/>
    <s v="2019_01.xlsx"/>
    <x v="3"/>
    <x v="0"/>
  </r>
  <r>
    <s v="MonthlyTradeStatistics 2019_01.xlsx"/>
    <x v="41"/>
    <n v="2291.8107"/>
    <s v="2019_01.xlsx"/>
    <x v="3"/>
    <x v="0"/>
  </r>
  <r>
    <s v="MonthlyTradeStatistics 2019_01.xlsx"/>
    <x v="42"/>
    <n v="48257.33"/>
    <s v="2019_01.xlsx"/>
    <x v="3"/>
    <x v="0"/>
  </r>
  <r>
    <s v="MonthlyTradeStatistics 2019_01.xlsx"/>
    <x v="43"/>
    <n v="0"/>
    <s v="2019_01.xlsx"/>
    <x v="3"/>
    <x v="0"/>
  </r>
  <r>
    <s v="MonthlyTradeStatistics 2019_01.xlsx"/>
    <x v="44"/>
    <n v="261123.1"/>
    <s v="2019_01.xlsx"/>
    <x v="3"/>
    <x v="0"/>
  </r>
  <r>
    <s v="MonthlyTradeStatistics 2019_01.xlsx"/>
    <x v="45"/>
    <n v="776.46400000000006"/>
    <s v="2019_01.xlsx"/>
    <x v="3"/>
    <x v="0"/>
  </r>
  <r>
    <s v="MonthlyTradeStatistics 2019_01.xlsx"/>
    <x v="46"/>
    <n v="19930.540799999999"/>
    <s v="2019_01.xlsx"/>
    <x v="3"/>
    <x v="0"/>
  </r>
  <r>
    <s v="MonthlyTradeStatistics 2019_01.xlsx"/>
    <x v="47"/>
    <n v="3469.5938000000001"/>
    <s v="2019_01.xlsx"/>
    <x v="3"/>
    <x v="0"/>
  </r>
  <r>
    <s v="MonthlyTradeStatistics 2019_01.xlsx"/>
    <x v="48"/>
    <n v="43.243200000000002"/>
    <s v="2019_01.xlsx"/>
    <x v="3"/>
    <x v="0"/>
  </r>
  <r>
    <s v="MonthlyTradeStatistics 2019_01.xlsx"/>
    <x v="49"/>
    <n v="101030.52"/>
    <s v="2019_01.xlsx"/>
    <x v="3"/>
    <x v="0"/>
  </r>
  <r>
    <s v="MonthlyTradeStatistics 2019_01.xlsx"/>
    <x v="50"/>
    <n v="11582.780500000001"/>
    <s v="2019_01.xlsx"/>
    <x v="3"/>
    <x v="0"/>
  </r>
  <r>
    <s v="MonthlyTradeStatistics 2019_01.xlsx"/>
    <x v="51"/>
    <n v="1575.5"/>
    <s v="2019_01.xlsx"/>
    <x v="3"/>
    <x v="0"/>
  </r>
  <r>
    <s v="MonthlyTradeStatistics 2019_01.xlsx"/>
    <x v="52"/>
    <n v="633.6"/>
    <s v="2019_01.xlsx"/>
    <x v="3"/>
    <x v="0"/>
  </r>
  <r>
    <s v="MonthlyTradeStatistics 2019_01.xlsx"/>
    <x v="53"/>
    <n v="180.93389999999999"/>
    <s v="2019_01.xlsx"/>
    <x v="3"/>
    <x v="0"/>
  </r>
  <r>
    <s v="MonthlyTradeStatistics 2019_01.xlsx"/>
    <x v="54"/>
    <n v="395097"/>
    <s v="2019_01.xlsx"/>
    <x v="3"/>
    <x v="0"/>
  </r>
  <r>
    <s v="MonthlyTradeStatistics 2019_01.xlsx"/>
    <x v="55"/>
    <n v="205.62309999999999"/>
    <s v="2019_01.xlsx"/>
    <x v="3"/>
    <x v="0"/>
  </r>
  <r>
    <s v="MonthlyTradeStatistics 2019_01.xlsx"/>
    <x v="56"/>
    <n v="3060641.2231000001"/>
    <s v="2019_01.xlsx"/>
    <x v="3"/>
    <x v="0"/>
  </r>
  <r>
    <s v="MonthlyTradeStatistics 2019_01.xlsx"/>
    <x v="57"/>
    <n v="1284.7422999999999"/>
    <s v="2019_01.xlsx"/>
    <x v="3"/>
    <x v="0"/>
  </r>
  <r>
    <s v="MonthlyTradeStatistics 2019_01.xlsx"/>
    <x v="58"/>
    <n v="5842.2864"/>
    <s v="2019_01.xlsx"/>
    <x v="3"/>
    <x v="0"/>
  </r>
  <r>
    <s v="MonthlyTradeStatistics 2019_01.xlsx"/>
    <x v="59"/>
    <n v="1020.8"/>
    <s v="2019_01.xlsx"/>
    <x v="3"/>
    <x v="0"/>
  </r>
  <r>
    <s v="MonthlyTradeStatistics 2019_02.xlsx"/>
    <x v="0"/>
    <n v="11276959.954500001"/>
    <s v="2019_02.xlsx"/>
    <x v="3"/>
    <x v="1"/>
  </r>
  <r>
    <s v="MonthlyTradeStatistics 2019_02.xlsx"/>
    <x v="1"/>
    <n v="1395560.7718"/>
    <s v="2019_02.xlsx"/>
    <x v="3"/>
    <x v="1"/>
  </r>
  <r>
    <s v="MonthlyTradeStatistics 2019_02.xlsx"/>
    <x v="2"/>
    <n v="2503889.2740000002"/>
    <s v="2019_02.xlsx"/>
    <x v="3"/>
    <x v="1"/>
  </r>
  <r>
    <s v="MonthlyTradeStatistics 2019_02.xlsx"/>
    <x v="3"/>
    <n v="3447193.3045999999"/>
    <s v="2019_02.xlsx"/>
    <x v="3"/>
    <x v="1"/>
  </r>
  <r>
    <s v="MonthlyTradeStatistics 2019_02.xlsx"/>
    <x v="4"/>
    <n v="3930316.6041000001"/>
    <s v="2019_02.xlsx"/>
    <x v="3"/>
    <x v="1"/>
  </r>
  <r>
    <s v="MonthlyTradeStatistics 2019_02.xlsx"/>
    <x v="5"/>
    <n v="254.16669999999999"/>
    <s v="2019_02.xlsx"/>
    <x v="3"/>
    <x v="1"/>
  </r>
  <r>
    <s v="MonthlyTradeStatistics 2019_02.xlsx"/>
    <x v="6"/>
    <n v="1147.49"/>
    <s v="2019_02.xlsx"/>
    <x v="3"/>
    <x v="1"/>
  </r>
  <r>
    <s v="MonthlyTradeStatistics 2019_02.xlsx"/>
    <x v="7"/>
    <n v="3574654.8465999998"/>
    <s v="2019_02.xlsx"/>
    <x v="3"/>
    <x v="1"/>
  </r>
  <r>
    <s v="MonthlyTradeStatistics 2019_02.xlsx"/>
    <x v="8"/>
    <n v="86308.5"/>
    <s v="2019_02.xlsx"/>
    <x v="3"/>
    <x v="1"/>
  </r>
  <r>
    <s v="MonthlyTradeStatistics 2019_02.xlsx"/>
    <x v="9"/>
    <n v="2477.4699999999998"/>
    <s v="2019_02.xlsx"/>
    <x v="3"/>
    <x v="1"/>
  </r>
  <r>
    <s v="MonthlyTradeStatistics 2019_02.xlsx"/>
    <x v="10"/>
    <n v="5000"/>
    <s v="2019_02.xlsx"/>
    <x v="3"/>
    <x v="1"/>
  </r>
  <r>
    <s v="MonthlyTradeStatistics 2019_02.xlsx"/>
    <x v="11"/>
    <n v="1246008.6442"/>
    <s v="2019_02.xlsx"/>
    <x v="3"/>
    <x v="1"/>
  </r>
  <r>
    <s v="MonthlyTradeStatistics 2019_02.xlsx"/>
    <x v="12"/>
    <n v="0"/>
    <s v="2019_02.xlsx"/>
    <x v="3"/>
    <x v="1"/>
  </r>
  <r>
    <s v="MonthlyTradeStatistics 2019_02.xlsx"/>
    <x v="13"/>
    <n v="83960.677800000005"/>
    <s v="2019_02.xlsx"/>
    <x v="3"/>
    <x v="1"/>
  </r>
  <r>
    <s v="MonthlyTradeStatistics 2019_02.xlsx"/>
    <x v="14"/>
    <n v="114617.9837"/>
    <s v="2019_02.xlsx"/>
    <x v="3"/>
    <x v="1"/>
  </r>
  <r>
    <s v="MonthlyTradeStatistics 2019_02.xlsx"/>
    <x v="15"/>
    <n v="1349.6353999999999"/>
    <s v="2019_02.xlsx"/>
    <x v="3"/>
    <x v="1"/>
  </r>
  <r>
    <s v="MonthlyTradeStatistics 2019_02.xlsx"/>
    <x v="16"/>
    <n v="15480"/>
    <s v="2019_02.xlsx"/>
    <x v="3"/>
    <x v="1"/>
  </r>
  <r>
    <s v="MonthlyTradeStatistics 2019_02.xlsx"/>
    <x v="17"/>
    <n v="2303.4135000000001"/>
    <s v="2019_02.xlsx"/>
    <x v="3"/>
    <x v="1"/>
  </r>
  <r>
    <s v="MonthlyTradeStatistics 2019_02.xlsx"/>
    <x v="18"/>
    <n v="32043.6067"/>
    <s v="2019_02.xlsx"/>
    <x v="3"/>
    <x v="1"/>
  </r>
  <r>
    <s v="MonthlyTradeStatistics 2019_02.xlsx"/>
    <x v="19"/>
    <n v="62459.394899999999"/>
    <s v="2019_02.xlsx"/>
    <x v="3"/>
    <x v="1"/>
  </r>
  <r>
    <s v="MonthlyTradeStatistics 2019_02.xlsx"/>
    <x v="20"/>
    <n v="0"/>
    <s v="2019_02.xlsx"/>
    <x v="3"/>
    <x v="1"/>
  </r>
  <r>
    <s v="MonthlyTradeStatistics 2019_02.xlsx"/>
    <x v="21"/>
    <n v="174045.67"/>
    <s v="2019_02.xlsx"/>
    <x v="3"/>
    <x v="1"/>
  </r>
  <r>
    <s v="MonthlyTradeStatistics 2019_02.xlsx"/>
    <x v="22"/>
    <n v="28.33"/>
    <s v="2019_02.xlsx"/>
    <x v="3"/>
    <x v="1"/>
  </r>
  <r>
    <s v="MonthlyTradeStatistics 2019_02.xlsx"/>
    <x v="23"/>
    <n v="1409.3343"/>
    <s v="2019_02.xlsx"/>
    <x v="3"/>
    <x v="1"/>
  </r>
  <r>
    <s v="MonthlyTradeStatistics 2019_02.xlsx"/>
    <x v="24"/>
    <n v="363111.96610000002"/>
    <s v="2019_02.xlsx"/>
    <x v="3"/>
    <x v="1"/>
  </r>
  <r>
    <s v="MonthlyTradeStatistics 2019_02.xlsx"/>
    <x v="25"/>
    <n v="5992.9517999999998"/>
    <s v="2019_02.xlsx"/>
    <x v="3"/>
    <x v="1"/>
  </r>
  <r>
    <s v="MonthlyTradeStatistics 2019_02.xlsx"/>
    <x v="26"/>
    <n v="6.11"/>
    <s v="2019_02.xlsx"/>
    <x v="3"/>
    <x v="1"/>
  </r>
  <r>
    <s v="MonthlyTradeStatistics 2019_02.xlsx"/>
    <x v="27"/>
    <n v="24.986000000000001"/>
    <s v="2019_02.xlsx"/>
    <x v="3"/>
    <x v="1"/>
  </r>
  <r>
    <s v="MonthlyTradeStatistics 2019_02.xlsx"/>
    <x v="28"/>
    <n v="822797.58400000003"/>
    <s v="2019_02.xlsx"/>
    <x v="3"/>
    <x v="1"/>
  </r>
  <r>
    <s v="MonthlyTradeStatistics 2019_02.xlsx"/>
    <x v="29"/>
    <n v="659714.34759999998"/>
    <s v="2019_02.xlsx"/>
    <x v="3"/>
    <x v="1"/>
  </r>
  <r>
    <s v="MonthlyTradeStatistics 2019_02.xlsx"/>
    <x v="30"/>
    <n v="486217.53419999999"/>
    <s v="2019_02.xlsx"/>
    <x v="3"/>
    <x v="1"/>
  </r>
  <r>
    <s v="MonthlyTradeStatistics 2019_02.xlsx"/>
    <x v="31"/>
    <n v="367.04219999999998"/>
    <s v="2019_02.xlsx"/>
    <x v="3"/>
    <x v="1"/>
  </r>
  <r>
    <s v="MonthlyTradeStatistics 2019_02.xlsx"/>
    <x v="32"/>
    <n v="70067.899900000004"/>
    <s v="2019_02.xlsx"/>
    <x v="3"/>
    <x v="1"/>
  </r>
  <r>
    <s v="MonthlyTradeStatistics 2019_02.xlsx"/>
    <x v="33"/>
    <n v="38531.456599999998"/>
    <s v="2019_02.xlsx"/>
    <x v="3"/>
    <x v="1"/>
  </r>
  <r>
    <s v="MonthlyTradeStatistics 2019_02.xlsx"/>
    <x v="34"/>
    <n v="0"/>
    <s v="2019_02.xlsx"/>
    <x v="3"/>
    <x v="1"/>
  </r>
  <r>
    <s v="MonthlyTradeStatistics 2019_02.xlsx"/>
    <x v="35"/>
    <n v="0.33329999999999999"/>
    <s v="2019_02.xlsx"/>
    <x v="3"/>
    <x v="1"/>
  </r>
  <r>
    <s v="MonthlyTradeStatistics 2019_02.xlsx"/>
    <x v="36"/>
    <n v="2169.8679999999999"/>
    <s v="2019_02.xlsx"/>
    <x v="3"/>
    <x v="1"/>
  </r>
  <r>
    <s v="MonthlyTradeStatistics 2019_02.xlsx"/>
    <x v="37"/>
    <n v="238020.04180000001"/>
    <s v="2019_02.xlsx"/>
    <x v="3"/>
    <x v="1"/>
  </r>
  <r>
    <s v="MonthlyTradeStatistics 2019_02.xlsx"/>
    <x v="38"/>
    <n v="25.539300000000001"/>
    <s v="2019_02.xlsx"/>
    <x v="3"/>
    <x v="1"/>
  </r>
  <r>
    <s v="MonthlyTradeStatistics 2019_02.xlsx"/>
    <x v="39"/>
    <n v="284875.58669999999"/>
    <s v="2019_02.xlsx"/>
    <x v="3"/>
    <x v="1"/>
  </r>
  <r>
    <s v="MonthlyTradeStatistics 2019_02.xlsx"/>
    <x v="40"/>
    <n v="1033.1667"/>
    <s v="2019_02.xlsx"/>
    <x v="3"/>
    <x v="1"/>
  </r>
  <r>
    <s v="MonthlyTradeStatistics 2019_02.xlsx"/>
    <x v="41"/>
    <n v="3382.2786000000001"/>
    <s v="2019_02.xlsx"/>
    <x v="3"/>
    <x v="1"/>
  </r>
  <r>
    <s v="MonthlyTradeStatistics 2019_02.xlsx"/>
    <x v="42"/>
    <n v="42040.33"/>
    <s v="2019_02.xlsx"/>
    <x v="3"/>
    <x v="1"/>
  </r>
  <r>
    <s v="MonthlyTradeStatistics 2019_02.xlsx"/>
    <x v="43"/>
    <n v="0"/>
    <s v="2019_02.xlsx"/>
    <x v="3"/>
    <x v="1"/>
  </r>
  <r>
    <s v="MonthlyTradeStatistics 2019_02.xlsx"/>
    <x v="44"/>
    <n v="112797.25"/>
    <s v="2019_02.xlsx"/>
    <x v="3"/>
    <x v="1"/>
  </r>
  <r>
    <s v="MonthlyTradeStatistics 2019_02.xlsx"/>
    <x v="45"/>
    <n v="559.05820000000006"/>
    <s v="2019_02.xlsx"/>
    <x v="3"/>
    <x v="1"/>
  </r>
  <r>
    <s v="MonthlyTradeStatistics 2019_02.xlsx"/>
    <x v="46"/>
    <n v="24546.683300000001"/>
    <s v="2019_02.xlsx"/>
    <x v="3"/>
    <x v="1"/>
  </r>
  <r>
    <s v="MonthlyTradeStatistics 2019_02.xlsx"/>
    <x v="47"/>
    <n v="3967.9238"/>
    <s v="2019_02.xlsx"/>
    <x v="3"/>
    <x v="1"/>
  </r>
  <r>
    <s v="MonthlyTradeStatistics 2019_02.xlsx"/>
    <x v="48"/>
    <n v="49.168700000000001"/>
    <s v="2019_02.xlsx"/>
    <x v="3"/>
    <x v="1"/>
  </r>
  <r>
    <s v="MonthlyTradeStatistics 2019_02.xlsx"/>
    <x v="49"/>
    <n v="137792.76199999999"/>
    <s v="2019_02.xlsx"/>
    <x v="3"/>
    <x v="1"/>
  </r>
  <r>
    <s v="MonthlyTradeStatistics 2019_02.xlsx"/>
    <x v="50"/>
    <n v="10884.8678"/>
    <s v="2019_02.xlsx"/>
    <x v="3"/>
    <x v="1"/>
  </r>
  <r>
    <s v="MonthlyTradeStatistics 2019_02.xlsx"/>
    <x v="51"/>
    <n v="11300"/>
    <s v="2019_02.xlsx"/>
    <x v="3"/>
    <x v="1"/>
  </r>
  <r>
    <s v="MonthlyTradeStatistics 2019_02.xlsx"/>
    <x v="52"/>
    <n v="2238.4666999999999"/>
    <s v="2019_02.xlsx"/>
    <x v="3"/>
    <x v="1"/>
  </r>
  <r>
    <s v="MonthlyTradeStatistics 2019_02.xlsx"/>
    <x v="53"/>
    <n v="92.613699999999994"/>
    <s v="2019_02.xlsx"/>
    <x v="3"/>
    <x v="1"/>
  </r>
  <r>
    <s v="MonthlyTradeStatistics 2019_02.xlsx"/>
    <x v="54"/>
    <n v="323827.99"/>
    <s v="2019_02.xlsx"/>
    <x v="3"/>
    <x v="1"/>
  </r>
  <r>
    <s v="MonthlyTradeStatistics 2019_02.xlsx"/>
    <x v="55"/>
    <n v="34.271999999999998"/>
    <s v="2019_02.xlsx"/>
    <x v="3"/>
    <x v="1"/>
  </r>
  <r>
    <s v="MonthlyTradeStatistics 2019_02.xlsx"/>
    <x v="56"/>
    <n v="2223161.6587"/>
    <s v="2019_02.xlsx"/>
    <x v="3"/>
    <x v="1"/>
  </r>
  <r>
    <s v="MonthlyTradeStatistics 2019_02.xlsx"/>
    <x v="57"/>
    <n v="1029.7366"/>
    <s v="2019_02.xlsx"/>
    <x v="3"/>
    <x v="1"/>
  </r>
  <r>
    <s v="MonthlyTradeStatistics 2019_02.xlsx"/>
    <x v="58"/>
    <n v="1789.1664000000001"/>
    <s v="2019_02.xlsx"/>
    <x v="3"/>
    <x v="1"/>
  </r>
  <r>
    <s v="MonthlyTradeStatistics 2019_02.xlsx"/>
    <x v="59"/>
    <n v="960.15"/>
    <s v="2019_02.xlsx"/>
    <x v="3"/>
    <x v="1"/>
  </r>
  <r>
    <s v="MonthlyTradeStatistics 2019_03.xlsx"/>
    <x v="0"/>
    <n v="11816314.317399999"/>
    <s v="2019_03.xlsx"/>
    <x v="3"/>
    <x v="2"/>
  </r>
  <r>
    <s v="MonthlyTradeStatistics 2019_03.xlsx"/>
    <x v="1"/>
    <n v="1327460.2498999999"/>
    <s v="2019_03.xlsx"/>
    <x v="3"/>
    <x v="2"/>
  </r>
  <r>
    <s v="MonthlyTradeStatistics 2019_03.xlsx"/>
    <x v="2"/>
    <n v="2664750.4164999998"/>
    <s v="2019_03.xlsx"/>
    <x v="3"/>
    <x v="2"/>
  </r>
  <r>
    <s v="MonthlyTradeStatistics 2019_03.xlsx"/>
    <x v="3"/>
    <n v="3042583.1488000001"/>
    <s v="2019_03.xlsx"/>
    <x v="3"/>
    <x v="2"/>
  </r>
  <r>
    <s v="MonthlyTradeStatistics 2019_03.xlsx"/>
    <x v="4"/>
    <n v="4781520.5022"/>
    <s v="2019_03.xlsx"/>
    <x v="3"/>
    <x v="2"/>
  </r>
  <r>
    <s v="MonthlyTradeStatistics 2019_03.xlsx"/>
    <x v="5"/>
    <n v="1528.05"/>
    <s v="2019_03.xlsx"/>
    <x v="3"/>
    <x v="2"/>
  </r>
  <r>
    <s v="MonthlyTradeStatistics 2019_03.xlsx"/>
    <x v="6"/>
    <n v="519"/>
    <s v="2019_03.xlsx"/>
    <x v="3"/>
    <x v="2"/>
  </r>
  <r>
    <s v="MonthlyTradeStatistics 2019_03.xlsx"/>
    <x v="7"/>
    <n v="3117169.6312000002"/>
    <s v="2019_03.xlsx"/>
    <x v="3"/>
    <x v="2"/>
  </r>
  <r>
    <s v="MonthlyTradeStatistics 2019_03.xlsx"/>
    <x v="8"/>
    <n v="45081.566700000003"/>
    <s v="2019_03.xlsx"/>
    <x v="3"/>
    <x v="2"/>
  </r>
  <r>
    <s v="MonthlyTradeStatistics 2019_03.xlsx"/>
    <x v="9"/>
    <n v="9757.7800000000007"/>
    <s v="2019_03.xlsx"/>
    <x v="3"/>
    <x v="2"/>
  </r>
  <r>
    <s v="MonthlyTradeStatistics 2019_03.xlsx"/>
    <x v="10"/>
    <n v="5000"/>
    <s v="2019_03.xlsx"/>
    <x v="3"/>
    <x v="2"/>
  </r>
  <r>
    <s v="MonthlyTradeStatistics 2019_03.xlsx"/>
    <x v="11"/>
    <n v="1141190.3599"/>
    <s v="2019_03.xlsx"/>
    <x v="3"/>
    <x v="2"/>
  </r>
  <r>
    <s v="MonthlyTradeStatistics 2019_03.xlsx"/>
    <x v="12"/>
    <n v="0"/>
    <s v="2019_03.xlsx"/>
    <x v="3"/>
    <x v="2"/>
  </r>
  <r>
    <s v="MonthlyTradeStatistics 2019_03.xlsx"/>
    <x v="13"/>
    <n v="114531.6189"/>
    <s v="2019_03.xlsx"/>
    <x v="3"/>
    <x v="2"/>
  </r>
  <r>
    <s v="MonthlyTradeStatistics 2019_03.xlsx"/>
    <x v="14"/>
    <n v="221283.7665"/>
    <s v="2019_03.xlsx"/>
    <x v="3"/>
    <x v="2"/>
  </r>
  <r>
    <s v="MonthlyTradeStatistics 2019_03.xlsx"/>
    <x v="15"/>
    <n v="1349.6353999999999"/>
    <s v="2019_03.xlsx"/>
    <x v="3"/>
    <x v="2"/>
  </r>
  <r>
    <s v="MonthlyTradeStatistics 2019_03.xlsx"/>
    <x v="16"/>
    <n v="12140"/>
    <s v="2019_03.xlsx"/>
    <x v="3"/>
    <x v="2"/>
  </r>
  <r>
    <s v="MonthlyTradeStatistics 2019_03.xlsx"/>
    <x v="17"/>
    <n v="2091.1727999999998"/>
    <s v="2019_03.xlsx"/>
    <x v="3"/>
    <x v="2"/>
  </r>
  <r>
    <s v="MonthlyTradeStatistics 2019_03.xlsx"/>
    <x v="18"/>
    <n v="36263.529900000001"/>
    <s v="2019_03.xlsx"/>
    <x v="3"/>
    <x v="2"/>
  </r>
  <r>
    <s v="MonthlyTradeStatistics 2019_03.xlsx"/>
    <x v="19"/>
    <n v="87662.968200000003"/>
    <s v="2019_03.xlsx"/>
    <x v="3"/>
    <x v="2"/>
  </r>
  <r>
    <s v="MonthlyTradeStatistics 2019_03.xlsx"/>
    <x v="20"/>
    <n v="0"/>
    <s v="2019_03.xlsx"/>
    <x v="3"/>
    <x v="2"/>
  </r>
  <r>
    <s v="MonthlyTradeStatistics 2019_03.xlsx"/>
    <x v="21"/>
    <n v="233988.13339999999"/>
    <s v="2019_03.xlsx"/>
    <x v="3"/>
    <x v="2"/>
  </r>
  <r>
    <s v="MonthlyTradeStatistics 2019_03.xlsx"/>
    <x v="22"/>
    <n v="0"/>
    <s v="2019_03.xlsx"/>
    <x v="3"/>
    <x v="2"/>
  </r>
  <r>
    <s v="MonthlyTradeStatistics 2019_03.xlsx"/>
    <x v="23"/>
    <n v="1442.9666999999999"/>
    <s v="2019_03.xlsx"/>
    <x v="3"/>
    <x v="2"/>
  </r>
  <r>
    <s v="MonthlyTradeStatistics 2019_03.xlsx"/>
    <x v="24"/>
    <n v="415869.35509999999"/>
    <s v="2019_03.xlsx"/>
    <x v="3"/>
    <x v="2"/>
  </r>
  <r>
    <s v="MonthlyTradeStatistics 2019_03.xlsx"/>
    <x v="25"/>
    <n v="4752.9318000000003"/>
    <s v="2019_03.xlsx"/>
    <x v="3"/>
    <x v="2"/>
  </r>
  <r>
    <s v="MonthlyTradeStatistics 2019_03.xlsx"/>
    <x v="26"/>
    <n v="48.49"/>
    <s v="2019_03.xlsx"/>
    <x v="3"/>
    <x v="2"/>
  </r>
  <r>
    <s v="MonthlyTradeStatistics 2019_03.xlsx"/>
    <x v="27"/>
    <n v="358.99369999999999"/>
    <s v="2019_03.xlsx"/>
    <x v="3"/>
    <x v="2"/>
  </r>
  <r>
    <s v="MonthlyTradeStatistics 2019_03.xlsx"/>
    <x v="28"/>
    <n v="806251.69070000004"/>
    <s v="2019_03.xlsx"/>
    <x v="3"/>
    <x v="2"/>
  </r>
  <r>
    <s v="MonthlyTradeStatistics 2019_03.xlsx"/>
    <x v="29"/>
    <n v="748113.08799999999"/>
    <s v="2019_03.xlsx"/>
    <x v="3"/>
    <x v="2"/>
  </r>
  <r>
    <s v="MonthlyTradeStatistics 2019_03.xlsx"/>
    <x v="30"/>
    <n v="475318.31420000002"/>
    <s v="2019_03.xlsx"/>
    <x v="3"/>
    <x v="2"/>
  </r>
  <r>
    <s v="MonthlyTradeStatistics 2019_03.xlsx"/>
    <x v="31"/>
    <n v="241.3467"/>
    <s v="2019_03.xlsx"/>
    <x v="3"/>
    <x v="2"/>
  </r>
  <r>
    <s v="MonthlyTradeStatistics 2019_03.xlsx"/>
    <x v="32"/>
    <n v="71456.2"/>
    <s v="2019_03.xlsx"/>
    <x v="3"/>
    <x v="2"/>
  </r>
  <r>
    <s v="MonthlyTradeStatistics 2019_03.xlsx"/>
    <x v="33"/>
    <n v="41161.173499999997"/>
    <s v="2019_03.xlsx"/>
    <x v="3"/>
    <x v="2"/>
  </r>
  <r>
    <s v="MonthlyTradeStatistics 2019_03.xlsx"/>
    <x v="34"/>
    <n v="0"/>
    <s v="2019_03.xlsx"/>
    <x v="3"/>
    <x v="2"/>
  </r>
  <r>
    <s v="MonthlyTradeStatistics 2019_03.xlsx"/>
    <x v="35"/>
    <n v="3.9699999999999999E-2"/>
    <s v="2019_03.xlsx"/>
    <x v="3"/>
    <x v="2"/>
  </r>
  <r>
    <s v="MonthlyTradeStatistics 2019_03.xlsx"/>
    <x v="36"/>
    <n v="2136.6379999999999"/>
    <s v="2019_03.xlsx"/>
    <x v="3"/>
    <x v="2"/>
  </r>
  <r>
    <s v="MonthlyTradeStatistics 2019_03.xlsx"/>
    <x v="37"/>
    <n v="275333.40120000002"/>
    <s v="2019_03.xlsx"/>
    <x v="3"/>
    <x v="2"/>
  </r>
  <r>
    <s v="MonthlyTradeStatistics 2019_03.xlsx"/>
    <x v="38"/>
    <n v="51.499299999999998"/>
    <s v="2019_03.xlsx"/>
    <x v="3"/>
    <x v="2"/>
  </r>
  <r>
    <s v="MonthlyTradeStatistics 2019_03.xlsx"/>
    <x v="39"/>
    <n v="357695.6127"/>
    <s v="2019_03.xlsx"/>
    <x v="3"/>
    <x v="2"/>
  </r>
  <r>
    <s v="MonthlyTradeStatistics 2019_03.xlsx"/>
    <x v="40"/>
    <n v="400"/>
    <s v="2019_03.xlsx"/>
    <x v="3"/>
    <x v="2"/>
  </r>
  <r>
    <s v="MonthlyTradeStatistics 2019_03.xlsx"/>
    <x v="41"/>
    <n v="3936.8832000000002"/>
    <s v="2019_03.xlsx"/>
    <x v="3"/>
    <x v="2"/>
  </r>
  <r>
    <s v="MonthlyTradeStatistics 2019_03.xlsx"/>
    <x v="42"/>
    <n v="51925.33"/>
    <s v="2019_03.xlsx"/>
    <x v="3"/>
    <x v="2"/>
  </r>
  <r>
    <s v="MonthlyTradeStatistics 2019_03.xlsx"/>
    <x v="43"/>
    <n v="0"/>
    <s v="2019_03.xlsx"/>
    <x v="3"/>
    <x v="2"/>
  </r>
  <r>
    <s v="MonthlyTradeStatistics 2019_03.xlsx"/>
    <x v="44"/>
    <n v="54014.78"/>
    <s v="2019_03.xlsx"/>
    <x v="3"/>
    <x v="2"/>
  </r>
  <r>
    <s v="MonthlyTradeStatistics 2019_03.xlsx"/>
    <x v="45"/>
    <n v="275.15800000000002"/>
    <s v="2019_03.xlsx"/>
    <x v="3"/>
    <x v="2"/>
  </r>
  <r>
    <s v="MonthlyTradeStatistics 2019_03.xlsx"/>
    <x v="46"/>
    <n v="25800.270700000001"/>
    <s v="2019_03.xlsx"/>
    <x v="3"/>
    <x v="2"/>
  </r>
  <r>
    <s v="MonthlyTradeStatistics 2019_03.xlsx"/>
    <x v="47"/>
    <n v="7572.9237999999996"/>
    <s v="2019_03.xlsx"/>
    <x v="3"/>
    <x v="2"/>
  </r>
  <r>
    <s v="MonthlyTradeStatistics 2019_03.xlsx"/>
    <x v="48"/>
    <n v="40.970999999999997"/>
    <s v="2019_03.xlsx"/>
    <x v="3"/>
    <x v="2"/>
  </r>
  <r>
    <s v="MonthlyTradeStatistics 2019_03.xlsx"/>
    <x v="49"/>
    <n v="178043.11"/>
    <s v="2019_03.xlsx"/>
    <x v="3"/>
    <x v="2"/>
  </r>
  <r>
    <s v="MonthlyTradeStatistics 2019_03.xlsx"/>
    <x v="50"/>
    <n v="9703.6488000000008"/>
    <s v="2019_03.xlsx"/>
    <x v="3"/>
    <x v="2"/>
  </r>
  <r>
    <s v="MonthlyTradeStatistics 2019_03.xlsx"/>
    <x v="51"/>
    <n v="5659.8333000000002"/>
    <s v="2019_03.xlsx"/>
    <x v="3"/>
    <x v="2"/>
  </r>
  <r>
    <s v="MonthlyTradeStatistics 2019_03.xlsx"/>
    <x v="52"/>
    <n v="36785.15"/>
    <s v="2019_03.xlsx"/>
    <x v="3"/>
    <x v="2"/>
  </r>
  <r>
    <s v="MonthlyTradeStatistics 2019_03.xlsx"/>
    <x v="53"/>
    <n v="205.3673"/>
    <s v="2019_03.xlsx"/>
    <x v="3"/>
    <x v="2"/>
  </r>
  <r>
    <s v="MonthlyTradeStatistics 2019_03.xlsx"/>
    <x v="54"/>
    <n v="348229.99"/>
    <s v="2019_03.xlsx"/>
    <x v="3"/>
    <x v="2"/>
  </r>
  <r>
    <s v="MonthlyTradeStatistics 2019_03.xlsx"/>
    <x v="55"/>
    <n v="282.74700000000001"/>
    <s v="2019_03.xlsx"/>
    <x v="3"/>
    <x v="2"/>
  </r>
  <r>
    <s v="MonthlyTradeStatistics 2019_03.xlsx"/>
    <x v="56"/>
    <n v="2857414.3023000001"/>
    <s v="2019_03.xlsx"/>
    <x v="3"/>
    <x v="2"/>
  </r>
  <r>
    <s v="MonthlyTradeStatistics 2019_03.xlsx"/>
    <x v="57"/>
    <n v="575.68230000000005"/>
    <s v="2019_03.xlsx"/>
    <x v="3"/>
    <x v="2"/>
  </r>
  <r>
    <s v="MonthlyTradeStatistics 2019_03.xlsx"/>
    <x v="58"/>
    <n v="4469.6963999999998"/>
    <s v="2019_03.xlsx"/>
    <x v="3"/>
    <x v="2"/>
  </r>
  <r>
    <s v="MonthlyTradeStatistics 2019_03.xlsx"/>
    <x v="59"/>
    <n v="1189.5191"/>
    <s v="2019_03.xlsx"/>
    <x v="3"/>
    <x v="2"/>
  </r>
  <r>
    <s v="MonthlyTradeStatistics 2019_04.xlsx"/>
    <x v="0"/>
    <n v="11168917.3533"/>
    <s v="2019_04.xlsx"/>
    <x v="3"/>
    <x v="3"/>
  </r>
  <r>
    <s v="MonthlyTradeStatistics 2019_04.xlsx"/>
    <x v="1"/>
    <n v="1011499.3889"/>
    <s v="2019_04.xlsx"/>
    <x v="3"/>
    <x v="3"/>
  </r>
  <r>
    <s v="MonthlyTradeStatistics 2019_04.xlsx"/>
    <x v="2"/>
    <n v="2890350.8147"/>
    <s v="2019_04.xlsx"/>
    <x v="3"/>
    <x v="3"/>
  </r>
  <r>
    <s v="MonthlyTradeStatistics 2019_04.xlsx"/>
    <x v="3"/>
    <n v="3228379.0495000002"/>
    <s v="2019_04.xlsx"/>
    <x v="3"/>
    <x v="3"/>
  </r>
  <r>
    <s v="MonthlyTradeStatistics 2019_04.xlsx"/>
    <x v="4"/>
    <n v="4038688.1002000002"/>
    <s v="2019_04.xlsx"/>
    <x v="3"/>
    <x v="3"/>
  </r>
  <r>
    <s v="MonthlyTradeStatistics 2019_04.xlsx"/>
    <x v="5"/>
    <n v="3598.3438000000001"/>
    <s v="2019_04.xlsx"/>
    <x v="3"/>
    <x v="3"/>
  </r>
  <r>
    <s v="MonthlyTradeStatistics 2019_04.xlsx"/>
    <x v="6"/>
    <n v="1029.33"/>
    <s v="2019_04.xlsx"/>
    <x v="3"/>
    <x v="3"/>
  </r>
  <r>
    <s v="MonthlyTradeStatistics 2019_04.xlsx"/>
    <x v="7"/>
    <n v="3267213.6825999999"/>
    <s v="2019_04.xlsx"/>
    <x v="3"/>
    <x v="3"/>
  </r>
  <r>
    <s v="MonthlyTradeStatistics 2019_04.xlsx"/>
    <x v="8"/>
    <n v="41478.583299999998"/>
    <s v="2019_04.xlsx"/>
    <x v="3"/>
    <x v="3"/>
  </r>
  <r>
    <s v="MonthlyTradeStatistics 2019_04.xlsx"/>
    <x v="9"/>
    <n v="10232.83"/>
    <s v="2019_04.xlsx"/>
    <x v="3"/>
    <x v="3"/>
  </r>
  <r>
    <s v="MonthlyTradeStatistics 2019_04.xlsx"/>
    <x v="10"/>
    <n v="5000"/>
    <s v="2019_04.xlsx"/>
    <x v="3"/>
    <x v="3"/>
  </r>
  <r>
    <s v="MonthlyTradeStatistics 2019_04.xlsx"/>
    <x v="11"/>
    <n v="872689.63930000004"/>
    <s v="2019_04.xlsx"/>
    <x v="3"/>
    <x v="3"/>
  </r>
  <r>
    <s v="MonthlyTradeStatistics 2019_04.xlsx"/>
    <x v="12"/>
    <n v="0"/>
    <s v="2019_04.xlsx"/>
    <x v="3"/>
    <x v="3"/>
  </r>
  <r>
    <s v="MonthlyTradeStatistics 2019_04.xlsx"/>
    <x v="13"/>
    <n v="151396.09450000001"/>
    <s v="2019_04.xlsx"/>
    <x v="3"/>
    <x v="3"/>
  </r>
  <r>
    <s v="MonthlyTradeStatistics 2019_04.xlsx"/>
    <x v="14"/>
    <n v="126061.5839"/>
    <s v="2019_04.xlsx"/>
    <x v="3"/>
    <x v="3"/>
  </r>
  <r>
    <s v="MonthlyTradeStatistics 2019_04.xlsx"/>
    <x v="15"/>
    <n v="1349.6353999999999"/>
    <s v="2019_04.xlsx"/>
    <x v="3"/>
    <x v="3"/>
  </r>
  <r>
    <s v="MonthlyTradeStatistics 2019_04.xlsx"/>
    <x v="16"/>
    <n v="11417.05"/>
    <s v="2019_04.xlsx"/>
    <x v="3"/>
    <x v="3"/>
  </r>
  <r>
    <s v="MonthlyTradeStatistics 2019_04.xlsx"/>
    <x v="17"/>
    <n v="3008.4396000000002"/>
    <s v="2019_04.xlsx"/>
    <x v="3"/>
    <x v="3"/>
  </r>
  <r>
    <s v="MonthlyTradeStatistics 2019_04.xlsx"/>
    <x v="18"/>
    <n v="40089.599999999999"/>
    <s v="2019_04.xlsx"/>
    <x v="3"/>
    <x v="3"/>
  </r>
  <r>
    <s v="MonthlyTradeStatistics 2019_04.xlsx"/>
    <x v="19"/>
    <n v="79154.604200000002"/>
    <s v="2019_04.xlsx"/>
    <x v="3"/>
    <x v="3"/>
  </r>
  <r>
    <s v="MonthlyTradeStatistics 2019_04.xlsx"/>
    <x v="20"/>
    <n v="0"/>
    <s v="2019_04.xlsx"/>
    <x v="3"/>
    <x v="3"/>
  </r>
  <r>
    <s v="MonthlyTradeStatistics 2019_04.xlsx"/>
    <x v="21"/>
    <n v="311744.88329999999"/>
    <s v="2019_04.xlsx"/>
    <x v="3"/>
    <x v="3"/>
  </r>
  <r>
    <s v="MonthlyTradeStatistics 2019_04.xlsx"/>
    <x v="22"/>
    <n v="0"/>
    <s v="2019_04.xlsx"/>
    <x v="3"/>
    <x v="3"/>
  </r>
  <r>
    <s v="MonthlyTradeStatistics 2019_04.xlsx"/>
    <x v="23"/>
    <n v="2087.4187000000002"/>
    <s v="2019_04.xlsx"/>
    <x v="3"/>
    <x v="3"/>
  </r>
  <r>
    <s v="MonthlyTradeStatistics 2019_04.xlsx"/>
    <x v="24"/>
    <n v="428506.40730000002"/>
    <s v="2019_04.xlsx"/>
    <x v="3"/>
    <x v="3"/>
  </r>
  <r>
    <s v="MonthlyTradeStatistics 2019_04.xlsx"/>
    <x v="25"/>
    <n v="8877.9318000000003"/>
    <s v="2019_04.xlsx"/>
    <x v="3"/>
    <x v="3"/>
  </r>
  <r>
    <s v="MonthlyTradeStatistics 2019_04.xlsx"/>
    <x v="26"/>
    <n v="66.473299999999995"/>
    <s v="2019_04.xlsx"/>
    <x v="3"/>
    <x v="3"/>
  </r>
  <r>
    <s v="MonthlyTradeStatistics 2019_04.xlsx"/>
    <x v="27"/>
    <n v="42.538499999999999"/>
    <s v="2019_04.xlsx"/>
    <x v="3"/>
    <x v="3"/>
  </r>
  <r>
    <s v="MonthlyTradeStatistics 2019_04.xlsx"/>
    <x v="28"/>
    <n v="933536.85699999996"/>
    <s v="2019_04.xlsx"/>
    <x v="3"/>
    <x v="3"/>
  </r>
  <r>
    <s v="MonthlyTradeStatistics 2019_04.xlsx"/>
    <x v="29"/>
    <n v="598240.01760000002"/>
    <s v="2019_04.xlsx"/>
    <x v="3"/>
    <x v="3"/>
  </r>
  <r>
    <s v="MonthlyTradeStatistics 2019_04.xlsx"/>
    <x v="30"/>
    <n v="505367.20120000001"/>
    <s v="2019_04.xlsx"/>
    <x v="3"/>
    <x v="3"/>
  </r>
  <r>
    <s v="MonthlyTradeStatistics 2019_04.xlsx"/>
    <x v="31"/>
    <n v="547.0412"/>
    <s v="2019_04.xlsx"/>
    <x v="3"/>
    <x v="3"/>
  </r>
  <r>
    <s v="MonthlyTradeStatistics 2019_04.xlsx"/>
    <x v="32"/>
    <n v="84040.6296"/>
    <s v="2019_04.xlsx"/>
    <x v="3"/>
    <x v="3"/>
  </r>
  <r>
    <s v="MonthlyTradeStatistics 2019_04.xlsx"/>
    <x v="33"/>
    <n v="47475.493799999997"/>
    <s v="2019_04.xlsx"/>
    <x v="3"/>
    <x v="3"/>
  </r>
  <r>
    <s v="MonthlyTradeStatistics 2019_04.xlsx"/>
    <x v="34"/>
    <n v="0"/>
    <s v="2019_04.xlsx"/>
    <x v="3"/>
    <x v="3"/>
  </r>
  <r>
    <s v="MonthlyTradeStatistics 2019_04.xlsx"/>
    <x v="35"/>
    <n v="0.83330000000000004"/>
    <s v="2019_04.xlsx"/>
    <x v="3"/>
    <x v="3"/>
  </r>
  <r>
    <s v="MonthlyTradeStatistics 2019_04.xlsx"/>
    <x v="36"/>
    <n v="1386.8007"/>
    <s v="2019_04.xlsx"/>
    <x v="3"/>
    <x v="3"/>
  </r>
  <r>
    <s v="MonthlyTradeStatistics 2019_04.xlsx"/>
    <x v="37"/>
    <n v="298089.5722"/>
    <s v="2019_04.xlsx"/>
    <x v="3"/>
    <x v="3"/>
  </r>
  <r>
    <s v="MonthlyTradeStatistics 2019_04.xlsx"/>
    <x v="38"/>
    <n v="112.89360000000001"/>
    <s v="2019_04.xlsx"/>
    <x v="3"/>
    <x v="3"/>
  </r>
  <r>
    <s v="MonthlyTradeStatistics 2019_04.xlsx"/>
    <x v="39"/>
    <n v="368625.71470000001"/>
    <s v="2019_04.xlsx"/>
    <x v="3"/>
    <x v="3"/>
  </r>
  <r>
    <s v="MonthlyTradeStatistics 2019_04.xlsx"/>
    <x v="40"/>
    <n v="0"/>
    <s v="2019_04.xlsx"/>
    <x v="3"/>
    <x v="3"/>
  </r>
  <r>
    <s v="MonthlyTradeStatistics 2019_04.xlsx"/>
    <x v="41"/>
    <n v="2765.8117000000002"/>
    <s v="2019_04.xlsx"/>
    <x v="3"/>
    <x v="3"/>
  </r>
  <r>
    <s v="MonthlyTradeStatistics 2019_04.xlsx"/>
    <x v="42"/>
    <n v="43192.33"/>
    <s v="2019_04.xlsx"/>
    <x v="3"/>
    <x v="3"/>
  </r>
  <r>
    <s v="MonthlyTradeStatistics 2019_04.xlsx"/>
    <x v="43"/>
    <n v="0"/>
    <s v="2019_04.xlsx"/>
    <x v="3"/>
    <x v="3"/>
  </r>
  <r>
    <s v="MonthlyTradeStatistics 2019_04.xlsx"/>
    <x v="44"/>
    <n v="58766.205499999996"/>
    <s v="2019_04.xlsx"/>
    <x v="3"/>
    <x v="3"/>
  </r>
  <r>
    <s v="MonthlyTradeStatistics 2019_04.xlsx"/>
    <x v="45"/>
    <n v="838.63"/>
    <s v="2019_04.xlsx"/>
    <x v="3"/>
    <x v="3"/>
  </r>
  <r>
    <s v="MonthlyTradeStatistics 2019_04.xlsx"/>
    <x v="46"/>
    <n v="19825.920300000002"/>
    <s v="2019_04.xlsx"/>
    <x v="3"/>
    <x v="3"/>
  </r>
  <r>
    <s v="MonthlyTradeStatistics 2019_04.xlsx"/>
    <x v="47"/>
    <n v="1166.2637999999999"/>
    <s v="2019_04.xlsx"/>
    <x v="3"/>
    <x v="3"/>
  </r>
  <r>
    <s v="MonthlyTradeStatistics 2019_04.xlsx"/>
    <x v="48"/>
    <n v="73.023399999999995"/>
    <s v="2019_04.xlsx"/>
    <x v="3"/>
    <x v="3"/>
  </r>
  <r>
    <s v="MonthlyTradeStatistics 2019_04.xlsx"/>
    <x v="49"/>
    <n v="119919.54"/>
    <s v="2019_04.xlsx"/>
    <x v="3"/>
    <x v="3"/>
  </r>
  <r>
    <s v="MonthlyTradeStatistics 2019_04.xlsx"/>
    <x v="50"/>
    <n v="15861.1294"/>
    <s v="2019_04.xlsx"/>
    <x v="3"/>
    <x v="3"/>
  </r>
  <r>
    <s v="MonthlyTradeStatistics 2019_04.xlsx"/>
    <x v="51"/>
    <n v="1277"/>
    <s v="2019_04.xlsx"/>
    <x v="3"/>
    <x v="3"/>
  </r>
  <r>
    <s v="MonthlyTradeStatistics 2019_04.xlsx"/>
    <x v="52"/>
    <n v="2898.1333"/>
    <s v="2019_04.xlsx"/>
    <x v="3"/>
    <x v="3"/>
  </r>
  <r>
    <s v="MonthlyTradeStatistics 2019_04.xlsx"/>
    <x v="53"/>
    <n v="111.0117"/>
    <s v="2019_04.xlsx"/>
    <x v="3"/>
    <x v="3"/>
  </r>
  <r>
    <s v="MonthlyTradeStatistics 2019_04.xlsx"/>
    <x v="54"/>
    <n v="306315"/>
    <s v="2019_04.xlsx"/>
    <x v="3"/>
    <x v="3"/>
  </r>
  <r>
    <s v="MonthlyTradeStatistics 2019_04.xlsx"/>
    <x v="55"/>
    <n v="117.7238"/>
    <s v="2019_04.xlsx"/>
    <x v="3"/>
    <x v="3"/>
  </r>
  <r>
    <s v="MonthlyTradeStatistics 2019_04.xlsx"/>
    <x v="56"/>
    <n v="2387493.0060000001"/>
    <s v="2019_04.xlsx"/>
    <x v="3"/>
    <x v="3"/>
  </r>
  <r>
    <s v="MonthlyTradeStatistics 2019_04.xlsx"/>
    <x v="57"/>
    <n v="488.28230000000002"/>
    <s v="2019_04.xlsx"/>
    <x v="3"/>
    <x v="3"/>
  </r>
  <r>
    <s v="MonthlyTradeStatistics 2019_04.xlsx"/>
    <x v="58"/>
    <n v="3978.5464000000002"/>
    <s v="2019_04.xlsx"/>
    <x v="3"/>
    <x v="3"/>
  </r>
  <r>
    <s v="MonthlyTradeStatistics 2019_04.xlsx"/>
    <x v="59"/>
    <n v="1361.6713"/>
    <s v="2019_04.xlsx"/>
    <x v="3"/>
    <x v="3"/>
  </r>
  <r>
    <s v="MonthlyTradeStatistics 2019_05.xlsx"/>
    <x v="0"/>
    <n v="12474452.676100001"/>
    <s v="2019_05.xlsx"/>
    <x v="3"/>
    <x v="4"/>
  </r>
  <r>
    <s v="MonthlyTradeStatistics 2019_05.xlsx"/>
    <x v="1"/>
    <n v="1153784.3274000001"/>
    <s v="2019_05.xlsx"/>
    <x v="3"/>
    <x v="4"/>
  </r>
  <r>
    <s v="MonthlyTradeStatistics 2019_05.xlsx"/>
    <x v="2"/>
    <n v="3070617.1433999999"/>
    <s v="2019_05.xlsx"/>
    <x v="3"/>
    <x v="4"/>
  </r>
  <r>
    <s v="MonthlyTradeStatistics 2019_05.xlsx"/>
    <x v="3"/>
    <n v="3743624.9035"/>
    <s v="2019_05.xlsx"/>
    <x v="3"/>
    <x v="4"/>
  </r>
  <r>
    <s v="MonthlyTradeStatistics 2019_05.xlsx"/>
    <x v="4"/>
    <n v="4506426.3017999995"/>
    <s v="2019_05.xlsx"/>
    <x v="3"/>
    <x v="4"/>
  </r>
  <r>
    <s v="MonthlyTradeStatistics 2019_05.xlsx"/>
    <x v="5"/>
    <n v="0"/>
    <s v="2019_05.xlsx"/>
    <x v="3"/>
    <x v="4"/>
  </r>
  <r>
    <s v="MonthlyTradeStatistics 2019_05.xlsx"/>
    <x v="6"/>
    <n v="146.37"/>
    <s v="2019_05.xlsx"/>
    <x v="3"/>
    <x v="4"/>
  </r>
  <r>
    <s v="MonthlyTradeStatistics 2019_05.xlsx"/>
    <x v="7"/>
    <n v="3886596.1047999999"/>
    <s v="2019_05.xlsx"/>
    <x v="3"/>
    <x v="4"/>
  </r>
  <r>
    <s v="MonthlyTradeStatistics 2019_05.xlsx"/>
    <x v="8"/>
    <n v="44103.199999999997"/>
    <s v="2019_05.xlsx"/>
    <x v="3"/>
    <x v="4"/>
  </r>
  <r>
    <s v="MonthlyTradeStatistics 2019_05.xlsx"/>
    <x v="9"/>
    <n v="29000"/>
    <s v="2019_05.xlsx"/>
    <x v="3"/>
    <x v="4"/>
  </r>
  <r>
    <s v="MonthlyTradeStatistics 2019_05.xlsx"/>
    <x v="10"/>
    <n v="301.67"/>
    <s v="2019_05.xlsx"/>
    <x v="3"/>
    <x v="4"/>
  </r>
  <r>
    <s v="MonthlyTradeStatistics 2019_05.xlsx"/>
    <x v="11"/>
    <n v="1028467.2118"/>
    <s v="2019_05.xlsx"/>
    <x v="3"/>
    <x v="4"/>
  </r>
  <r>
    <s v="MonthlyTradeStatistics 2019_05.xlsx"/>
    <x v="12"/>
    <n v="0"/>
    <s v="2019_05.xlsx"/>
    <x v="3"/>
    <x v="4"/>
  </r>
  <r>
    <s v="MonthlyTradeStatistics 2019_05.xlsx"/>
    <x v="13"/>
    <n v="151181.39110000001"/>
    <s v="2019_05.xlsx"/>
    <x v="3"/>
    <x v="4"/>
  </r>
  <r>
    <s v="MonthlyTradeStatistics 2019_05.xlsx"/>
    <x v="14"/>
    <n v="255980.36799999999"/>
    <s v="2019_05.xlsx"/>
    <x v="3"/>
    <x v="4"/>
  </r>
  <r>
    <s v="MonthlyTradeStatistics 2019_05.xlsx"/>
    <x v="15"/>
    <n v="1349.6353999999999"/>
    <s v="2019_05.xlsx"/>
    <x v="3"/>
    <x v="4"/>
  </r>
  <r>
    <s v="MonthlyTradeStatistics 2019_05.xlsx"/>
    <x v="16"/>
    <n v="31560"/>
    <s v="2019_05.xlsx"/>
    <x v="3"/>
    <x v="4"/>
  </r>
  <r>
    <s v="MonthlyTradeStatistics 2019_05.xlsx"/>
    <x v="17"/>
    <n v="2114.9794999999999"/>
    <s v="2019_05.xlsx"/>
    <x v="3"/>
    <x v="4"/>
  </r>
  <r>
    <s v="MonthlyTradeStatistics 2019_05.xlsx"/>
    <x v="18"/>
    <n v="40566.141799999998"/>
    <s v="2019_05.xlsx"/>
    <x v="3"/>
    <x v="4"/>
  </r>
  <r>
    <s v="MonthlyTradeStatistics 2019_05.xlsx"/>
    <x v="19"/>
    <n v="69025.753899999996"/>
    <s v="2019_05.xlsx"/>
    <x v="3"/>
    <x v="4"/>
  </r>
  <r>
    <s v="MonthlyTradeStatistics 2019_05.xlsx"/>
    <x v="20"/>
    <n v="0"/>
    <s v="2019_05.xlsx"/>
    <x v="3"/>
    <x v="4"/>
  </r>
  <r>
    <s v="MonthlyTradeStatistics 2019_05.xlsx"/>
    <x v="21"/>
    <n v="353283.9167"/>
    <s v="2019_05.xlsx"/>
    <x v="3"/>
    <x v="4"/>
  </r>
  <r>
    <s v="MonthlyTradeStatistics 2019_05.xlsx"/>
    <x v="22"/>
    <n v="0"/>
    <s v="2019_05.xlsx"/>
    <x v="3"/>
    <x v="4"/>
  </r>
  <r>
    <s v="MonthlyTradeStatistics 2019_05.xlsx"/>
    <x v="23"/>
    <n v="1287.7453"/>
    <s v="2019_05.xlsx"/>
    <x v="3"/>
    <x v="4"/>
  </r>
  <r>
    <s v="MonthlyTradeStatistics 2019_05.xlsx"/>
    <x v="24"/>
    <n v="511312.38209999999"/>
    <s v="2019_05.xlsx"/>
    <x v="3"/>
    <x v="4"/>
  </r>
  <r>
    <s v="MonthlyTradeStatistics 2019_05.xlsx"/>
    <x v="25"/>
    <n v="4762.7118"/>
    <s v="2019_05.xlsx"/>
    <x v="3"/>
    <x v="4"/>
  </r>
  <r>
    <s v="MonthlyTradeStatistics 2019_05.xlsx"/>
    <x v="26"/>
    <n v="39.039700000000003"/>
    <s v="2019_05.xlsx"/>
    <x v="3"/>
    <x v="4"/>
  </r>
  <r>
    <s v="MonthlyTradeStatistics 2019_05.xlsx"/>
    <x v="27"/>
    <n v="413.25920000000002"/>
    <s v="2019_05.xlsx"/>
    <x v="3"/>
    <x v="4"/>
  </r>
  <r>
    <s v="MonthlyTradeStatistics 2019_05.xlsx"/>
    <x v="28"/>
    <n v="922396.76100000006"/>
    <s v="2019_05.xlsx"/>
    <x v="3"/>
    <x v="4"/>
  </r>
  <r>
    <s v="MonthlyTradeStatistics 2019_05.xlsx"/>
    <x v="29"/>
    <n v="624740.14500000002"/>
    <s v="2019_05.xlsx"/>
    <x v="3"/>
    <x v="4"/>
  </r>
  <r>
    <s v="MonthlyTradeStatistics 2019_05.xlsx"/>
    <x v="30"/>
    <n v="559756.11780000001"/>
    <s v="2019_05.xlsx"/>
    <x v="3"/>
    <x v="4"/>
  </r>
  <r>
    <s v="MonthlyTradeStatistics 2019_05.xlsx"/>
    <x v="31"/>
    <n v="551.22839999999997"/>
    <s v="2019_05.xlsx"/>
    <x v="3"/>
    <x v="4"/>
  </r>
  <r>
    <s v="MonthlyTradeStatistics 2019_05.xlsx"/>
    <x v="32"/>
    <n v="78800.406600000002"/>
    <s v="2019_05.xlsx"/>
    <x v="3"/>
    <x v="4"/>
  </r>
  <r>
    <s v="MonthlyTradeStatistics 2019_05.xlsx"/>
    <x v="33"/>
    <n v="72328.074500000002"/>
    <s v="2019_05.xlsx"/>
    <x v="3"/>
    <x v="4"/>
  </r>
  <r>
    <s v="MonthlyTradeStatistics 2019_05.xlsx"/>
    <x v="34"/>
    <n v="0"/>
    <s v="2019_05.xlsx"/>
    <x v="3"/>
    <x v="4"/>
  </r>
  <r>
    <s v="MonthlyTradeStatistics 2019_05.xlsx"/>
    <x v="35"/>
    <n v="0.3538"/>
    <s v="2019_05.xlsx"/>
    <x v="3"/>
    <x v="4"/>
  </r>
  <r>
    <s v="MonthlyTradeStatistics 2019_05.xlsx"/>
    <x v="36"/>
    <n v="1224.808"/>
    <s v="2019_05.xlsx"/>
    <x v="3"/>
    <x v="4"/>
  </r>
  <r>
    <s v="MonthlyTradeStatistics 2019_05.xlsx"/>
    <x v="37"/>
    <n v="283343.86170000001"/>
    <s v="2019_05.xlsx"/>
    <x v="3"/>
    <x v="4"/>
  </r>
  <r>
    <s v="MonthlyTradeStatistics 2019_05.xlsx"/>
    <x v="38"/>
    <n v="141.67400000000001"/>
    <s v="2019_05.xlsx"/>
    <x v="3"/>
    <x v="4"/>
  </r>
  <r>
    <s v="MonthlyTradeStatistics 2019_05.xlsx"/>
    <x v="39"/>
    <n v="417908.9117"/>
    <s v="2019_05.xlsx"/>
    <x v="3"/>
    <x v="4"/>
  </r>
  <r>
    <s v="MonthlyTradeStatistics 2019_05.xlsx"/>
    <x v="40"/>
    <n v="0"/>
    <s v="2019_05.xlsx"/>
    <x v="3"/>
    <x v="4"/>
  </r>
  <r>
    <s v="MonthlyTradeStatistics 2019_05.xlsx"/>
    <x v="41"/>
    <n v="7262.0598"/>
    <s v="2019_05.xlsx"/>
    <x v="3"/>
    <x v="4"/>
  </r>
  <r>
    <s v="MonthlyTradeStatistics 2019_05.xlsx"/>
    <x v="42"/>
    <n v="78233.069799999997"/>
    <s v="2019_05.xlsx"/>
    <x v="3"/>
    <x v="4"/>
  </r>
  <r>
    <s v="MonthlyTradeStatistics 2019_05.xlsx"/>
    <x v="43"/>
    <n v="0"/>
    <s v="2019_05.xlsx"/>
    <x v="3"/>
    <x v="4"/>
  </r>
  <r>
    <s v="MonthlyTradeStatistics 2019_05.xlsx"/>
    <x v="44"/>
    <n v="82803.052599999995"/>
    <s v="2019_05.xlsx"/>
    <x v="3"/>
    <x v="4"/>
  </r>
  <r>
    <s v="MonthlyTradeStatistics 2019_05.xlsx"/>
    <x v="45"/>
    <n v="788.97"/>
    <s v="2019_05.xlsx"/>
    <x v="3"/>
    <x v="4"/>
  </r>
  <r>
    <s v="MonthlyTradeStatistics 2019_05.xlsx"/>
    <x v="46"/>
    <n v="25923.429400000001"/>
    <s v="2019_05.xlsx"/>
    <x v="3"/>
    <x v="4"/>
  </r>
  <r>
    <s v="MonthlyTradeStatistics 2019_05.xlsx"/>
    <x v="47"/>
    <n v="1742.9338"/>
    <s v="2019_05.xlsx"/>
    <x v="3"/>
    <x v="4"/>
  </r>
  <r>
    <s v="MonthlyTradeStatistics 2019_05.xlsx"/>
    <x v="48"/>
    <n v="62.632300000000001"/>
    <s v="2019_05.xlsx"/>
    <x v="3"/>
    <x v="4"/>
  </r>
  <r>
    <s v="MonthlyTradeStatistics 2019_05.xlsx"/>
    <x v="49"/>
    <n v="66139.038"/>
    <s v="2019_05.xlsx"/>
    <x v="3"/>
    <x v="4"/>
  </r>
  <r>
    <s v="MonthlyTradeStatistics 2019_05.xlsx"/>
    <x v="50"/>
    <n v="19942.053100000001"/>
    <s v="2019_05.xlsx"/>
    <x v="3"/>
    <x v="4"/>
  </r>
  <r>
    <s v="MonthlyTradeStatistics 2019_05.xlsx"/>
    <x v="51"/>
    <n v="5284"/>
    <s v="2019_05.xlsx"/>
    <x v="3"/>
    <x v="4"/>
  </r>
  <r>
    <s v="MonthlyTradeStatistics 2019_05.xlsx"/>
    <x v="52"/>
    <n v="2252.8667"/>
    <s v="2019_05.xlsx"/>
    <x v="3"/>
    <x v="4"/>
  </r>
  <r>
    <s v="MonthlyTradeStatistics 2019_05.xlsx"/>
    <x v="53"/>
    <n v="930.17439999999999"/>
    <s v="2019_05.xlsx"/>
    <x v="3"/>
    <x v="4"/>
  </r>
  <r>
    <s v="MonthlyTradeStatistics 2019_05.xlsx"/>
    <x v="54"/>
    <n v="348632"/>
    <s v="2019_05.xlsx"/>
    <x v="3"/>
    <x v="4"/>
  </r>
  <r>
    <s v="MonthlyTradeStatistics 2019_05.xlsx"/>
    <x v="55"/>
    <n v="28701.078600000001"/>
    <s v="2019_05.xlsx"/>
    <x v="3"/>
    <x v="4"/>
  </r>
  <r>
    <s v="MonthlyTradeStatistics 2019_05.xlsx"/>
    <x v="56"/>
    <n v="2429876.4698000001"/>
    <s v="2019_05.xlsx"/>
    <x v="3"/>
    <x v="4"/>
  </r>
  <r>
    <s v="MonthlyTradeStatistics 2019_05.xlsx"/>
    <x v="57"/>
    <n v="850.73500000000001"/>
    <s v="2019_05.xlsx"/>
    <x v="3"/>
    <x v="4"/>
  </r>
  <r>
    <s v="MonthlyTradeStatistics 2019_05.xlsx"/>
    <x v="58"/>
    <n v="1993.8892000000001"/>
    <s v="2019_05.xlsx"/>
    <x v="3"/>
    <x v="4"/>
  </r>
  <r>
    <s v="MonthlyTradeStatistics 2019_05.xlsx"/>
    <x v="59"/>
    <n v="350"/>
    <s v="2019_05.xlsx"/>
    <x v="3"/>
    <x v="4"/>
  </r>
  <r>
    <s v="MonthlyTradeStatistics 2019_06.xlsx"/>
    <x v="0"/>
    <n v="11148177.982100001"/>
    <s v="2019_06.xlsx"/>
    <x v="3"/>
    <x v="5"/>
  </r>
  <r>
    <s v="MonthlyTradeStatistics 2019_06.xlsx"/>
    <x v="1"/>
    <n v="1218303.7786999999"/>
    <s v="2019_06.xlsx"/>
    <x v="3"/>
    <x v="5"/>
  </r>
  <r>
    <s v="MonthlyTradeStatistics 2019_06.xlsx"/>
    <x v="2"/>
    <n v="2909383.6982999998"/>
    <s v="2019_06.xlsx"/>
    <x v="3"/>
    <x v="5"/>
  </r>
  <r>
    <s v="MonthlyTradeStatistics 2019_06.xlsx"/>
    <x v="3"/>
    <n v="3012499.3428000002"/>
    <s v="2019_06.xlsx"/>
    <x v="3"/>
    <x v="5"/>
  </r>
  <r>
    <s v="MonthlyTradeStatistics 2019_06.xlsx"/>
    <x v="4"/>
    <n v="4007991.1623"/>
    <s v="2019_06.xlsx"/>
    <x v="3"/>
    <x v="5"/>
  </r>
  <r>
    <s v="MonthlyTradeStatistics 2019_06.xlsx"/>
    <x v="5"/>
    <n v="1032.7888"/>
    <s v="2019_06.xlsx"/>
    <x v="3"/>
    <x v="5"/>
  </r>
  <r>
    <s v="MonthlyTradeStatistics 2019_06.xlsx"/>
    <x v="6"/>
    <n v="3.1667000000000001"/>
    <s v="2019_06.xlsx"/>
    <x v="3"/>
    <x v="5"/>
  </r>
  <r>
    <s v="MonthlyTradeStatistics 2019_06.xlsx"/>
    <x v="7"/>
    <n v="3102695.8480000002"/>
    <s v="2019_06.xlsx"/>
    <x v="3"/>
    <x v="5"/>
  </r>
  <r>
    <s v="MonthlyTradeStatistics 2019_06.xlsx"/>
    <x v="8"/>
    <n v="25220.256399999998"/>
    <s v="2019_06.xlsx"/>
    <x v="3"/>
    <x v="5"/>
  </r>
  <r>
    <s v="MonthlyTradeStatistics 2019_06.xlsx"/>
    <x v="9"/>
    <n v="6612"/>
    <s v="2019_06.xlsx"/>
    <x v="3"/>
    <x v="5"/>
  </r>
  <r>
    <s v="MonthlyTradeStatistics 2019_06.xlsx"/>
    <x v="10"/>
    <n v="0"/>
    <s v="2019_06.xlsx"/>
    <x v="3"/>
    <x v="5"/>
  </r>
  <r>
    <s v="MonthlyTradeStatistics 2019_06.xlsx"/>
    <x v="11"/>
    <n v="1110815.8836999999"/>
    <s v="2019_06.xlsx"/>
    <x v="3"/>
    <x v="5"/>
  </r>
  <r>
    <s v="MonthlyTradeStatistics 2019_06.xlsx"/>
    <x v="12"/>
    <n v="0"/>
    <s v="2019_06.xlsx"/>
    <x v="3"/>
    <x v="5"/>
  </r>
  <r>
    <s v="MonthlyTradeStatistics 2019_06.xlsx"/>
    <x v="13"/>
    <n v="136462.54800000001"/>
    <s v="2019_06.xlsx"/>
    <x v="3"/>
    <x v="5"/>
  </r>
  <r>
    <s v="MonthlyTradeStatistics 2019_06.xlsx"/>
    <x v="14"/>
    <n v="147393.1171"/>
    <s v="2019_06.xlsx"/>
    <x v="3"/>
    <x v="5"/>
  </r>
  <r>
    <s v="MonthlyTradeStatistics 2019_06.xlsx"/>
    <x v="15"/>
    <n v="1349.6353999999999"/>
    <s v="2019_06.xlsx"/>
    <x v="3"/>
    <x v="5"/>
  </r>
  <r>
    <s v="MonthlyTradeStatistics 2019_06.xlsx"/>
    <x v="16"/>
    <n v="15530"/>
    <s v="2019_06.xlsx"/>
    <x v="3"/>
    <x v="5"/>
  </r>
  <r>
    <s v="MonthlyTradeStatistics 2019_06.xlsx"/>
    <x v="17"/>
    <n v="2756.9077000000002"/>
    <s v="2019_06.xlsx"/>
    <x v="3"/>
    <x v="5"/>
  </r>
  <r>
    <s v="MonthlyTradeStatistics 2019_06.xlsx"/>
    <x v="18"/>
    <n v="37241.542000000001"/>
    <s v="2019_06.xlsx"/>
    <x v="3"/>
    <x v="5"/>
  </r>
  <r>
    <s v="MonthlyTradeStatistics 2019_06.xlsx"/>
    <x v="19"/>
    <n v="72410.915099999998"/>
    <s v="2019_06.xlsx"/>
    <x v="3"/>
    <x v="5"/>
  </r>
  <r>
    <s v="MonthlyTradeStatistics 2019_06.xlsx"/>
    <x v="20"/>
    <n v="0"/>
    <s v="2019_06.xlsx"/>
    <x v="3"/>
    <x v="5"/>
  </r>
  <r>
    <s v="MonthlyTradeStatistics 2019_06.xlsx"/>
    <x v="21"/>
    <n v="411558.25"/>
    <s v="2019_06.xlsx"/>
    <x v="3"/>
    <x v="5"/>
  </r>
  <r>
    <s v="MonthlyTradeStatistics 2019_06.xlsx"/>
    <x v="22"/>
    <n v="0"/>
    <s v="2019_06.xlsx"/>
    <x v="3"/>
    <x v="5"/>
  </r>
  <r>
    <s v="MonthlyTradeStatistics 2019_06.xlsx"/>
    <x v="23"/>
    <n v="748.85329999999999"/>
    <s v="2019_06.xlsx"/>
    <x v="3"/>
    <x v="5"/>
  </r>
  <r>
    <s v="MonthlyTradeStatistics 2019_06.xlsx"/>
    <x v="24"/>
    <n v="471147.78"/>
    <s v="2019_06.xlsx"/>
    <x v="3"/>
    <x v="5"/>
  </r>
  <r>
    <s v="MonthlyTradeStatistics 2019_06.xlsx"/>
    <x v="25"/>
    <n v="6402.9318000000003"/>
    <s v="2019_06.xlsx"/>
    <x v="3"/>
    <x v="5"/>
  </r>
  <r>
    <s v="MonthlyTradeStatistics 2019_06.xlsx"/>
    <x v="26"/>
    <n v="28.3233"/>
    <s v="2019_06.xlsx"/>
    <x v="3"/>
    <x v="5"/>
  </r>
  <r>
    <s v="MonthlyTradeStatistics 2019_06.xlsx"/>
    <x v="27"/>
    <n v="34.529499999999999"/>
    <s v="2019_06.xlsx"/>
    <x v="3"/>
    <x v="5"/>
  </r>
  <r>
    <s v="MonthlyTradeStatistics 2019_06.xlsx"/>
    <x v="28"/>
    <n v="926003.86629999999"/>
    <s v="2019_06.xlsx"/>
    <x v="3"/>
    <x v="5"/>
  </r>
  <r>
    <s v="MonthlyTradeStatistics 2019_06.xlsx"/>
    <x v="29"/>
    <n v="513956.8382"/>
    <s v="2019_06.xlsx"/>
    <x v="3"/>
    <x v="5"/>
  </r>
  <r>
    <s v="MonthlyTradeStatistics 2019_06.xlsx"/>
    <x v="30"/>
    <n v="343499.63339999999"/>
    <s v="2019_06.xlsx"/>
    <x v="3"/>
    <x v="5"/>
  </r>
  <r>
    <s v="MonthlyTradeStatistics 2019_06.xlsx"/>
    <x v="31"/>
    <n v="1049.8426999999999"/>
    <s v="2019_06.xlsx"/>
    <x v="3"/>
    <x v="5"/>
  </r>
  <r>
    <s v="MonthlyTradeStatistics 2019_06.xlsx"/>
    <x v="32"/>
    <n v="83732.744999999995"/>
    <s v="2019_06.xlsx"/>
    <x v="3"/>
    <x v="5"/>
  </r>
  <r>
    <s v="MonthlyTradeStatistics 2019_06.xlsx"/>
    <x v="33"/>
    <n v="45131.895799999998"/>
    <s v="2019_06.xlsx"/>
    <x v="3"/>
    <x v="5"/>
  </r>
  <r>
    <s v="MonthlyTradeStatistics 2019_06.xlsx"/>
    <x v="34"/>
    <n v="0"/>
    <s v="2019_06.xlsx"/>
    <x v="3"/>
    <x v="5"/>
  </r>
  <r>
    <s v="MonthlyTradeStatistics 2019_06.xlsx"/>
    <x v="35"/>
    <n v="0.13"/>
    <s v="2019_06.xlsx"/>
    <x v="3"/>
    <x v="5"/>
  </r>
  <r>
    <s v="MonthlyTradeStatistics 2019_06.xlsx"/>
    <x v="36"/>
    <n v="574.77800000000002"/>
    <s v="2019_06.xlsx"/>
    <x v="3"/>
    <x v="5"/>
  </r>
  <r>
    <s v="MonthlyTradeStatistics 2019_06.xlsx"/>
    <x v="37"/>
    <n v="259747.33929999999"/>
    <s v="2019_06.xlsx"/>
    <x v="3"/>
    <x v="5"/>
  </r>
  <r>
    <s v="MonthlyTradeStatistics 2019_06.xlsx"/>
    <x v="38"/>
    <n v="264.52690000000001"/>
    <s v="2019_06.xlsx"/>
    <x v="3"/>
    <x v="5"/>
  </r>
  <r>
    <s v="MonthlyTradeStatistics 2019_06.xlsx"/>
    <x v="39"/>
    <n v="378112.31319999998"/>
    <s v="2019_06.xlsx"/>
    <x v="3"/>
    <x v="5"/>
  </r>
  <r>
    <s v="MonthlyTradeStatistics 2019_06.xlsx"/>
    <x v="40"/>
    <n v="0"/>
    <s v="2019_06.xlsx"/>
    <x v="3"/>
    <x v="5"/>
  </r>
  <r>
    <s v="MonthlyTradeStatistics 2019_06.xlsx"/>
    <x v="41"/>
    <n v="7515.8658999999998"/>
    <s v="2019_06.xlsx"/>
    <x v="3"/>
    <x v="5"/>
  </r>
  <r>
    <s v="MonthlyTradeStatistics 2019_06.xlsx"/>
    <x v="42"/>
    <n v="61413.67"/>
    <s v="2019_06.xlsx"/>
    <x v="3"/>
    <x v="5"/>
  </r>
  <r>
    <s v="MonthlyTradeStatistics 2019_06.xlsx"/>
    <x v="43"/>
    <n v="0"/>
    <s v="2019_06.xlsx"/>
    <x v="3"/>
    <x v="5"/>
  </r>
  <r>
    <s v="MonthlyTradeStatistics 2019_06.xlsx"/>
    <x v="44"/>
    <n v="173345.9345"/>
    <s v="2019_06.xlsx"/>
    <x v="3"/>
    <x v="5"/>
  </r>
  <r>
    <s v="MonthlyTradeStatistics 2019_06.xlsx"/>
    <x v="45"/>
    <n v="317.82400000000001"/>
    <s v="2019_06.xlsx"/>
    <x v="3"/>
    <x v="5"/>
  </r>
  <r>
    <s v="MonthlyTradeStatistics 2019_06.xlsx"/>
    <x v="46"/>
    <n v="24010.429400000001"/>
    <s v="2019_06.xlsx"/>
    <x v="3"/>
    <x v="5"/>
  </r>
  <r>
    <s v="MonthlyTradeStatistics 2019_06.xlsx"/>
    <x v="47"/>
    <n v="7021.2538000000004"/>
    <s v="2019_06.xlsx"/>
    <x v="3"/>
    <x v="5"/>
  </r>
  <r>
    <s v="MonthlyTradeStatistics 2019_06.xlsx"/>
    <x v="48"/>
    <n v="43.3384"/>
    <s v="2019_06.xlsx"/>
    <x v="3"/>
    <x v="5"/>
  </r>
  <r>
    <s v="MonthlyTradeStatistics 2019_06.xlsx"/>
    <x v="49"/>
    <n v="59466.15"/>
    <s v="2019_06.xlsx"/>
    <x v="3"/>
    <x v="5"/>
  </r>
  <r>
    <s v="MonthlyTradeStatistics 2019_06.xlsx"/>
    <x v="50"/>
    <n v="6939.5411000000004"/>
    <s v="2019_06.xlsx"/>
    <x v="3"/>
    <x v="5"/>
  </r>
  <r>
    <s v="MonthlyTradeStatistics 2019_06.xlsx"/>
    <x v="51"/>
    <n v="4833.05"/>
    <s v="2019_06.xlsx"/>
    <x v="3"/>
    <x v="5"/>
  </r>
  <r>
    <s v="MonthlyTradeStatistics 2019_06.xlsx"/>
    <x v="52"/>
    <n v="2209.7332999999999"/>
    <s v="2019_06.xlsx"/>
    <x v="3"/>
    <x v="5"/>
  </r>
  <r>
    <s v="MonthlyTradeStatistics 2019_06.xlsx"/>
    <x v="53"/>
    <n v="355.74529999999999"/>
    <s v="2019_06.xlsx"/>
    <x v="3"/>
    <x v="5"/>
  </r>
  <r>
    <s v="MonthlyTradeStatistics 2019_06.xlsx"/>
    <x v="54"/>
    <n v="341628"/>
    <s v="2019_06.xlsx"/>
    <x v="3"/>
    <x v="5"/>
  </r>
  <r>
    <s v="MonthlyTradeStatistics 2019_06.xlsx"/>
    <x v="55"/>
    <n v="450.95609999999999"/>
    <s v="2019_06.xlsx"/>
    <x v="3"/>
    <x v="5"/>
  </r>
  <r>
    <s v="MonthlyTradeStatistics 2019_06.xlsx"/>
    <x v="56"/>
    <n v="2354120.1957999999"/>
    <s v="2019_06.xlsx"/>
    <x v="3"/>
    <x v="5"/>
  </r>
  <r>
    <s v="MonthlyTradeStatistics 2019_06.xlsx"/>
    <x v="57"/>
    <n v="1126.6925000000001"/>
    <s v="2019_06.xlsx"/>
    <x v="3"/>
    <x v="5"/>
  </r>
  <r>
    <s v="MonthlyTradeStatistics 2019_06.xlsx"/>
    <x v="58"/>
    <n v="1860.4164000000001"/>
    <s v="2019_06.xlsx"/>
    <x v="3"/>
    <x v="5"/>
  </r>
  <r>
    <s v="MonthlyTradeStatistics 2019_06.xlsx"/>
    <x v="59"/>
    <n v="0"/>
    <s v="2019_06.xlsx"/>
    <x v="3"/>
    <x v="5"/>
  </r>
  <r>
    <s v="MonthlyTradeStatistics 2019_07.xlsx"/>
    <x v="0"/>
    <n v="11930139.0229"/>
    <s v="2019_07.xlsx"/>
    <x v="3"/>
    <x v="6"/>
  </r>
  <r>
    <s v="MonthlyTradeStatistics 2019_07.xlsx"/>
    <x v="1"/>
    <n v="1224235.4987000001"/>
    <s v="2019_07.xlsx"/>
    <x v="3"/>
    <x v="6"/>
  </r>
  <r>
    <s v="MonthlyTradeStatistics 2019_07.xlsx"/>
    <x v="2"/>
    <n v="2770824.4696999998"/>
    <s v="2019_07.xlsx"/>
    <x v="3"/>
    <x v="6"/>
  </r>
  <r>
    <s v="MonthlyTradeStatistics 2019_07.xlsx"/>
    <x v="3"/>
    <n v="3214432.7796"/>
    <s v="2019_07.xlsx"/>
    <x v="3"/>
    <x v="6"/>
  </r>
  <r>
    <s v="MonthlyTradeStatistics 2019_07.xlsx"/>
    <x v="4"/>
    <n v="4720646.2748999996"/>
    <s v="2019_07.xlsx"/>
    <x v="3"/>
    <x v="6"/>
  </r>
  <r>
    <s v="MonthlyTradeStatistics 2019_07.xlsx"/>
    <x v="5"/>
    <n v="2780.3166999999999"/>
    <s v="2019_07.xlsx"/>
    <x v="3"/>
    <x v="6"/>
  </r>
  <r>
    <s v="MonthlyTradeStatistics 2019_07.xlsx"/>
    <x v="6"/>
    <n v="233.33330000000001"/>
    <s v="2019_07.xlsx"/>
    <x v="3"/>
    <x v="6"/>
  </r>
  <r>
    <s v="MonthlyTradeStatistics 2019_07.xlsx"/>
    <x v="7"/>
    <n v="3390434.1798"/>
    <s v="2019_07.xlsx"/>
    <x v="3"/>
    <x v="6"/>
  </r>
  <r>
    <s v="MonthlyTradeStatistics 2019_07.xlsx"/>
    <x v="8"/>
    <n v="21504.7"/>
    <s v="2019_07.xlsx"/>
    <x v="3"/>
    <x v="6"/>
  </r>
  <r>
    <s v="MonthlyTradeStatistics 2019_07.xlsx"/>
    <x v="9"/>
    <n v="48980"/>
    <s v="2019_07.xlsx"/>
    <x v="3"/>
    <x v="6"/>
  </r>
  <r>
    <s v="MonthlyTradeStatistics 2019_07.xlsx"/>
    <x v="10"/>
    <n v="0"/>
    <s v="2019_07.xlsx"/>
    <x v="3"/>
    <x v="6"/>
  </r>
  <r>
    <s v="MonthlyTradeStatistics 2019_07.xlsx"/>
    <x v="11"/>
    <n v="1122194.3206"/>
    <s v="2019_07.xlsx"/>
    <x v="3"/>
    <x v="6"/>
  </r>
  <r>
    <s v="MonthlyTradeStatistics 2019_07.xlsx"/>
    <x v="12"/>
    <n v="0"/>
    <s v="2019_07.xlsx"/>
    <x v="3"/>
    <x v="6"/>
  </r>
  <r>
    <s v="MonthlyTradeStatistics 2019_07.xlsx"/>
    <x v="13"/>
    <n v="117725.7197"/>
    <s v="2019_07.xlsx"/>
    <x v="3"/>
    <x v="6"/>
  </r>
  <r>
    <s v="MonthlyTradeStatistics 2019_07.xlsx"/>
    <x v="14"/>
    <n v="266734.75060000003"/>
    <s v="2019_07.xlsx"/>
    <x v="3"/>
    <x v="6"/>
  </r>
  <r>
    <s v="MonthlyTradeStatistics 2019_07.xlsx"/>
    <x v="15"/>
    <n v="1349.6353999999999"/>
    <s v="2019_07.xlsx"/>
    <x v="3"/>
    <x v="6"/>
  </r>
  <r>
    <s v="MonthlyTradeStatistics 2019_07.xlsx"/>
    <x v="16"/>
    <n v="23275"/>
    <s v="2019_07.xlsx"/>
    <x v="3"/>
    <x v="6"/>
  </r>
  <r>
    <s v="MonthlyTradeStatistics 2019_07.xlsx"/>
    <x v="17"/>
    <n v="1819.3321000000001"/>
    <s v="2019_07.xlsx"/>
    <x v="3"/>
    <x v="6"/>
  </r>
  <r>
    <s v="MonthlyTradeStatistics 2019_07.xlsx"/>
    <x v="18"/>
    <n v="44000.703399999999"/>
    <s v="2019_07.xlsx"/>
    <x v="3"/>
    <x v="6"/>
  </r>
  <r>
    <s v="MonthlyTradeStatistics 2019_07.xlsx"/>
    <x v="19"/>
    <n v="56153.2883"/>
    <s v="2019_07.xlsx"/>
    <x v="3"/>
    <x v="6"/>
  </r>
  <r>
    <s v="MonthlyTradeStatistics 2019_07.xlsx"/>
    <x v="20"/>
    <n v="0"/>
    <s v="2019_07.xlsx"/>
    <x v="3"/>
    <x v="6"/>
  </r>
  <r>
    <s v="MonthlyTradeStatistics 2019_07.xlsx"/>
    <x v="21"/>
    <n v="529954.75329999998"/>
    <s v="2019_07.xlsx"/>
    <x v="3"/>
    <x v="6"/>
  </r>
  <r>
    <s v="MonthlyTradeStatistics 2019_07.xlsx"/>
    <x v="22"/>
    <n v="0"/>
    <s v="2019_07.xlsx"/>
    <x v="3"/>
    <x v="6"/>
  </r>
  <r>
    <s v="MonthlyTradeStatistics 2019_07.xlsx"/>
    <x v="23"/>
    <n v="710.30259999999998"/>
    <s v="2019_07.xlsx"/>
    <x v="3"/>
    <x v="6"/>
  </r>
  <r>
    <s v="MonthlyTradeStatistics 2019_07.xlsx"/>
    <x v="24"/>
    <n v="400439.46509999997"/>
    <s v="2019_07.xlsx"/>
    <x v="3"/>
    <x v="6"/>
  </r>
  <r>
    <s v="MonthlyTradeStatistics 2019_07.xlsx"/>
    <x v="25"/>
    <n v="4752.9318000000003"/>
    <s v="2019_07.xlsx"/>
    <x v="3"/>
    <x v="6"/>
  </r>
  <r>
    <s v="MonthlyTradeStatistics 2019_07.xlsx"/>
    <x v="26"/>
    <n v="17.333300000000001"/>
    <s v="2019_07.xlsx"/>
    <x v="3"/>
    <x v="6"/>
  </r>
  <r>
    <s v="MonthlyTradeStatistics 2019_07.xlsx"/>
    <x v="27"/>
    <n v="763.01419999999996"/>
    <s v="2019_07.xlsx"/>
    <x v="3"/>
    <x v="6"/>
  </r>
  <r>
    <s v="MonthlyTradeStatistics 2019_07.xlsx"/>
    <x v="28"/>
    <n v="696659.18229999999"/>
    <s v="2019_07.xlsx"/>
    <x v="3"/>
    <x v="6"/>
  </r>
  <r>
    <s v="MonthlyTradeStatistics 2019_07.xlsx"/>
    <x v="29"/>
    <n v="496384.83549999999"/>
    <s v="2019_07.xlsx"/>
    <x v="3"/>
    <x v="6"/>
  </r>
  <r>
    <s v="MonthlyTradeStatistics 2019_07.xlsx"/>
    <x v="30"/>
    <n v="660605.58400000003"/>
    <s v="2019_07.xlsx"/>
    <x v="3"/>
    <x v="6"/>
  </r>
  <r>
    <s v="MonthlyTradeStatistics 2019_07.xlsx"/>
    <x v="31"/>
    <n v="1536.3332"/>
    <s v="2019_07.xlsx"/>
    <x v="3"/>
    <x v="6"/>
  </r>
  <r>
    <s v="MonthlyTradeStatistics 2019_07.xlsx"/>
    <x v="32"/>
    <n v="87629.649099999995"/>
    <s v="2019_07.xlsx"/>
    <x v="3"/>
    <x v="6"/>
  </r>
  <r>
    <s v="MonthlyTradeStatistics 2019_07.xlsx"/>
    <x v="33"/>
    <n v="49304.993199999997"/>
    <s v="2019_07.xlsx"/>
    <x v="3"/>
    <x v="6"/>
  </r>
  <r>
    <s v="MonthlyTradeStatistics 2019_07.xlsx"/>
    <x v="34"/>
    <n v="0"/>
    <s v="2019_07.xlsx"/>
    <x v="3"/>
    <x v="6"/>
  </r>
  <r>
    <s v="MonthlyTradeStatistics 2019_07.xlsx"/>
    <x v="35"/>
    <n v="5.0198"/>
    <s v="2019_07.xlsx"/>
    <x v="3"/>
    <x v="6"/>
  </r>
  <r>
    <s v="MonthlyTradeStatistics 2019_07.xlsx"/>
    <x v="36"/>
    <n v="1244.7380000000001"/>
    <s v="2019_07.xlsx"/>
    <x v="3"/>
    <x v="6"/>
  </r>
  <r>
    <s v="MonthlyTradeStatistics 2019_07.xlsx"/>
    <x v="37"/>
    <n v="224267.89749999999"/>
    <s v="2019_07.xlsx"/>
    <x v="3"/>
    <x v="6"/>
  </r>
  <r>
    <s v="MonthlyTradeStatistics 2019_07.xlsx"/>
    <x v="38"/>
    <n v="130.33699999999999"/>
    <s v="2019_07.xlsx"/>
    <x v="3"/>
    <x v="6"/>
  </r>
  <r>
    <s v="MonthlyTradeStatistics 2019_07.xlsx"/>
    <x v="39"/>
    <n v="291678.5123"/>
    <s v="2019_07.xlsx"/>
    <x v="3"/>
    <x v="6"/>
  </r>
  <r>
    <s v="MonthlyTradeStatistics 2019_07.xlsx"/>
    <x v="40"/>
    <n v="0"/>
    <s v="2019_07.xlsx"/>
    <x v="3"/>
    <x v="6"/>
  </r>
  <r>
    <s v="MonthlyTradeStatistics 2019_07.xlsx"/>
    <x v="41"/>
    <n v="6911.6392999999998"/>
    <s v="2019_07.xlsx"/>
    <x v="3"/>
    <x v="6"/>
  </r>
  <r>
    <s v="MonthlyTradeStatistics 2019_07.xlsx"/>
    <x v="42"/>
    <n v="77545.429999999993"/>
    <s v="2019_07.xlsx"/>
    <x v="3"/>
    <x v="6"/>
  </r>
  <r>
    <s v="MonthlyTradeStatistics 2019_07.xlsx"/>
    <x v="43"/>
    <n v="0"/>
    <s v="2019_07.xlsx"/>
    <x v="3"/>
    <x v="6"/>
  </r>
  <r>
    <s v="MonthlyTradeStatistics 2019_07.xlsx"/>
    <x v="44"/>
    <n v="395908.42609999998"/>
    <s v="2019_07.xlsx"/>
    <x v="3"/>
    <x v="6"/>
  </r>
  <r>
    <s v="MonthlyTradeStatistics 2019_07.xlsx"/>
    <x v="45"/>
    <n v="940.654"/>
    <s v="2019_07.xlsx"/>
    <x v="3"/>
    <x v="6"/>
  </r>
  <r>
    <s v="MonthlyTradeStatistics 2019_07.xlsx"/>
    <x v="46"/>
    <n v="48881.080499999996"/>
    <s v="2019_07.xlsx"/>
    <x v="3"/>
    <x v="6"/>
  </r>
  <r>
    <s v="MonthlyTradeStatistics 2019_07.xlsx"/>
    <x v="47"/>
    <n v="4154.5937999999996"/>
    <s v="2019_07.xlsx"/>
    <x v="3"/>
    <x v="6"/>
  </r>
  <r>
    <s v="MonthlyTradeStatistics 2019_07.xlsx"/>
    <x v="48"/>
    <n v="381.3075"/>
    <s v="2019_07.xlsx"/>
    <x v="3"/>
    <x v="6"/>
  </r>
  <r>
    <s v="MonthlyTradeStatistics 2019_07.xlsx"/>
    <x v="49"/>
    <n v="40461.027999999998"/>
    <s v="2019_07.xlsx"/>
    <x v="3"/>
    <x v="6"/>
  </r>
  <r>
    <s v="MonthlyTradeStatistics 2019_07.xlsx"/>
    <x v="50"/>
    <n v="10398.0075"/>
    <s v="2019_07.xlsx"/>
    <x v="3"/>
    <x v="6"/>
  </r>
  <r>
    <s v="MonthlyTradeStatistics 2019_07.xlsx"/>
    <x v="51"/>
    <n v="16086.6167"/>
    <s v="2019_07.xlsx"/>
    <x v="3"/>
    <x v="6"/>
  </r>
  <r>
    <s v="MonthlyTradeStatistics 2019_07.xlsx"/>
    <x v="52"/>
    <n v="2450.5333000000001"/>
    <s v="2019_07.xlsx"/>
    <x v="3"/>
    <x v="6"/>
  </r>
  <r>
    <s v="MonthlyTradeStatistics 2019_07.xlsx"/>
    <x v="53"/>
    <n v="144.56649999999999"/>
    <s v="2019_07.xlsx"/>
    <x v="3"/>
    <x v="6"/>
  </r>
  <r>
    <s v="MonthlyTradeStatistics 2019_07.xlsx"/>
    <x v="54"/>
    <n v="463709"/>
    <s v="2019_07.xlsx"/>
    <x v="3"/>
    <x v="6"/>
  </r>
  <r>
    <s v="MonthlyTradeStatistics 2019_07.xlsx"/>
    <x v="55"/>
    <n v="34.164900000000003"/>
    <s v="2019_07.xlsx"/>
    <x v="3"/>
    <x v="6"/>
  </r>
  <r>
    <s v="MonthlyTradeStatistics 2019_07.xlsx"/>
    <x v="56"/>
    <n v="2316614.398"/>
    <s v="2019_07.xlsx"/>
    <x v="3"/>
    <x v="6"/>
  </r>
  <r>
    <s v="MonthlyTradeStatistics 2019_07.xlsx"/>
    <x v="57"/>
    <n v="1400.6423"/>
    <s v="2019_07.xlsx"/>
    <x v="3"/>
    <x v="6"/>
  </r>
  <r>
    <s v="MonthlyTradeStatistics 2019_07.xlsx"/>
    <x v="58"/>
    <n v="840.34640000000002"/>
    <s v="2019_07.xlsx"/>
    <x v="3"/>
    <x v="6"/>
  </r>
  <r>
    <s v="MonthlyTradeStatistics 2019_07.xlsx"/>
    <x v="59"/>
    <n v="6.4260000000000002"/>
    <s v="2019_07.xlsx"/>
    <x v="3"/>
    <x v="6"/>
  </r>
  <r>
    <s v="MonthlyTradeStatistics 2019_08.xlsx"/>
    <x v="0"/>
    <n v="10880193.908199999"/>
    <s v="2019_08.xlsx"/>
    <x v="3"/>
    <x v="7"/>
  </r>
  <r>
    <s v="MonthlyTradeStatistics 2019_08.xlsx"/>
    <x v="1"/>
    <n v="1295466.0067"/>
    <s v="2019_08.xlsx"/>
    <x v="3"/>
    <x v="7"/>
  </r>
  <r>
    <s v="MonthlyTradeStatistics 2019_08.xlsx"/>
    <x v="2"/>
    <n v="2219622.4120999998"/>
    <s v="2019_08.xlsx"/>
    <x v="3"/>
    <x v="7"/>
  </r>
  <r>
    <s v="MonthlyTradeStatistics 2019_08.xlsx"/>
    <x v="3"/>
    <n v="3286825.6389000001"/>
    <s v="2019_08.xlsx"/>
    <x v="3"/>
    <x v="7"/>
  </r>
  <r>
    <s v="MonthlyTradeStatistics 2019_08.xlsx"/>
    <x v="4"/>
    <n v="4078279.8505000002"/>
    <s v="2019_08.xlsx"/>
    <x v="3"/>
    <x v="7"/>
  </r>
  <r>
    <s v="MonthlyTradeStatistics 2019_08.xlsx"/>
    <x v="5"/>
    <n v="4893.6499999999996"/>
    <s v="2019_08.xlsx"/>
    <x v="3"/>
    <x v="7"/>
  </r>
  <r>
    <s v="MonthlyTradeStatistics 2019_08.xlsx"/>
    <x v="6"/>
    <n v="1518.3884"/>
    <s v="2019_08.xlsx"/>
    <x v="3"/>
    <x v="7"/>
  </r>
  <r>
    <s v="MonthlyTradeStatistics 2019_08.xlsx"/>
    <x v="7"/>
    <n v="3368913.6296000001"/>
    <s v="2019_08.xlsx"/>
    <x v="3"/>
    <x v="7"/>
  </r>
  <r>
    <s v="MonthlyTradeStatistics 2019_08.xlsx"/>
    <x v="8"/>
    <n v="11530.9167"/>
    <s v="2019_08.xlsx"/>
    <x v="3"/>
    <x v="7"/>
  </r>
  <r>
    <s v="MonthlyTradeStatistics 2019_08.xlsx"/>
    <x v="9"/>
    <n v="63865"/>
    <s v="2019_08.xlsx"/>
    <x v="3"/>
    <x v="7"/>
  </r>
  <r>
    <s v="MonthlyTradeStatistics 2019_08.xlsx"/>
    <x v="10"/>
    <n v="913.33"/>
    <s v="2019_08.xlsx"/>
    <x v="3"/>
    <x v="7"/>
  </r>
  <r>
    <s v="MonthlyTradeStatistics 2019_08.xlsx"/>
    <x v="11"/>
    <n v="1214583.7771999999"/>
    <s v="2019_08.xlsx"/>
    <x v="3"/>
    <x v="7"/>
  </r>
  <r>
    <s v="MonthlyTradeStatistics 2019_08.xlsx"/>
    <x v="12"/>
    <n v="0"/>
    <s v="2019_08.xlsx"/>
    <x v="3"/>
    <x v="7"/>
  </r>
  <r>
    <s v="MonthlyTradeStatistics 2019_08.xlsx"/>
    <x v="13"/>
    <n v="127411.3422"/>
    <s v="2019_08.xlsx"/>
    <x v="3"/>
    <x v="7"/>
  </r>
  <r>
    <s v="MonthlyTradeStatistics 2019_08.xlsx"/>
    <x v="14"/>
    <n v="134223.48310000001"/>
    <s v="2019_08.xlsx"/>
    <x v="3"/>
    <x v="7"/>
  </r>
  <r>
    <s v="MonthlyTradeStatistics 2019_08.xlsx"/>
    <x v="15"/>
    <n v="1349.6353999999999"/>
    <s v="2019_08.xlsx"/>
    <x v="3"/>
    <x v="7"/>
  </r>
  <r>
    <s v="MonthlyTradeStatistics 2019_08.xlsx"/>
    <x v="16"/>
    <n v="20026"/>
    <s v="2019_08.xlsx"/>
    <x v="3"/>
    <x v="7"/>
  </r>
  <r>
    <s v="MonthlyTradeStatistics 2019_08.xlsx"/>
    <x v="17"/>
    <n v="2608.6460000000002"/>
    <s v="2019_08.xlsx"/>
    <x v="3"/>
    <x v="7"/>
  </r>
  <r>
    <s v="MonthlyTradeStatistics 2019_08.xlsx"/>
    <x v="18"/>
    <n v="51028.679900000003"/>
    <s v="2019_08.xlsx"/>
    <x v="3"/>
    <x v="7"/>
  </r>
  <r>
    <s v="MonthlyTradeStatistics 2019_08.xlsx"/>
    <x v="19"/>
    <n v="34402.464"/>
    <s v="2019_08.xlsx"/>
    <x v="3"/>
    <x v="7"/>
  </r>
  <r>
    <s v="MonthlyTradeStatistics 2019_08.xlsx"/>
    <x v="20"/>
    <n v="0"/>
    <s v="2019_08.xlsx"/>
    <x v="3"/>
    <x v="7"/>
  </r>
  <r>
    <s v="MonthlyTradeStatistics 2019_08.xlsx"/>
    <x v="21"/>
    <n v="437328.76669999998"/>
    <s v="2019_08.xlsx"/>
    <x v="3"/>
    <x v="7"/>
  </r>
  <r>
    <s v="MonthlyTradeStatistics 2019_08.xlsx"/>
    <x v="22"/>
    <n v="0"/>
    <s v="2019_08.xlsx"/>
    <x v="3"/>
    <x v="7"/>
  </r>
  <r>
    <s v="MonthlyTradeStatistics 2019_08.xlsx"/>
    <x v="23"/>
    <n v="394.6037"/>
    <s v="2019_08.xlsx"/>
    <x v="3"/>
    <x v="7"/>
  </r>
  <r>
    <s v="MonthlyTradeStatistics 2019_08.xlsx"/>
    <x v="24"/>
    <n v="298014.76240000001"/>
    <s v="2019_08.xlsx"/>
    <x v="3"/>
    <x v="7"/>
  </r>
  <r>
    <s v="MonthlyTradeStatistics 2019_08.xlsx"/>
    <x v="25"/>
    <n v="6977.9318000000003"/>
    <s v="2019_08.xlsx"/>
    <x v="3"/>
    <x v="7"/>
  </r>
  <r>
    <s v="MonthlyTradeStatistics 2019_08.xlsx"/>
    <x v="26"/>
    <n v="144.1267"/>
    <s v="2019_08.xlsx"/>
    <x v="3"/>
    <x v="7"/>
  </r>
  <r>
    <s v="MonthlyTradeStatistics 2019_08.xlsx"/>
    <x v="27"/>
    <n v="17.429500000000001"/>
    <s v="2019_08.xlsx"/>
    <x v="3"/>
    <x v="7"/>
  </r>
  <r>
    <s v="MonthlyTradeStatistics 2019_08.xlsx"/>
    <x v="28"/>
    <n v="272374.57900000003"/>
    <s v="2019_08.xlsx"/>
    <x v="3"/>
    <x v="7"/>
  </r>
  <r>
    <s v="MonthlyTradeStatistics 2019_08.xlsx"/>
    <x v="29"/>
    <n v="422525.38199999998"/>
    <s v="2019_08.xlsx"/>
    <x v="3"/>
    <x v="7"/>
  </r>
  <r>
    <s v="MonthlyTradeStatistics 2019_08.xlsx"/>
    <x v="30"/>
    <n v="731849.45160000003"/>
    <s v="2019_08.xlsx"/>
    <x v="3"/>
    <x v="7"/>
  </r>
  <r>
    <s v="MonthlyTradeStatistics 2019_08.xlsx"/>
    <x v="31"/>
    <n v="742.59780000000001"/>
    <s v="2019_08.xlsx"/>
    <x v="3"/>
    <x v="7"/>
  </r>
  <r>
    <s v="MonthlyTradeStatistics 2019_08.xlsx"/>
    <x v="32"/>
    <n v="70077.949500000002"/>
    <s v="2019_08.xlsx"/>
    <x v="3"/>
    <x v="7"/>
  </r>
  <r>
    <s v="MonthlyTradeStatistics 2019_08.xlsx"/>
    <x v="33"/>
    <n v="40020.599800000004"/>
    <s v="2019_08.xlsx"/>
    <x v="3"/>
    <x v="7"/>
  </r>
  <r>
    <s v="MonthlyTradeStatistics 2019_08.xlsx"/>
    <x v="34"/>
    <n v="0"/>
    <s v="2019_08.xlsx"/>
    <x v="3"/>
    <x v="7"/>
  </r>
  <r>
    <s v="MonthlyTradeStatistics 2019_08.xlsx"/>
    <x v="35"/>
    <n v="0"/>
    <s v="2019_08.xlsx"/>
    <x v="3"/>
    <x v="7"/>
  </r>
  <r>
    <s v="MonthlyTradeStatistics 2019_08.xlsx"/>
    <x v="36"/>
    <n v="576.73800000000006"/>
    <s v="2019_08.xlsx"/>
    <x v="3"/>
    <x v="7"/>
  </r>
  <r>
    <s v="MonthlyTradeStatistics 2019_08.xlsx"/>
    <x v="37"/>
    <n v="202324.88510000001"/>
    <s v="2019_08.xlsx"/>
    <x v="3"/>
    <x v="7"/>
  </r>
  <r>
    <s v="MonthlyTradeStatistics 2019_08.xlsx"/>
    <x v="38"/>
    <n v="201.4"/>
    <s v="2019_08.xlsx"/>
    <x v="3"/>
    <x v="7"/>
  </r>
  <r>
    <s v="MonthlyTradeStatistics 2019_08.xlsx"/>
    <x v="39"/>
    <n v="245680.13740000001"/>
    <s v="2019_08.xlsx"/>
    <x v="3"/>
    <x v="7"/>
  </r>
  <r>
    <s v="MonthlyTradeStatistics 2019_08.xlsx"/>
    <x v="40"/>
    <n v="0"/>
    <s v="2019_08.xlsx"/>
    <x v="3"/>
    <x v="7"/>
  </r>
  <r>
    <s v="MonthlyTradeStatistics 2019_08.xlsx"/>
    <x v="41"/>
    <n v="6052.8680999999997"/>
    <s v="2019_08.xlsx"/>
    <x v="3"/>
    <x v="7"/>
  </r>
  <r>
    <s v="MonthlyTradeStatistics 2019_08.xlsx"/>
    <x v="42"/>
    <n v="97328.89"/>
    <s v="2019_08.xlsx"/>
    <x v="3"/>
    <x v="7"/>
  </r>
  <r>
    <s v="MonthlyTradeStatistics 2019_08.xlsx"/>
    <x v="43"/>
    <n v="0"/>
    <s v="2019_08.xlsx"/>
    <x v="3"/>
    <x v="7"/>
  </r>
  <r>
    <s v="MonthlyTradeStatistics 2019_08.xlsx"/>
    <x v="44"/>
    <n v="504410.83380000002"/>
    <s v="2019_08.xlsx"/>
    <x v="3"/>
    <x v="7"/>
  </r>
  <r>
    <s v="MonthlyTradeStatistics 2019_08.xlsx"/>
    <x v="45"/>
    <n v="47.712000000000003"/>
    <s v="2019_08.xlsx"/>
    <x v="3"/>
    <x v="7"/>
  </r>
  <r>
    <s v="MonthlyTradeStatistics 2019_08.xlsx"/>
    <x v="46"/>
    <n v="31316.091199999999"/>
    <s v="2019_08.xlsx"/>
    <x v="3"/>
    <x v="7"/>
  </r>
  <r>
    <s v="MonthlyTradeStatistics 2019_08.xlsx"/>
    <x v="47"/>
    <n v="3467.9238"/>
    <s v="2019_08.xlsx"/>
    <x v="3"/>
    <x v="7"/>
  </r>
  <r>
    <s v="MonthlyTradeStatistics 2019_08.xlsx"/>
    <x v="48"/>
    <n v="44.1952"/>
    <s v="2019_08.xlsx"/>
    <x v="3"/>
    <x v="7"/>
  </r>
  <r>
    <s v="MonthlyTradeStatistics 2019_08.xlsx"/>
    <x v="49"/>
    <n v="38044.449999999997"/>
    <s v="2019_08.xlsx"/>
    <x v="3"/>
    <x v="7"/>
  </r>
  <r>
    <s v="MonthlyTradeStatistics 2019_08.xlsx"/>
    <x v="50"/>
    <n v="21296.475399999999"/>
    <s v="2019_08.xlsx"/>
    <x v="3"/>
    <x v="7"/>
  </r>
  <r>
    <s v="MonthlyTradeStatistics 2019_08.xlsx"/>
    <x v="51"/>
    <n v="25429.666700000002"/>
    <s v="2019_08.xlsx"/>
    <x v="3"/>
    <x v="7"/>
  </r>
  <r>
    <s v="MonthlyTradeStatistics 2019_08.xlsx"/>
    <x v="52"/>
    <n v="5120"/>
    <s v="2019_08.xlsx"/>
    <x v="3"/>
    <x v="7"/>
  </r>
  <r>
    <s v="MonthlyTradeStatistics 2019_08.xlsx"/>
    <x v="53"/>
    <n v="931.02250000000004"/>
    <s v="2019_08.xlsx"/>
    <x v="3"/>
    <x v="7"/>
  </r>
  <r>
    <s v="MonthlyTradeStatistics 2019_08.xlsx"/>
    <x v="54"/>
    <n v="489183.99"/>
    <s v="2019_08.xlsx"/>
    <x v="3"/>
    <x v="7"/>
  </r>
  <r>
    <s v="MonthlyTradeStatistics 2019_08.xlsx"/>
    <x v="55"/>
    <n v="23268.144899999999"/>
    <s v="2019_08.xlsx"/>
    <x v="3"/>
    <x v="7"/>
  </r>
  <r>
    <s v="MonthlyTradeStatistics 2019_08.xlsx"/>
    <x v="56"/>
    <n v="1865457.5423999999"/>
    <s v="2019_08.xlsx"/>
    <x v="3"/>
    <x v="7"/>
  </r>
  <r>
    <s v="MonthlyTradeStatistics 2019_08.xlsx"/>
    <x v="57"/>
    <n v="971.00229999999999"/>
    <s v="2019_08.xlsx"/>
    <x v="3"/>
    <x v="7"/>
  </r>
  <r>
    <s v="MonthlyTradeStatistics 2019_08.xlsx"/>
    <x v="58"/>
    <n v="1302.8163999999999"/>
    <s v="2019_08.xlsx"/>
    <x v="3"/>
    <x v="7"/>
  </r>
  <r>
    <s v="MonthlyTradeStatistics 2019_08.xlsx"/>
    <x v="59"/>
    <n v="0"/>
    <s v="2019_08.xlsx"/>
    <x v="3"/>
    <x v="7"/>
  </r>
  <r>
    <s v="MonthlyTradeStatistics 2019_09.xlsx"/>
    <x v="0"/>
    <n v="10092334.644300001"/>
    <s v="2019_09.xlsx"/>
    <x v="3"/>
    <x v="8"/>
  </r>
  <r>
    <s v="MonthlyTradeStatistics 2019_09.xlsx"/>
    <x v="1"/>
    <n v="1089257.6843000001"/>
    <s v="2019_09.xlsx"/>
    <x v="3"/>
    <x v="8"/>
  </r>
  <r>
    <s v="MonthlyTradeStatistics 2019_09.xlsx"/>
    <x v="2"/>
    <n v="1959509.4064"/>
    <s v="2019_09.xlsx"/>
    <x v="3"/>
    <x v="8"/>
  </r>
  <r>
    <s v="MonthlyTradeStatistics 2019_09.xlsx"/>
    <x v="3"/>
    <n v="3392432.8045999999"/>
    <s v="2019_09.xlsx"/>
    <x v="3"/>
    <x v="8"/>
  </r>
  <r>
    <s v="MonthlyTradeStatistics 2019_09.xlsx"/>
    <x v="4"/>
    <n v="3651134.7489999998"/>
    <s v="2019_09.xlsx"/>
    <x v="3"/>
    <x v="8"/>
  </r>
  <r>
    <s v="MonthlyTradeStatistics 2019_09.xlsx"/>
    <x v="5"/>
    <n v="919.55"/>
    <s v="2019_09.xlsx"/>
    <x v="3"/>
    <x v="8"/>
  </r>
  <r>
    <s v="MonthlyTradeStatistics 2019_09.xlsx"/>
    <x v="6"/>
    <n v="3296"/>
    <s v="2019_09.xlsx"/>
    <x v="3"/>
    <x v="8"/>
  </r>
  <r>
    <s v="MonthlyTradeStatistics 2019_09.xlsx"/>
    <x v="7"/>
    <n v="3495386.5614"/>
    <s v="2019_09.xlsx"/>
    <x v="3"/>
    <x v="8"/>
  </r>
  <r>
    <s v="MonthlyTradeStatistics 2019_09.xlsx"/>
    <x v="8"/>
    <n v="22422.083299999998"/>
    <s v="2019_09.xlsx"/>
    <x v="3"/>
    <x v="8"/>
  </r>
  <r>
    <s v="MonthlyTradeStatistics 2019_09.xlsx"/>
    <x v="9"/>
    <n v="17448.333299999998"/>
    <s v="2019_09.xlsx"/>
    <x v="3"/>
    <x v="8"/>
  </r>
  <r>
    <s v="MonthlyTradeStatistics 2019_09.xlsx"/>
    <x v="10"/>
    <n v="920"/>
    <s v="2019_09.xlsx"/>
    <x v="3"/>
    <x v="8"/>
  </r>
  <r>
    <s v="MonthlyTradeStatistics 2019_09.xlsx"/>
    <x v="11"/>
    <n v="1008896.1433"/>
    <s v="2019_09.xlsx"/>
    <x v="3"/>
    <x v="8"/>
  </r>
  <r>
    <s v="MonthlyTradeStatistics 2019_09.xlsx"/>
    <x v="12"/>
    <n v="0"/>
    <s v="2019_09.xlsx"/>
    <x v="3"/>
    <x v="8"/>
  </r>
  <r>
    <s v="MonthlyTradeStatistics 2019_09.xlsx"/>
    <x v="13"/>
    <n v="60919.0605"/>
    <s v="2019_09.xlsx"/>
    <x v="3"/>
    <x v="8"/>
  </r>
  <r>
    <s v="MonthlyTradeStatistics 2019_09.xlsx"/>
    <x v="14"/>
    <n v="313549.61629999999"/>
    <s v="2019_09.xlsx"/>
    <x v="3"/>
    <x v="8"/>
  </r>
  <r>
    <s v="MonthlyTradeStatistics 2019_09.xlsx"/>
    <x v="15"/>
    <n v="1349.6353999999999"/>
    <s v="2019_09.xlsx"/>
    <x v="3"/>
    <x v="8"/>
  </r>
  <r>
    <s v="MonthlyTradeStatistics 2019_09.xlsx"/>
    <x v="16"/>
    <n v="22967"/>
    <s v="2019_09.xlsx"/>
    <x v="3"/>
    <x v="8"/>
  </r>
  <r>
    <s v="MonthlyTradeStatistics 2019_09.xlsx"/>
    <x v="17"/>
    <n v="2351.0156999999999"/>
    <s v="2019_09.xlsx"/>
    <x v="3"/>
    <x v="8"/>
  </r>
  <r>
    <s v="MonthlyTradeStatistics 2019_09.xlsx"/>
    <x v="18"/>
    <n v="58498.109299999996"/>
    <s v="2019_09.xlsx"/>
    <x v="3"/>
    <x v="8"/>
  </r>
  <r>
    <s v="MonthlyTradeStatistics 2019_09.xlsx"/>
    <x v="19"/>
    <n v="26185.565500000001"/>
    <s v="2019_09.xlsx"/>
    <x v="3"/>
    <x v="8"/>
  </r>
  <r>
    <s v="MonthlyTradeStatistics 2019_09.xlsx"/>
    <x v="20"/>
    <n v="0"/>
    <s v="2019_09.xlsx"/>
    <x v="3"/>
    <x v="8"/>
  </r>
  <r>
    <s v="MonthlyTradeStatistics 2019_09.xlsx"/>
    <x v="21"/>
    <n v="361760.38660000003"/>
    <s v="2019_09.xlsx"/>
    <x v="3"/>
    <x v="8"/>
  </r>
  <r>
    <s v="MonthlyTradeStatistics 2019_09.xlsx"/>
    <x v="22"/>
    <n v="0"/>
    <s v="2019_09.xlsx"/>
    <x v="3"/>
    <x v="8"/>
  </r>
  <r>
    <s v="MonthlyTradeStatistics 2019_09.xlsx"/>
    <x v="23"/>
    <n v="418.52370000000002"/>
    <s v="2019_09.xlsx"/>
    <x v="3"/>
    <x v="8"/>
  </r>
  <r>
    <s v="MonthlyTradeStatistics 2019_09.xlsx"/>
    <x v="24"/>
    <n v="215118.2084"/>
    <s v="2019_09.xlsx"/>
    <x v="3"/>
    <x v="8"/>
  </r>
  <r>
    <s v="MonthlyTradeStatistics 2019_09.xlsx"/>
    <x v="25"/>
    <n v="6247.9318000000003"/>
    <s v="2019_09.xlsx"/>
    <x v="3"/>
    <x v="8"/>
  </r>
  <r>
    <s v="MonthlyTradeStatistics 2019_09.xlsx"/>
    <x v="26"/>
    <n v="30.333300000000001"/>
    <s v="2019_09.xlsx"/>
    <x v="3"/>
    <x v="8"/>
  </r>
  <r>
    <s v="MonthlyTradeStatistics 2019_09.xlsx"/>
    <x v="27"/>
    <n v="77.713800000000006"/>
    <s v="2019_09.xlsx"/>
    <x v="3"/>
    <x v="8"/>
  </r>
  <r>
    <s v="MonthlyTradeStatistics 2019_09.xlsx"/>
    <x v="28"/>
    <n v="246410.47700000001"/>
    <s v="2019_09.xlsx"/>
    <x v="3"/>
    <x v="8"/>
  </r>
  <r>
    <s v="MonthlyTradeStatistics 2019_09.xlsx"/>
    <x v="29"/>
    <n v="415176.14409999998"/>
    <s v="2019_09.xlsx"/>
    <x v="3"/>
    <x v="8"/>
  </r>
  <r>
    <s v="MonthlyTradeStatistics 2019_09.xlsx"/>
    <x v="30"/>
    <n v="702817.59719999996"/>
    <s v="2019_09.xlsx"/>
    <x v="3"/>
    <x v="8"/>
  </r>
  <r>
    <s v="MonthlyTradeStatistics 2019_09.xlsx"/>
    <x v="31"/>
    <n v="1609.3517999999999"/>
    <s v="2019_09.xlsx"/>
    <x v="3"/>
    <x v="8"/>
  </r>
  <r>
    <s v="MonthlyTradeStatistics 2019_09.xlsx"/>
    <x v="32"/>
    <n v="68592.251000000004"/>
    <s v="2019_09.xlsx"/>
    <x v="3"/>
    <x v="8"/>
  </r>
  <r>
    <s v="MonthlyTradeStatistics 2019_09.xlsx"/>
    <x v="33"/>
    <n v="48835.8842"/>
    <s v="2019_09.xlsx"/>
    <x v="3"/>
    <x v="8"/>
  </r>
  <r>
    <s v="MonthlyTradeStatistics 2019_09.xlsx"/>
    <x v="34"/>
    <n v="0"/>
    <s v="2019_09.xlsx"/>
    <x v="3"/>
    <x v="8"/>
  </r>
  <r>
    <s v="MonthlyTradeStatistics 2019_09.xlsx"/>
    <x v="35"/>
    <n v="25"/>
    <s v="2019_09.xlsx"/>
    <x v="3"/>
    <x v="8"/>
  </r>
  <r>
    <s v="MonthlyTradeStatistics 2019_09.xlsx"/>
    <x v="36"/>
    <n v="569.73800000000006"/>
    <s v="2019_09.xlsx"/>
    <x v="3"/>
    <x v="8"/>
  </r>
  <r>
    <s v="MonthlyTradeStatistics 2019_09.xlsx"/>
    <x v="37"/>
    <n v="144752.71969999999"/>
    <s v="2019_09.xlsx"/>
    <x v="3"/>
    <x v="8"/>
  </r>
  <r>
    <s v="MonthlyTradeStatistics 2019_09.xlsx"/>
    <x v="38"/>
    <n v="86.616699999999994"/>
    <s v="2019_09.xlsx"/>
    <x v="3"/>
    <x v="8"/>
  </r>
  <r>
    <s v="MonthlyTradeStatistics 2019_09.xlsx"/>
    <x v="39"/>
    <n v="128349.9623"/>
    <s v="2019_09.xlsx"/>
    <x v="3"/>
    <x v="8"/>
  </r>
  <r>
    <s v="MonthlyTradeStatistics 2019_09.xlsx"/>
    <x v="40"/>
    <n v="0"/>
    <s v="2019_09.xlsx"/>
    <x v="3"/>
    <x v="8"/>
  </r>
  <r>
    <s v="MonthlyTradeStatistics 2019_09.xlsx"/>
    <x v="41"/>
    <n v="6518.2660999999998"/>
    <s v="2019_09.xlsx"/>
    <x v="3"/>
    <x v="8"/>
  </r>
  <r>
    <s v="MonthlyTradeStatistics 2019_09.xlsx"/>
    <x v="42"/>
    <n v="95411.66"/>
    <s v="2019_09.xlsx"/>
    <x v="3"/>
    <x v="8"/>
  </r>
  <r>
    <s v="MonthlyTradeStatistics 2019_09.xlsx"/>
    <x v="43"/>
    <n v="0"/>
    <s v="2019_09.xlsx"/>
    <x v="3"/>
    <x v="8"/>
  </r>
  <r>
    <s v="MonthlyTradeStatistics 2019_09.xlsx"/>
    <x v="44"/>
    <n v="616298.64619999996"/>
    <s v="2019_09.xlsx"/>
    <x v="3"/>
    <x v="8"/>
  </r>
  <r>
    <s v="MonthlyTradeStatistics 2019_09.xlsx"/>
    <x v="45"/>
    <n v="957.84"/>
    <s v="2019_09.xlsx"/>
    <x v="3"/>
    <x v="8"/>
  </r>
  <r>
    <s v="MonthlyTradeStatistics 2019_09.xlsx"/>
    <x v="46"/>
    <n v="46028.91"/>
    <s v="2019_09.xlsx"/>
    <x v="3"/>
    <x v="8"/>
  </r>
  <r>
    <s v="MonthlyTradeStatistics 2019_09.xlsx"/>
    <x v="47"/>
    <n v="4389.5937999999996"/>
    <s v="2019_09.xlsx"/>
    <x v="3"/>
    <x v="8"/>
  </r>
  <r>
    <s v="MonthlyTradeStatistics 2019_09.xlsx"/>
    <x v="48"/>
    <n v="49.072200000000002"/>
    <s v="2019_09.xlsx"/>
    <x v="3"/>
    <x v="8"/>
  </r>
  <r>
    <s v="MonthlyTradeStatistics 2019_09.xlsx"/>
    <x v="49"/>
    <n v="33284.79"/>
    <s v="2019_09.xlsx"/>
    <x v="3"/>
    <x v="8"/>
  </r>
  <r>
    <s v="MonthlyTradeStatistics 2019_09.xlsx"/>
    <x v="50"/>
    <n v="16541.9611"/>
    <s v="2019_09.xlsx"/>
    <x v="3"/>
    <x v="8"/>
  </r>
  <r>
    <s v="MonthlyTradeStatistics 2019_09.xlsx"/>
    <x v="51"/>
    <n v="13507.1667"/>
    <s v="2019_09.xlsx"/>
    <x v="3"/>
    <x v="8"/>
  </r>
  <r>
    <s v="MonthlyTradeStatistics 2019_09.xlsx"/>
    <x v="52"/>
    <n v="0"/>
    <s v="2019_09.xlsx"/>
    <x v="3"/>
    <x v="8"/>
  </r>
  <r>
    <s v="MonthlyTradeStatistics 2019_09.xlsx"/>
    <x v="53"/>
    <n v="317.54629999999997"/>
    <s v="2019_09.xlsx"/>
    <x v="3"/>
    <x v="8"/>
  </r>
  <r>
    <s v="MonthlyTradeStatistics 2019_09.xlsx"/>
    <x v="54"/>
    <n v="362218.99"/>
    <s v="2019_09.xlsx"/>
    <x v="3"/>
    <x v="8"/>
  </r>
  <r>
    <s v="MonthlyTradeStatistics 2019_09.xlsx"/>
    <x v="55"/>
    <n v="34.164900000000003"/>
    <s v="2019_09.xlsx"/>
    <x v="3"/>
    <x v="8"/>
  </r>
  <r>
    <s v="MonthlyTradeStatistics 2019_09.xlsx"/>
    <x v="56"/>
    <n v="1518218.8447"/>
    <s v="2019_09.xlsx"/>
    <x v="3"/>
    <x v="8"/>
  </r>
  <r>
    <s v="MonthlyTradeStatistics 2019_09.xlsx"/>
    <x v="57"/>
    <n v="775.01229999999998"/>
    <s v="2019_09.xlsx"/>
    <x v="3"/>
    <x v="8"/>
  </r>
  <r>
    <s v="MonthlyTradeStatistics 2019_09.xlsx"/>
    <x v="58"/>
    <n v="1794.6664000000001"/>
    <s v="2019_09.xlsx"/>
    <x v="3"/>
    <x v="8"/>
  </r>
  <r>
    <s v="MonthlyTradeStatistics 2019_09.xlsx"/>
    <x v="59"/>
    <n v="0"/>
    <s v="2019_09.xlsx"/>
    <x v="3"/>
    <x v="8"/>
  </r>
  <r>
    <s v="MonthlyTradeStatistics 2019_10.xlsx"/>
    <x v="0"/>
    <n v="9368746.9454999994"/>
    <s v="2019_10.xlsx"/>
    <x v="3"/>
    <x v="9"/>
  </r>
  <r>
    <s v="MonthlyTradeStatistics 2019_10.xlsx"/>
    <x v="1"/>
    <n v="1317679.8733999999"/>
    <s v="2019_10.xlsx"/>
    <x v="3"/>
    <x v="9"/>
  </r>
  <r>
    <s v="MonthlyTradeStatistics 2019_10.xlsx"/>
    <x v="2"/>
    <n v="1515708.6721000001"/>
    <s v="2019_10.xlsx"/>
    <x v="3"/>
    <x v="9"/>
  </r>
  <r>
    <s v="MonthlyTradeStatistics 2019_10.xlsx"/>
    <x v="3"/>
    <n v="3508045.7496000002"/>
    <s v="2019_10.xlsx"/>
    <x v="3"/>
    <x v="9"/>
  </r>
  <r>
    <s v="MonthlyTradeStatistics 2019_10.xlsx"/>
    <x v="4"/>
    <n v="3027312.6504000002"/>
    <s v="2019_10.xlsx"/>
    <x v="3"/>
    <x v="9"/>
  </r>
  <r>
    <s v="MonthlyTradeStatistics 2019_10.xlsx"/>
    <x v="5"/>
    <n v="3317.18"/>
    <s v="2019_10.xlsx"/>
    <x v="3"/>
    <x v="9"/>
  </r>
  <r>
    <s v="MonthlyTradeStatistics 2019_10.xlsx"/>
    <x v="6"/>
    <n v="3459.5832999999998"/>
    <s v="2019_10.xlsx"/>
    <x v="3"/>
    <x v="9"/>
  </r>
  <r>
    <s v="MonthlyTradeStatistics 2019_10.xlsx"/>
    <x v="7"/>
    <n v="3670113.2012"/>
    <s v="2019_10.xlsx"/>
    <x v="3"/>
    <x v="9"/>
  </r>
  <r>
    <s v="MonthlyTradeStatistics 2019_10.xlsx"/>
    <x v="8"/>
    <n v="19818.383399999999"/>
    <s v="2019_10.xlsx"/>
    <x v="3"/>
    <x v="9"/>
  </r>
  <r>
    <s v="MonthlyTradeStatistics 2019_10.xlsx"/>
    <x v="9"/>
    <n v="22600"/>
    <s v="2019_10.xlsx"/>
    <x v="3"/>
    <x v="9"/>
  </r>
  <r>
    <s v="MonthlyTradeStatistics 2019_10.xlsx"/>
    <x v="10"/>
    <n v="1528.33"/>
    <s v="2019_10.xlsx"/>
    <x v="3"/>
    <x v="9"/>
  </r>
  <r>
    <s v="MonthlyTradeStatistics 2019_10.xlsx"/>
    <x v="11"/>
    <n v="1211774.4267"/>
    <s v="2019_10.xlsx"/>
    <x v="3"/>
    <x v="9"/>
  </r>
  <r>
    <s v="MonthlyTradeStatistics 2019_10.xlsx"/>
    <x v="12"/>
    <n v="0.55530000000000002"/>
    <s v="2019_10.xlsx"/>
    <x v="3"/>
    <x v="9"/>
  </r>
  <r>
    <s v="MonthlyTradeStatistics 2019_10.xlsx"/>
    <x v="13"/>
    <n v="11852.9676"/>
    <s v="2019_10.xlsx"/>
    <x v="3"/>
    <x v="9"/>
  </r>
  <r>
    <s v="MonthlyTradeStatistics 2019_10.xlsx"/>
    <x v="14"/>
    <n v="97243.283200000005"/>
    <s v="2019_10.xlsx"/>
    <x v="3"/>
    <x v="9"/>
  </r>
  <r>
    <s v="MonthlyTradeStatistics 2019_10.xlsx"/>
    <x v="15"/>
    <n v="1349.6353999999999"/>
    <s v="2019_10.xlsx"/>
    <x v="3"/>
    <x v="9"/>
  </r>
  <r>
    <s v="MonthlyTradeStatistics 2019_10.xlsx"/>
    <x v="16"/>
    <n v="15037.296"/>
    <s v="2019_10.xlsx"/>
    <x v="3"/>
    <x v="9"/>
  </r>
  <r>
    <s v="MonthlyTradeStatistics 2019_10.xlsx"/>
    <x v="17"/>
    <n v="1940.1375"/>
    <s v="2019_10.xlsx"/>
    <x v="3"/>
    <x v="9"/>
  </r>
  <r>
    <s v="MonthlyTradeStatistics 2019_10.xlsx"/>
    <x v="18"/>
    <n v="34045.473899999997"/>
    <s v="2019_10.xlsx"/>
    <x v="3"/>
    <x v="9"/>
  </r>
  <r>
    <s v="MonthlyTradeStatistics 2019_10.xlsx"/>
    <x v="19"/>
    <n v="13412.7544"/>
    <s v="2019_10.xlsx"/>
    <x v="3"/>
    <x v="9"/>
  </r>
  <r>
    <s v="MonthlyTradeStatistics 2019_10.xlsx"/>
    <x v="20"/>
    <n v="0"/>
    <s v="2019_10.xlsx"/>
    <x v="3"/>
    <x v="9"/>
  </r>
  <r>
    <s v="MonthlyTradeStatistics 2019_10.xlsx"/>
    <x v="21"/>
    <n v="415125.25"/>
    <s v="2019_10.xlsx"/>
    <x v="3"/>
    <x v="9"/>
  </r>
  <r>
    <s v="MonthlyTradeStatistics 2019_10.xlsx"/>
    <x v="22"/>
    <n v="0"/>
    <s v="2019_10.xlsx"/>
    <x v="3"/>
    <x v="9"/>
  </r>
  <r>
    <s v="MonthlyTradeStatistics 2019_10.xlsx"/>
    <x v="23"/>
    <n v="541.05610000000001"/>
    <s v="2019_10.xlsx"/>
    <x v="3"/>
    <x v="9"/>
  </r>
  <r>
    <s v="MonthlyTradeStatistics 2019_10.xlsx"/>
    <x v="24"/>
    <n v="85431.823900000003"/>
    <s v="2019_10.xlsx"/>
    <x v="3"/>
    <x v="9"/>
  </r>
  <r>
    <s v="MonthlyTradeStatistics 2019_10.xlsx"/>
    <x v="25"/>
    <n v="5072.3818000000001"/>
    <s v="2019_10.xlsx"/>
    <x v="3"/>
    <x v="9"/>
  </r>
  <r>
    <s v="MonthlyTradeStatistics 2019_10.xlsx"/>
    <x v="26"/>
    <n v="469.17"/>
    <s v="2019_10.xlsx"/>
    <x v="3"/>
    <x v="9"/>
  </r>
  <r>
    <s v="MonthlyTradeStatistics 2019_10.xlsx"/>
    <x v="27"/>
    <n v="17.429500000000001"/>
    <s v="2019_10.xlsx"/>
    <x v="3"/>
    <x v="9"/>
  </r>
  <r>
    <s v="MonthlyTradeStatistics 2019_10.xlsx"/>
    <x v="28"/>
    <n v="74979.777700000006"/>
    <s v="2019_10.xlsx"/>
    <x v="3"/>
    <x v="9"/>
  </r>
  <r>
    <s v="MonthlyTradeStatistics 2019_10.xlsx"/>
    <x v="29"/>
    <n v="343220.16859999998"/>
    <s v="2019_10.xlsx"/>
    <x v="3"/>
    <x v="9"/>
  </r>
  <r>
    <s v="MonthlyTradeStatistics 2019_10.xlsx"/>
    <x v="30"/>
    <n v="342464.22019999998"/>
    <s v="2019_10.xlsx"/>
    <x v="3"/>
    <x v="9"/>
  </r>
  <r>
    <s v="MonthlyTradeStatistics 2019_10.xlsx"/>
    <x v="31"/>
    <n v="534.60799999999995"/>
    <s v="2019_10.xlsx"/>
    <x v="3"/>
    <x v="9"/>
  </r>
  <r>
    <s v="MonthlyTradeStatistics 2019_10.xlsx"/>
    <x v="32"/>
    <n v="58680.306700000001"/>
    <s v="2019_10.xlsx"/>
    <x v="3"/>
    <x v="9"/>
  </r>
  <r>
    <s v="MonthlyTradeStatistics 2019_10.xlsx"/>
    <x v="33"/>
    <n v="49675.941599999998"/>
    <s v="2019_10.xlsx"/>
    <x v="3"/>
    <x v="9"/>
  </r>
  <r>
    <s v="MonthlyTradeStatistics 2019_10.xlsx"/>
    <x v="34"/>
    <n v="0"/>
    <s v="2019_10.xlsx"/>
    <x v="3"/>
    <x v="9"/>
  </r>
  <r>
    <s v="MonthlyTradeStatistics 2019_10.xlsx"/>
    <x v="35"/>
    <n v="1525.0992000000001"/>
    <s v="2019_10.xlsx"/>
    <x v="3"/>
    <x v="9"/>
  </r>
  <r>
    <s v="MonthlyTradeStatistics 2019_10.xlsx"/>
    <x v="36"/>
    <n v="889.73800000000006"/>
    <s v="2019_10.xlsx"/>
    <x v="3"/>
    <x v="9"/>
  </r>
  <r>
    <s v="MonthlyTradeStatistics 2019_10.xlsx"/>
    <x v="37"/>
    <n v="150159.24119999999"/>
    <s v="2019_10.xlsx"/>
    <x v="3"/>
    <x v="9"/>
  </r>
  <r>
    <s v="MonthlyTradeStatistics 2019_10.xlsx"/>
    <x v="38"/>
    <n v="158.83330000000001"/>
    <s v="2019_10.xlsx"/>
    <x v="3"/>
    <x v="9"/>
  </r>
  <r>
    <s v="MonthlyTradeStatistics 2019_10.xlsx"/>
    <x v="39"/>
    <n v="106803.48360000001"/>
    <s v="2019_10.xlsx"/>
    <x v="3"/>
    <x v="9"/>
  </r>
  <r>
    <s v="MonthlyTradeStatistics 2019_10.xlsx"/>
    <x v="40"/>
    <n v="0"/>
    <s v="2019_10.xlsx"/>
    <x v="3"/>
    <x v="9"/>
  </r>
  <r>
    <s v="MonthlyTradeStatistics 2019_10.xlsx"/>
    <x v="41"/>
    <n v="3968.7125999999998"/>
    <s v="2019_10.xlsx"/>
    <x v="3"/>
    <x v="9"/>
  </r>
  <r>
    <s v="MonthlyTradeStatistics 2019_10.xlsx"/>
    <x v="42"/>
    <n v="56565.33"/>
    <s v="2019_10.xlsx"/>
    <x v="3"/>
    <x v="9"/>
  </r>
  <r>
    <s v="MonthlyTradeStatistics 2019_10.xlsx"/>
    <x v="43"/>
    <n v="0"/>
    <s v="2019_10.xlsx"/>
    <x v="3"/>
    <x v="9"/>
  </r>
  <r>
    <s v="MonthlyTradeStatistics 2019_10.xlsx"/>
    <x v="44"/>
    <n v="556974.6875"/>
    <s v="2019_10.xlsx"/>
    <x v="3"/>
    <x v="9"/>
  </r>
  <r>
    <s v="MonthlyTradeStatistics 2019_10.xlsx"/>
    <x v="45"/>
    <n v="903.05799999999999"/>
    <s v="2019_10.xlsx"/>
    <x v="3"/>
    <x v="9"/>
  </r>
  <r>
    <s v="MonthlyTradeStatistics 2019_10.xlsx"/>
    <x v="46"/>
    <n v="54954.787499999999"/>
    <s v="2019_10.xlsx"/>
    <x v="3"/>
    <x v="9"/>
  </r>
  <r>
    <s v="MonthlyTradeStatistics 2019_10.xlsx"/>
    <x v="47"/>
    <n v="4367.9337999999998"/>
    <s v="2019_10.xlsx"/>
    <x v="3"/>
    <x v="9"/>
  </r>
  <r>
    <s v="MonthlyTradeStatistics 2019_10.xlsx"/>
    <x v="48"/>
    <n v="44.854399999999998"/>
    <s v="2019_10.xlsx"/>
    <x v="3"/>
    <x v="9"/>
  </r>
  <r>
    <s v="MonthlyTradeStatistics 2019_10.xlsx"/>
    <x v="49"/>
    <n v="96126.64"/>
    <s v="2019_10.xlsx"/>
    <x v="3"/>
    <x v="9"/>
  </r>
  <r>
    <s v="MonthlyTradeStatistics 2019_10.xlsx"/>
    <x v="50"/>
    <n v="14248.9822"/>
    <s v="2019_10.xlsx"/>
    <x v="3"/>
    <x v="9"/>
  </r>
  <r>
    <s v="MonthlyTradeStatistics 2019_10.xlsx"/>
    <x v="51"/>
    <n v="13548.55"/>
    <s v="2019_10.xlsx"/>
    <x v="3"/>
    <x v="9"/>
  </r>
  <r>
    <s v="MonthlyTradeStatistics 2019_10.xlsx"/>
    <x v="52"/>
    <n v="2304.9666999999999"/>
    <s v="2019_10.xlsx"/>
    <x v="3"/>
    <x v="9"/>
  </r>
  <r>
    <s v="MonthlyTradeStatistics 2019_10.xlsx"/>
    <x v="53"/>
    <n v="404.90179999999998"/>
    <s v="2019_10.xlsx"/>
    <x v="3"/>
    <x v="9"/>
  </r>
  <r>
    <s v="MonthlyTradeStatistics 2019_10.xlsx"/>
    <x v="54"/>
    <n v="378238"/>
    <s v="2019_10.xlsx"/>
    <x v="3"/>
    <x v="9"/>
  </r>
  <r>
    <s v="MonthlyTradeStatistics 2019_10.xlsx"/>
    <x v="55"/>
    <n v="34.164900000000003"/>
    <s v="2019_10.xlsx"/>
    <x v="3"/>
    <x v="9"/>
  </r>
  <r>
    <s v="MonthlyTradeStatistics 2019_10.xlsx"/>
    <x v="56"/>
    <n v="1439646.5833999999"/>
    <s v="2019_10.xlsx"/>
    <x v="3"/>
    <x v="9"/>
  </r>
  <r>
    <s v="MonthlyTradeStatistics 2019_10.xlsx"/>
    <x v="57"/>
    <n v="1534.5823"/>
    <s v="2019_10.xlsx"/>
    <x v="3"/>
    <x v="9"/>
  </r>
  <r>
    <s v="MonthlyTradeStatistics 2019_10.xlsx"/>
    <x v="58"/>
    <n v="998.40639999999996"/>
    <s v="2019_10.xlsx"/>
    <x v="3"/>
    <x v="9"/>
  </r>
  <r>
    <s v="MonthlyTradeStatistics 2019_10.xlsx"/>
    <x v="59"/>
    <n v="640.06669999999997"/>
    <s v="2019_10.xlsx"/>
    <x v="3"/>
    <x v="9"/>
  </r>
  <r>
    <s v="MonthlyTradeStatistics 2019_11.xlsx"/>
    <x v="0"/>
    <n v="9590551.5613000002"/>
    <s v="2019_11.xlsx"/>
    <x v="3"/>
    <x v="10"/>
  </r>
  <r>
    <s v="MonthlyTradeStatistics 2019_11.xlsx"/>
    <x v="1"/>
    <n v="1278858.2006999999"/>
    <s v="2019_11.xlsx"/>
    <x v="3"/>
    <x v="10"/>
  </r>
  <r>
    <s v="MonthlyTradeStatistics 2019_11.xlsx"/>
    <x v="2"/>
    <n v="1363437.7309999999"/>
    <s v="2019_11.xlsx"/>
    <x v="3"/>
    <x v="10"/>
  </r>
  <r>
    <s v="MonthlyTradeStatistics 2019_11.xlsx"/>
    <x v="3"/>
    <n v="3243747.9246999999"/>
    <s v="2019_11.xlsx"/>
    <x v="3"/>
    <x v="10"/>
  </r>
  <r>
    <s v="MonthlyTradeStatistics 2019_11.xlsx"/>
    <x v="4"/>
    <n v="3704507.7048999998"/>
    <s v="2019_11.xlsx"/>
    <x v="3"/>
    <x v="10"/>
  </r>
  <r>
    <s v="MonthlyTradeStatistics 2019_11.xlsx"/>
    <x v="5"/>
    <n v="2995.51"/>
    <s v="2019_11.xlsx"/>
    <x v="3"/>
    <x v="10"/>
  </r>
  <r>
    <s v="MonthlyTradeStatistics 2019_11.xlsx"/>
    <x v="6"/>
    <n v="1637.4167"/>
    <s v="2019_11.xlsx"/>
    <x v="3"/>
    <x v="10"/>
  </r>
  <r>
    <s v="MonthlyTradeStatistics 2019_11.xlsx"/>
    <x v="7"/>
    <n v="3281473.3001999999"/>
    <s v="2019_11.xlsx"/>
    <x v="3"/>
    <x v="10"/>
  </r>
  <r>
    <s v="MonthlyTradeStatistics 2019_11.xlsx"/>
    <x v="8"/>
    <n v="24116.666700000002"/>
    <s v="2019_11.xlsx"/>
    <x v="3"/>
    <x v="10"/>
  </r>
  <r>
    <s v="MonthlyTradeStatistics 2019_11.xlsx"/>
    <x v="9"/>
    <n v="13600"/>
    <s v="2019_11.xlsx"/>
    <x v="3"/>
    <x v="10"/>
  </r>
  <r>
    <s v="MonthlyTradeStatistics 2019_11.xlsx"/>
    <x v="10"/>
    <n v="610"/>
    <s v="2019_11.xlsx"/>
    <x v="3"/>
    <x v="10"/>
  </r>
  <r>
    <s v="MonthlyTradeStatistics 2019_11.xlsx"/>
    <x v="11"/>
    <n v="1162322.4240000001"/>
    <s v="2019_11.xlsx"/>
    <x v="3"/>
    <x v="10"/>
  </r>
  <r>
    <s v="MonthlyTradeStatistics 2019_11.xlsx"/>
    <x v="12"/>
    <n v="0"/>
    <s v="2019_11.xlsx"/>
    <x v="3"/>
    <x v="10"/>
  </r>
  <r>
    <s v="MonthlyTradeStatistics 2019_11.xlsx"/>
    <x v="13"/>
    <n v="9557.7419000000009"/>
    <s v="2019_11.xlsx"/>
    <x v="3"/>
    <x v="10"/>
  </r>
  <r>
    <s v="MonthlyTradeStatistics 2019_11.xlsx"/>
    <x v="14"/>
    <n v="263009.48359999998"/>
    <s v="2019_11.xlsx"/>
    <x v="3"/>
    <x v="10"/>
  </r>
  <r>
    <s v="MonthlyTradeStatistics 2019_11.xlsx"/>
    <x v="15"/>
    <n v="1349.6353999999999"/>
    <s v="2019_11.xlsx"/>
    <x v="3"/>
    <x v="10"/>
  </r>
  <r>
    <s v="MonthlyTradeStatistics 2019_11.xlsx"/>
    <x v="16"/>
    <n v="16128.876"/>
    <s v="2019_11.xlsx"/>
    <x v="3"/>
    <x v="10"/>
  </r>
  <r>
    <s v="MonthlyTradeStatistics 2019_11.xlsx"/>
    <x v="17"/>
    <n v="2757.2238000000002"/>
    <s v="2019_11.xlsx"/>
    <x v="3"/>
    <x v="10"/>
  </r>
  <r>
    <s v="MonthlyTradeStatistics 2019_11.xlsx"/>
    <x v="18"/>
    <n v="54231.872300000003"/>
    <s v="2019_11.xlsx"/>
    <x v="3"/>
    <x v="10"/>
  </r>
  <r>
    <s v="MonthlyTradeStatistics 2019_11.xlsx"/>
    <x v="19"/>
    <n v="12035.113300000001"/>
    <s v="2019_11.xlsx"/>
    <x v="3"/>
    <x v="10"/>
  </r>
  <r>
    <s v="MonthlyTradeStatistics 2019_11.xlsx"/>
    <x v="20"/>
    <n v="0"/>
    <s v="2019_11.xlsx"/>
    <x v="3"/>
    <x v="10"/>
  </r>
  <r>
    <s v="MonthlyTradeStatistics 2019_11.xlsx"/>
    <x v="21"/>
    <n v="267557.73330000002"/>
    <s v="2019_11.xlsx"/>
    <x v="3"/>
    <x v="10"/>
  </r>
  <r>
    <s v="MonthlyTradeStatistics 2019_11.xlsx"/>
    <x v="22"/>
    <n v="0"/>
    <s v="2019_11.xlsx"/>
    <x v="3"/>
    <x v="10"/>
  </r>
  <r>
    <s v="MonthlyTradeStatistics 2019_11.xlsx"/>
    <x v="23"/>
    <n v="185.33840000000001"/>
    <s v="2019_11.xlsx"/>
    <x v="3"/>
    <x v="10"/>
  </r>
  <r>
    <s v="MonthlyTradeStatistics 2019_11.xlsx"/>
    <x v="24"/>
    <n v="66375.825599999996"/>
    <s v="2019_11.xlsx"/>
    <x v="3"/>
    <x v="10"/>
  </r>
  <r>
    <s v="MonthlyTradeStatistics 2019_11.xlsx"/>
    <x v="25"/>
    <n v="5372.2618000000002"/>
    <s v="2019_11.xlsx"/>
    <x v="3"/>
    <x v="10"/>
  </r>
  <r>
    <s v="MonthlyTradeStatistics 2019_11.xlsx"/>
    <x v="26"/>
    <n v="96.59"/>
    <s v="2019_11.xlsx"/>
    <x v="3"/>
    <x v="10"/>
  </r>
  <r>
    <s v="MonthlyTradeStatistics 2019_11.xlsx"/>
    <x v="27"/>
    <n v="17.429500000000001"/>
    <s v="2019_11.xlsx"/>
    <x v="3"/>
    <x v="10"/>
  </r>
  <r>
    <s v="MonthlyTradeStatistics 2019_11.xlsx"/>
    <x v="28"/>
    <n v="106823.03999999999"/>
    <s v="2019_11.xlsx"/>
    <x v="3"/>
    <x v="10"/>
  </r>
  <r>
    <s v="MonthlyTradeStatistics 2019_11.xlsx"/>
    <x v="29"/>
    <n v="341836.67170000001"/>
    <s v="2019_11.xlsx"/>
    <x v="3"/>
    <x v="10"/>
  </r>
  <r>
    <s v="MonthlyTradeStatistics 2019_11.xlsx"/>
    <x v="30"/>
    <n v="637316.70259999996"/>
    <s v="2019_11.xlsx"/>
    <x v="3"/>
    <x v="10"/>
  </r>
  <r>
    <s v="MonthlyTradeStatistics 2019_11.xlsx"/>
    <x v="31"/>
    <n v="660.46990000000005"/>
    <s v="2019_11.xlsx"/>
    <x v="3"/>
    <x v="10"/>
  </r>
  <r>
    <s v="MonthlyTradeStatistics 2019_11.xlsx"/>
    <x v="32"/>
    <n v="62821.519699999997"/>
    <s v="2019_11.xlsx"/>
    <x v="3"/>
    <x v="10"/>
  </r>
  <r>
    <s v="MonthlyTradeStatistics 2019_11.xlsx"/>
    <x v="33"/>
    <n v="49675.8606"/>
    <s v="2019_11.xlsx"/>
    <x v="3"/>
    <x v="10"/>
  </r>
  <r>
    <s v="MonthlyTradeStatistics 2019_11.xlsx"/>
    <x v="34"/>
    <n v="0"/>
    <s v="2019_11.xlsx"/>
    <x v="3"/>
    <x v="10"/>
  </r>
  <r>
    <s v="MonthlyTradeStatistics 2019_11.xlsx"/>
    <x v="35"/>
    <n v="609.20000000000005"/>
    <s v="2019_11.xlsx"/>
    <x v="3"/>
    <x v="10"/>
  </r>
  <r>
    <s v="MonthlyTradeStatistics 2019_11.xlsx"/>
    <x v="36"/>
    <n v="1139.7380000000001"/>
    <s v="2019_11.xlsx"/>
    <x v="3"/>
    <x v="10"/>
  </r>
  <r>
    <s v="MonthlyTradeStatistics 2019_11.xlsx"/>
    <x v="37"/>
    <n v="127018.91989999999"/>
    <s v="2019_11.xlsx"/>
    <x v="3"/>
    <x v="10"/>
  </r>
  <r>
    <s v="MonthlyTradeStatistics 2019_11.xlsx"/>
    <x v="38"/>
    <n v="25.644200000000001"/>
    <s v="2019_11.xlsx"/>
    <x v="3"/>
    <x v="10"/>
  </r>
  <r>
    <s v="MonthlyTradeStatistics 2019_11.xlsx"/>
    <x v="39"/>
    <n v="82950.795199999993"/>
    <s v="2019_11.xlsx"/>
    <x v="3"/>
    <x v="10"/>
  </r>
  <r>
    <s v="MonthlyTradeStatistics 2019_11.xlsx"/>
    <x v="40"/>
    <n v="0"/>
    <s v="2019_11.xlsx"/>
    <x v="3"/>
    <x v="10"/>
  </r>
  <r>
    <s v="MonthlyTradeStatistics 2019_11.xlsx"/>
    <x v="41"/>
    <n v="2605.0212999999999"/>
    <s v="2019_11.xlsx"/>
    <x v="3"/>
    <x v="10"/>
  </r>
  <r>
    <s v="MonthlyTradeStatistics 2019_11.xlsx"/>
    <x v="42"/>
    <n v="79964.975000000006"/>
    <s v="2019_11.xlsx"/>
    <x v="3"/>
    <x v="10"/>
  </r>
  <r>
    <s v="MonthlyTradeStatistics 2019_11.xlsx"/>
    <x v="43"/>
    <n v="0"/>
    <s v="2019_11.xlsx"/>
    <x v="3"/>
    <x v="10"/>
  </r>
  <r>
    <s v="MonthlyTradeStatistics 2019_11.xlsx"/>
    <x v="44"/>
    <n v="451868.37229999999"/>
    <s v="2019_11.xlsx"/>
    <x v="3"/>
    <x v="10"/>
  </r>
  <r>
    <s v="MonthlyTradeStatistics 2019_11.xlsx"/>
    <x v="45"/>
    <n v="677.48199999999997"/>
    <s v="2019_11.xlsx"/>
    <x v="3"/>
    <x v="10"/>
  </r>
  <r>
    <s v="MonthlyTradeStatistics 2019_11.xlsx"/>
    <x v="46"/>
    <n v="33612.504999999997"/>
    <s v="2019_11.xlsx"/>
    <x v="3"/>
    <x v="10"/>
  </r>
  <r>
    <s v="MonthlyTradeStatistics 2019_11.xlsx"/>
    <x v="47"/>
    <n v="2824.5938000000001"/>
    <s v="2019_11.xlsx"/>
    <x v="3"/>
    <x v="10"/>
  </r>
  <r>
    <s v="MonthlyTradeStatistics 2019_11.xlsx"/>
    <x v="48"/>
    <n v="73.504900000000006"/>
    <s v="2019_11.xlsx"/>
    <x v="3"/>
    <x v="10"/>
  </r>
  <r>
    <s v="MonthlyTradeStatistics 2019_11.xlsx"/>
    <x v="49"/>
    <n v="87790.343999999997"/>
    <s v="2019_11.xlsx"/>
    <x v="3"/>
    <x v="10"/>
  </r>
  <r>
    <s v="MonthlyTradeStatistics 2019_11.xlsx"/>
    <x v="50"/>
    <n v="19384.917799999999"/>
    <s v="2019_11.xlsx"/>
    <x v="3"/>
    <x v="10"/>
  </r>
  <r>
    <s v="MonthlyTradeStatistics 2019_11.xlsx"/>
    <x v="51"/>
    <n v="10500.1667"/>
    <s v="2019_11.xlsx"/>
    <x v="3"/>
    <x v="10"/>
  </r>
  <r>
    <s v="MonthlyTradeStatistics 2019_11.xlsx"/>
    <x v="52"/>
    <n v="1600"/>
    <s v="2019_11.xlsx"/>
    <x v="3"/>
    <x v="10"/>
  </r>
  <r>
    <s v="MonthlyTradeStatistics 2019_11.xlsx"/>
    <x v="53"/>
    <n v="105.4436"/>
    <s v="2019_11.xlsx"/>
    <x v="3"/>
    <x v="10"/>
  </r>
  <r>
    <s v="MonthlyTradeStatistics 2019_11.xlsx"/>
    <x v="54"/>
    <n v="438815.01"/>
    <s v="2019_11.xlsx"/>
    <x v="3"/>
    <x v="10"/>
  </r>
  <r>
    <s v="MonthlyTradeStatistics 2019_11.xlsx"/>
    <x v="55"/>
    <n v="36.270899999999997"/>
    <s v="2019_11.xlsx"/>
    <x v="3"/>
    <x v="10"/>
  </r>
  <r>
    <s v="MonthlyTradeStatistics 2019_11.xlsx"/>
    <x v="56"/>
    <n v="1860388.3703000001"/>
    <s v="2019_11.xlsx"/>
    <x v="3"/>
    <x v="10"/>
  </r>
  <r>
    <s v="MonthlyTradeStatistics 2019_11.xlsx"/>
    <x v="57"/>
    <n v="1749.905"/>
    <s v="2019_11.xlsx"/>
    <x v="3"/>
    <x v="10"/>
  </r>
  <r>
    <s v="MonthlyTradeStatistics 2019_11.xlsx"/>
    <x v="58"/>
    <n v="1605.6744000000001"/>
    <s v="2019_11.xlsx"/>
    <x v="3"/>
    <x v="10"/>
  </r>
  <r>
    <s v="MonthlyTradeStatistics 2019_11.xlsx"/>
    <x v="59"/>
    <n v="640"/>
    <s v="2019_11.xlsx"/>
    <x v="3"/>
    <x v="10"/>
  </r>
  <r>
    <s v="MonthlyTradeStatistics 2019_12.xlsx"/>
    <x v="0"/>
    <n v="10828207.259400001"/>
    <s v="2019_12.xlsx"/>
    <x v="3"/>
    <x v="11"/>
  </r>
  <r>
    <s v="MonthlyTradeStatistics 2019_12.xlsx"/>
    <x v="1"/>
    <n v="1511815.1583"/>
    <s v="2019_12.xlsx"/>
    <x v="3"/>
    <x v="11"/>
  </r>
  <r>
    <s v="MonthlyTradeStatistics 2019_12.xlsx"/>
    <x v="2"/>
    <n v="1733429.0371999999"/>
    <s v="2019_12.xlsx"/>
    <x v="3"/>
    <x v="11"/>
  </r>
  <r>
    <s v="MonthlyTradeStatistics 2019_12.xlsx"/>
    <x v="3"/>
    <n v="2895103.2078"/>
    <s v="2019_12.xlsx"/>
    <x v="3"/>
    <x v="11"/>
  </r>
  <r>
    <s v="MonthlyTradeStatistics 2019_12.xlsx"/>
    <x v="4"/>
    <n v="4687859.8561000004"/>
    <s v="2019_12.xlsx"/>
    <x v="3"/>
    <x v="11"/>
  </r>
  <r>
    <s v="MonthlyTradeStatistics 2019_12.xlsx"/>
    <x v="5"/>
    <n v="804.53"/>
    <s v="2019_12.xlsx"/>
    <x v="3"/>
    <x v="11"/>
  </r>
  <r>
    <s v="MonthlyTradeStatistics 2019_12.xlsx"/>
    <x v="6"/>
    <n v="4232.8666999999996"/>
    <s v="2019_12.xlsx"/>
    <x v="3"/>
    <x v="11"/>
  </r>
  <r>
    <s v="MonthlyTradeStatistics 2019_12.xlsx"/>
    <x v="7"/>
    <n v="3072707.0425999998"/>
    <s v="2019_12.xlsx"/>
    <x v="3"/>
    <x v="11"/>
  </r>
  <r>
    <s v="MonthlyTradeStatistics 2019_12.xlsx"/>
    <x v="8"/>
    <n v="24380.41"/>
    <s v="2019_12.xlsx"/>
    <x v="3"/>
    <x v="11"/>
  </r>
  <r>
    <s v="MonthlyTradeStatistics 2019_12.xlsx"/>
    <x v="9"/>
    <n v="8500"/>
    <s v="2019_12.xlsx"/>
    <x v="3"/>
    <x v="11"/>
  </r>
  <r>
    <s v="MonthlyTradeStatistics 2019_12.xlsx"/>
    <x v="10"/>
    <n v="0"/>
    <s v="2019_12.xlsx"/>
    <x v="3"/>
    <x v="11"/>
  </r>
  <r>
    <s v="MonthlyTradeStatistics 2019_12.xlsx"/>
    <x v="11"/>
    <n v="1386690.5522"/>
    <s v="2019_12.xlsx"/>
    <x v="3"/>
    <x v="11"/>
  </r>
  <r>
    <s v="MonthlyTradeStatistics 2019_12.xlsx"/>
    <x v="12"/>
    <n v="0"/>
    <s v="2019_12.xlsx"/>
    <x v="3"/>
    <x v="11"/>
  </r>
  <r>
    <s v="MonthlyTradeStatistics 2019_12.xlsx"/>
    <x v="13"/>
    <n v="19794.0105"/>
    <s v="2019_12.xlsx"/>
    <x v="3"/>
    <x v="11"/>
  </r>
  <r>
    <s v="MonthlyTradeStatistics 2019_12.xlsx"/>
    <x v="14"/>
    <n v="57378.983500000002"/>
    <s v="2019_12.xlsx"/>
    <x v="3"/>
    <x v="11"/>
  </r>
  <r>
    <s v="MonthlyTradeStatistics 2019_12.xlsx"/>
    <x v="15"/>
    <n v="1349.6353999999999"/>
    <s v="2019_12.xlsx"/>
    <x v="3"/>
    <x v="11"/>
  </r>
  <r>
    <s v="MonthlyTradeStatistics 2019_12.xlsx"/>
    <x v="16"/>
    <n v="9435.2459999999992"/>
    <s v="2019_12.xlsx"/>
    <x v="3"/>
    <x v="11"/>
  </r>
  <r>
    <s v="MonthlyTradeStatistics 2019_12.xlsx"/>
    <x v="17"/>
    <n v="2404.7764000000002"/>
    <s v="2019_12.xlsx"/>
    <x v="3"/>
    <x v="11"/>
  </r>
  <r>
    <s v="MonthlyTradeStatistics 2019_12.xlsx"/>
    <x v="18"/>
    <n v="60244.109199999999"/>
    <s v="2019_12.xlsx"/>
    <x v="3"/>
    <x v="11"/>
  </r>
  <r>
    <s v="MonthlyTradeStatistics 2019_12.xlsx"/>
    <x v="19"/>
    <n v="8491.5532999999996"/>
    <s v="2019_12.xlsx"/>
    <x v="3"/>
    <x v="11"/>
  </r>
  <r>
    <s v="MonthlyTradeStatistics 2019_12.xlsx"/>
    <x v="20"/>
    <n v="0"/>
    <s v="2019_12.xlsx"/>
    <x v="3"/>
    <x v="11"/>
  </r>
  <r>
    <s v="MonthlyTradeStatistics 2019_12.xlsx"/>
    <x v="21"/>
    <n v="243998.26670000001"/>
    <s v="2019_12.xlsx"/>
    <x v="3"/>
    <x v="11"/>
  </r>
  <r>
    <s v="MonthlyTradeStatistics 2019_12.xlsx"/>
    <x v="22"/>
    <n v="0"/>
    <s v="2019_12.xlsx"/>
    <x v="3"/>
    <x v="11"/>
  </r>
  <r>
    <s v="MonthlyTradeStatistics 2019_12.xlsx"/>
    <x v="23"/>
    <n v="64.730900000000005"/>
    <s v="2019_12.xlsx"/>
    <x v="3"/>
    <x v="11"/>
  </r>
  <r>
    <s v="MonthlyTradeStatistics 2019_12.xlsx"/>
    <x v="24"/>
    <n v="129444.3328"/>
    <s v="2019_12.xlsx"/>
    <x v="3"/>
    <x v="11"/>
  </r>
  <r>
    <s v="MonthlyTradeStatistics 2019_12.xlsx"/>
    <x v="25"/>
    <n v="4933.2618000000002"/>
    <s v="2019_12.xlsx"/>
    <x v="3"/>
    <x v="11"/>
  </r>
  <r>
    <s v="MonthlyTradeStatistics 2019_12.xlsx"/>
    <x v="26"/>
    <n v="111.19329999999999"/>
    <s v="2019_12.xlsx"/>
    <x v="3"/>
    <x v="11"/>
  </r>
  <r>
    <s v="MonthlyTradeStatistics 2019_12.xlsx"/>
    <x v="27"/>
    <n v="76.536799999999999"/>
    <s v="2019_12.xlsx"/>
    <x v="3"/>
    <x v="11"/>
  </r>
  <r>
    <s v="MonthlyTradeStatistics 2019_12.xlsx"/>
    <x v="28"/>
    <n v="339952.30499999999"/>
    <s v="2019_12.xlsx"/>
    <x v="3"/>
    <x v="11"/>
  </r>
  <r>
    <s v="MonthlyTradeStatistics 2019_12.xlsx"/>
    <x v="29"/>
    <n v="380453.56339999998"/>
    <s v="2019_12.xlsx"/>
    <x v="3"/>
    <x v="11"/>
  </r>
  <r>
    <s v="MonthlyTradeStatistics 2019_12.xlsx"/>
    <x v="30"/>
    <n v="497557.27759999997"/>
    <s v="2019_12.xlsx"/>
    <x v="3"/>
    <x v="11"/>
  </r>
  <r>
    <s v="MonthlyTradeStatistics 2019_12.xlsx"/>
    <x v="31"/>
    <n v="1244.0948000000001"/>
    <s v="2019_12.xlsx"/>
    <x v="3"/>
    <x v="11"/>
  </r>
  <r>
    <s v="MonthlyTradeStatistics 2019_12.xlsx"/>
    <x v="32"/>
    <n v="53279.0861"/>
    <s v="2019_12.xlsx"/>
    <x v="3"/>
    <x v="11"/>
  </r>
  <r>
    <s v="MonthlyTradeStatistics 2019_12.xlsx"/>
    <x v="33"/>
    <n v="43492.808599999997"/>
    <s v="2019_12.xlsx"/>
    <x v="3"/>
    <x v="11"/>
  </r>
  <r>
    <s v="MonthlyTradeStatistics 2019_12.xlsx"/>
    <x v="34"/>
    <n v="0"/>
    <s v="2019_12.xlsx"/>
    <x v="3"/>
    <x v="11"/>
  </r>
  <r>
    <s v="MonthlyTradeStatistics 2019_12.xlsx"/>
    <x v="35"/>
    <n v="1888.2064"/>
    <s v="2019_12.xlsx"/>
    <x v="3"/>
    <x v="11"/>
  </r>
  <r>
    <s v="MonthlyTradeStatistics 2019_12.xlsx"/>
    <x v="36"/>
    <n v="2535.9479999999999"/>
    <s v="2019_12.xlsx"/>
    <x v="3"/>
    <x v="11"/>
  </r>
  <r>
    <s v="MonthlyTradeStatistics 2019_12.xlsx"/>
    <x v="37"/>
    <n v="177637.39629999999"/>
    <s v="2019_12.xlsx"/>
    <x v="3"/>
    <x v="11"/>
  </r>
  <r>
    <s v="MonthlyTradeStatistics 2019_12.xlsx"/>
    <x v="38"/>
    <n v="10.2667"/>
    <s v="2019_12.xlsx"/>
    <x v="3"/>
    <x v="11"/>
  </r>
  <r>
    <s v="MonthlyTradeStatistics 2019_12.xlsx"/>
    <x v="39"/>
    <n v="129241.7387"/>
    <s v="2019_12.xlsx"/>
    <x v="3"/>
    <x v="11"/>
  </r>
  <r>
    <s v="MonthlyTradeStatistics 2019_12.xlsx"/>
    <x v="40"/>
    <n v="0"/>
    <s v="2019_12.xlsx"/>
    <x v="3"/>
    <x v="11"/>
  </r>
  <r>
    <s v="MonthlyTradeStatistics 2019_12.xlsx"/>
    <x v="41"/>
    <n v="1713.8033"/>
    <s v="2019_12.xlsx"/>
    <x v="3"/>
    <x v="11"/>
  </r>
  <r>
    <s v="MonthlyTradeStatistics 2019_12.xlsx"/>
    <x v="42"/>
    <n v="55195.07"/>
    <s v="2019_12.xlsx"/>
    <x v="3"/>
    <x v="11"/>
  </r>
  <r>
    <s v="MonthlyTradeStatistics 2019_12.xlsx"/>
    <x v="43"/>
    <n v="0.67430000000000001"/>
    <s v="2019_12.xlsx"/>
    <x v="3"/>
    <x v="11"/>
  </r>
  <r>
    <s v="MonthlyTradeStatistics 2019_12.xlsx"/>
    <x v="44"/>
    <n v="503634.59090000001"/>
    <s v="2019_12.xlsx"/>
    <x v="3"/>
    <x v="11"/>
  </r>
  <r>
    <s v="MonthlyTradeStatistics 2019_12.xlsx"/>
    <x v="45"/>
    <n v="3.2130000000000001"/>
    <s v="2019_12.xlsx"/>
    <x v="3"/>
    <x v="11"/>
  </r>
  <r>
    <s v="MonthlyTradeStatistics 2019_12.xlsx"/>
    <x v="46"/>
    <n v="44774.737200000003"/>
    <s v="2019_12.xlsx"/>
    <x v="3"/>
    <x v="11"/>
  </r>
  <r>
    <s v="MonthlyTradeStatistics 2019_12.xlsx"/>
    <x v="47"/>
    <n v="2594.5938000000001"/>
    <s v="2019_12.xlsx"/>
    <x v="3"/>
    <x v="11"/>
  </r>
  <r>
    <s v="MonthlyTradeStatistics 2019_12.xlsx"/>
    <x v="48"/>
    <n v="50.418900000000001"/>
    <s v="2019_12.xlsx"/>
    <x v="3"/>
    <x v="11"/>
  </r>
  <r>
    <s v="MonthlyTradeStatistics 2019_12.xlsx"/>
    <x v="49"/>
    <n v="111115.9"/>
    <s v="2019_12.xlsx"/>
    <x v="3"/>
    <x v="11"/>
  </r>
  <r>
    <s v="MonthlyTradeStatistics 2019_12.xlsx"/>
    <x v="50"/>
    <n v="17514.3285"/>
    <s v="2019_12.xlsx"/>
    <x v="3"/>
    <x v="11"/>
  </r>
  <r>
    <s v="MonthlyTradeStatistics 2019_12.xlsx"/>
    <x v="51"/>
    <n v="8196.1666999999998"/>
    <s v="2019_12.xlsx"/>
    <x v="3"/>
    <x v="11"/>
  </r>
  <r>
    <s v="MonthlyTradeStatistics 2019_12.xlsx"/>
    <x v="52"/>
    <n v="0"/>
    <s v="2019_12.xlsx"/>
    <x v="3"/>
    <x v="11"/>
  </r>
  <r>
    <s v="MonthlyTradeStatistics 2019_12.xlsx"/>
    <x v="53"/>
    <n v="665.94380000000001"/>
    <s v="2019_12.xlsx"/>
    <x v="3"/>
    <x v="11"/>
  </r>
  <r>
    <s v="MonthlyTradeStatistics 2019_12.xlsx"/>
    <x v="54"/>
    <n v="330248"/>
    <s v="2019_12.xlsx"/>
    <x v="3"/>
    <x v="11"/>
  </r>
  <r>
    <s v="MonthlyTradeStatistics 2019_12.xlsx"/>
    <x v="55"/>
    <n v="34.164900000000003"/>
    <s v="2019_12.xlsx"/>
    <x v="3"/>
    <x v="11"/>
  </r>
  <r>
    <s v="MonthlyTradeStatistics 2019_12.xlsx"/>
    <x v="56"/>
    <n v="3087129.4679999999"/>
    <s v="2019_12.xlsx"/>
    <x v="3"/>
    <x v="11"/>
  </r>
  <r>
    <s v="MonthlyTradeStatistics 2019_12.xlsx"/>
    <x v="57"/>
    <n v="393.28230000000002"/>
    <s v="2019_12.xlsx"/>
    <x v="3"/>
    <x v="11"/>
  </r>
  <r>
    <s v="MonthlyTradeStatistics 2019_12.xlsx"/>
    <x v="58"/>
    <n v="800.80640000000005"/>
    <s v="2019_12.xlsx"/>
    <x v="3"/>
    <x v="11"/>
  </r>
  <r>
    <s v="MonthlyTradeStatistics 2019_12.xlsx"/>
    <x v="59"/>
    <n v="1807.3677"/>
    <s v="2019_12.xlsx"/>
    <x v="3"/>
    <x v="11"/>
  </r>
  <r>
    <s v="MonthlyTradeStatistics 2020_01.xlsx"/>
    <x v="0"/>
    <n v="10627231.445"/>
    <s v="2020_01.xlsx"/>
    <x v="4"/>
    <x v="0"/>
  </r>
  <r>
    <s v="MonthlyTradeStatistics 2020_01.xlsx"/>
    <x v="1"/>
    <n v="1168960.1301"/>
    <s v="2020_01.xlsx"/>
    <x v="4"/>
    <x v="0"/>
  </r>
  <r>
    <s v="MonthlyTradeStatistics 2020_01.xlsx"/>
    <x v="2"/>
    <n v="2028171.9098"/>
    <s v="2020_01.xlsx"/>
    <x v="4"/>
    <x v="0"/>
  </r>
  <r>
    <s v="MonthlyTradeStatistics 2020_01.xlsx"/>
    <x v="3"/>
    <n v="3547389.6033000001"/>
    <s v="2020_01.xlsx"/>
    <x v="4"/>
    <x v="0"/>
  </r>
  <r>
    <s v="MonthlyTradeStatistics 2020_01.xlsx"/>
    <x v="4"/>
    <n v="3882709.8018"/>
    <s v="2020_01.xlsx"/>
    <x v="4"/>
    <x v="0"/>
  </r>
  <r>
    <s v="MonthlyTradeStatistics 2020_01.xlsx"/>
    <x v="5"/>
    <n v="2111.1007"/>
    <s v="2020_01.xlsx"/>
    <x v="4"/>
    <x v="0"/>
  </r>
  <r>
    <s v="MonthlyTradeStatistics 2020_01.xlsx"/>
    <x v="6"/>
    <n v="4187.45"/>
    <s v="2020_01.xlsx"/>
    <x v="4"/>
    <x v="0"/>
  </r>
  <r>
    <s v="MonthlyTradeStatistics 2020_01.xlsx"/>
    <x v="7"/>
    <n v="3474087.4794000001"/>
    <s v="2020_01.xlsx"/>
    <x v="4"/>
    <x v="0"/>
  </r>
  <r>
    <s v="MonthlyTradeStatistics 2020_01.xlsx"/>
    <x v="8"/>
    <n v="21876.283299999999"/>
    <s v="2020_01.xlsx"/>
    <x v="4"/>
    <x v="0"/>
  </r>
  <r>
    <s v="MonthlyTradeStatistics 2020_01.xlsx"/>
    <x v="9"/>
    <n v="5636.6666999999998"/>
    <s v="2020_01.xlsx"/>
    <x v="4"/>
    <x v="0"/>
  </r>
  <r>
    <s v="MonthlyTradeStatistics 2020_01.xlsx"/>
    <x v="10"/>
    <n v="1500"/>
    <s v="2020_01.xlsx"/>
    <x v="4"/>
    <x v="0"/>
  </r>
  <r>
    <s v="MonthlyTradeStatistics 2020_01.xlsx"/>
    <x v="11"/>
    <n v="1065415.4887999999"/>
    <s v="2020_01.xlsx"/>
    <x v="4"/>
    <x v="0"/>
  </r>
  <r>
    <s v="MonthlyTradeStatistics 2020_01.xlsx"/>
    <x v="12"/>
    <n v="0"/>
    <s v="2020_01.xlsx"/>
    <x v="4"/>
    <x v="0"/>
  </r>
  <r>
    <s v="MonthlyTradeStatistics 2020_01.xlsx"/>
    <x v="13"/>
    <n v="50006.3586"/>
    <s v="2020_01.xlsx"/>
    <x v="4"/>
    <x v="0"/>
  </r>
  <r>
    <s v="MonthlyTradeStatistics 2020_01.xlsx"/>
    <x v="14"/>
    <n v="140521.01699999999"/>
    <s v="2020_01.xlsx"/>
    <x v="4"/>
    <x v="0"/>
  </r>
  <r>
    <s v="MonthlyTradeStatistics 2020_01.xlsx"/>
    <x v="15"/>
    <n v="1927.1832999999999"/>
    <s v="2020_01.xlsx"/>
    <x v="4"/>
    <x v="0"/>
  </r>
  <r>
    <s v="MonthlyTradeStatistics 2020_01.xlsx"/>
    <x v="16"/>
    <n v="12000"/>
    <s v="2020_01.xlsx"/>
    <x v="4"/>
    <x v="0"/>
  </r>
  <r>
    <s v="MonthlyTradeStatistics 2020_01.xlsx"/>
    <x v="17"/>
    <n v="1333.9899"/>
    <s v="2020_01.xlsx"/>
    <x v="4"/>
    <x v="0"/>
  </r>
  <r>
    <s v="MonthlyTradeStatistics 2020_01.xlsx"/>
    <x v="18"/>
    <n v="25621.35"/>
    <s v="2020_01.xlsx"/>
    <x v="4"/>
    <x v="0"/>
  </r>
  <r>
    <s v="MonthlyTradeStatistics 2020_01.xlsx"/>
    <x v="19"/>
    <n v="28111.642899999999"/>
    <s v="2020_01.xlsx"/>
    <x v="4"/>
    <x v="0"/>
  </r>
  <r>
    <s v="MonthlyTradeStatistics 2020_01.xlsx"/>
    <x v="20"/>
    <n v="0"/>
    <s v="2020_01.xlsx"/>
    <x v="4"/>
    <x v="0"/>
  </r>
  <r>
    <s v="MonthlyTradeStatistics 2020_01.xlsx"/>
    <x v="21"/>
    <n v="240195.26329999999"/>
    <s v="2020_01.xlsx"/>
    <x v="4"/>
    <x v="0"/>
  </r>
  <r>
    <s v="MonthlyTradeStatistics 2020_01.xlsx"/>
    <x v="22"/>
    <n v="0"/>
    <s v="2020_01.xlsx"/>
    <x v="4"/>
    <x v="0"/>
  </r>
  <r>
    <s v="MonthlyTradeStatistics 2020_01.xlsx"/>
    <x v="23"/>
    <n v="160.39400000000001"/>
    <s v="2020_01.xlsx"/>
    <x v="4"/>
    <x v="0"/>
  </r>
  <r>
    <s v="MonthlyTradeStatistics 2020_01.xlsx"/>
    <x v="24"/>
    <n v="265397.33610000001"/>
    <s v="2020_01.xlsx"/>
    <x v="4"/>
    <x v="0"/>
  </r>
  <r>
    <s v="MonthlyTradeStatistics 2020_01.xlsx"/>
    <x v="25"/>
    <n v="15548.8593"/>
    <s v="2020_01.xlsx"/>
    <x v="4"/>
    <x v="0"/>
  </r>
  <r>
    <s v="MonthlyTradeStatistics 2020_01.xlsx"/>
    <x v="26"/>
    <n v="0"/>
    <s v="2020_01.xlsx"/>
    <x v="4"/>
    <x v="0"/>
  </r>
  <r>
    <s v="MonthlyTradeStatistics 2020_01.xlsx"/>
    <x v="27"/>
    <n v="100"/>
    <s v="2020_01.xlsx"/>
    <x v="4"/>
    <x v="0"/>
  </r>
  <r>
    <s v="MonthlyTradeStatistics 2020_01.xlsx"/>
    <x v="28"/>
    <n v="718886.06799999997"/>
    <s v="2020_01.xlsx"/>
    <x v="4"/>
    <x v="0"/>
  </r>
  <r>
    <s v="MonthlyTradeStatistics 2020_01.xlsx"/>
    <x v="29"/>
    <n v="349043.3762"/>
    <s v="2020_01.xlsx"/>
    <x v="4"/>
    <x v="0"/>
  </r>
  <r>
    <s v="MonthlyTradeStatistics 2020_01.xlsx"/>
    <x v="30"/>
    <n v="511899.60159999999"/>
    <s v="2020_01.xlsx"/>
    <x v="4"/>
    <x v="0"/>
  </r>
  <r>
    <s v="MonthlyTradeStatistics 2020_01.xlsx"/>
    <x v="31"/>
    <n v="562.54639999999995"/>
    <s v="2020_01.xlsx"/>
    <x v="4"/>
    <x v="0"/>
  </r>
  <r>
    <s v="MonthlyTradeStatistics 2020_01.xlsx"/>
    <x v="32"/>
    <n v="37919.921300000002"/>
    <s v="2020_01.xlsx"/>
    <x v="4"/>
    <x v="0"/>
  </r>
  <r>
    <s v="MonthlyTradeStatistics 2020_01.xlsx"/>
    <x v="33"/>
    <n v="42599.996700000003"/>
    <s v="2020_01.xlsx"/>
    <x v="4"/>
    <x v="0"/>
  </r>
  <r>
    <s v="MonthlyTradeStatistics 2020_01.xlsx"/>
    <x v="34"/>
    <n v="500"/>
    <s v="2020_01.xlsx"/>
    <x v="4"/>
    <x v="0"/>
  </r>
  <r>
    <s v="MonthlyTradeStatistics 2020_01.xlsx"/>
    <x v="35"/>
    <n v="1545.4666999999999"/>
    <s v="2020_01.xlsx"/>
    <x v="4"/>
    <x v="0"/>
  </r>
  <r>
    <s v="MonthlyTradeStatistics 2020_01.xlsx"/>
    <x v="36"/>
    <n v="353.33330000000001"/>
    <s v="2020_01.xlsx"/>
    <x v="4"/>
    <x v="0"/>
  </r>
  <r>
    <s v="MonthlyTradeStatistics 2020_01.xlsx"/>
    <x v="37"/>
    <n v="194660.46520000001"/>
    <s v="2020_01.xlsx"/>
    <x v="4"/>
    <x v="0"/>
  </r>
  <r>
    <s v="MonthlyTradeStatistics 2020_01.xlsx"/>
    <x v="38"/>
    <n v="95.758300000000006"/>
    <s v="2020_01.xlsx"/>
    <x v="4"/>
    <x v="0"/>
  </r>
  <r>
    <s v="MonthlyTradeStatistics 2020_01.xlsx"/>
    <x v="39"/>
    <n v="244653.6287"/>
    <s v="2020_01.xlsx"/>
    <x v="4"/>
    <x v="0"/>
  </r>
  <r>
    <s v="MonthlyTradeStatistics 2020_01.xlsx"/>
    <x v="40"/>
    <n v="0"/>
    <s v="2020_01.xlsx"/>
    <x v="4"/>
    <x v="0"/>
  </r>
  <r>
    <s v="MonthlyTradeStatistics 2020_01.xlsx"/>
    <x v="41"/>
    <n v="804.49950000000001"/>
    <s v="2020_01.xlsx"/>
    <x v="4"/>
    <x v="0"/>
  </r>
  <r>
    <s v="MonthlyTradeStatistics 2020_01.xlsx"/>
    <x v="42"/>
    <n v="33029.33"/>
    <s v="2020_01.xlsx"/>
    <x v="4"/>
    <x v="0"/>
  </r>
  <r>
    <s v="MonthlyTradeStatistics 2020_01.xlsx"/>
    <x v="43"/>
    <n v="0"/>
    <s v="2020_01.xlsx"/>
    <x v="4"/>
    <x v="0"/>
  </r>
  <r>
    <s v="MonthlyTradeStatistics 2020_01.xlsx"/>
    <x v="44"/>
    <n v="119488.9434"/>
    <s v="2020_01.xlsx"/>
    <x v="4"/>
    <x v="0"/>
  </r>
  <r>
    <s v="MonthlyTradeStatistics 2020_01.xlsx"/>
    <x v="45"/>
    <n v="119.91200000000001"/>
    <s v="2020_01.xlsx"/>
    <x v="4"/>
    <x v="0"/>
  </r>
  <r>
    <s v="MonthlyTradeStatistics 2020_01.xlsx"/>
    <x v="46"/>
    <n v="19007.102800000001"/>
    <s v="2020_01.xlsx"/>
    <x v="4"/>
    <x v="0"/>
  </r>
  <r>
    <s v="MonthlyTradeStatistics 2020_01.xlsx"/>
    <x v="47"/>
    <n v="1200"/>
    <s v="2020_01.xlsx"/>
    <x v="4"/>
    <x v="0"/>
  </r>
  <r>
    <s v="MonthlyTradeStatistics 2020_01.xlsx"/>
    <x v="48"/>
    <n v="130.8083"/>
    <s v="2020_01.xlsx"/>
    <x v="4"/>
    <x v="0"/>
  </r>
  <r>
    <s v="MonthlyTradeStatistics 2020_01.xlsx"/>
    <x v="49"/>
    <n v="98137.52"/>
    <s v="2020_01.xlsx"/>
    <x v="4"/>
    <x v="0"/>
  </r>
  <r>
    <s v="MonthlyTradeStatistics 2020_01.xlsx"/>
    <x v="50"/>
    <n v="9777.49"/>
    <s v="2020_01.xlsx"/>
    <x v="4"/>
    <x v="0"/>
  </r>
  <r>
    <s v="MonthlyTradeStatistics 2020_01.xlsx"/>
    <x v="51"/>
    <n v="1684.2833000000001"/>
    <s v="2020_01.xlsx"/>
    <x v="4"/>
    <x v="0"/>
  </r>
  <r>
    <s v="MonthlyTradeStatistics 2020_01.xlsx"/>
    <x v="52"/>
    <n v="2240"/>
    <s v="2020_01.xlsx"/>
    <x v="4"/>
    <x v="0"/>
  </r>
  <r>
    <s v="MonthlyTradeStatistics 2020_01.xlsx"/>
    <x v="53"/>
    <n v="101.3501"/>
    <s v="2020_01.xlsx"/>
    <x v="4"/>
    <x v="0"/>
  </r>
  <r>
    <s v="MonthlyTradeStatistics 2020_01.xlsx"/>
    <x v="54"/>
    <n v="469951"/>
    <s v="2020_01.xlsx"/>
    <x v="4"/>
    <x v="0"/>
  </r>
  <r>
    <s v="MonthlyTradeStatistics 2020_01.xlsx"/>
    <x v="55"/>
    <n v="2900"/>
    <s v="2020_01.xlsx"/>
    <x v="4"/>
    <x v="0"/>
  </r>
  <r>
    <s v="MonthlyTradeStatistics 2020_01.xlsx"/>
    <x v="56"/>
    <n v="2399999.9803999998"/>
    <s v="2020_01.xlsx"/>
    <x v="4"/>
    <x v="0"/>
  </r>
  <r>
    <s v="MonthlyTradeStatistics 2020_01.xlsx"/>
    <x v="57"/>
    <n v="4049.9994999999999"/>
    <s v="2020_01.xlsx"/>
    <x v="4"/>
    <x v="0"/>
  </r>
  <r>
    <s v="MonthlyTradeStatistics 2020_01.xlsx"/>
    <x v="58"/>
    <n v="5538.2"/>
    <s v="2020_01.xlsx"/>
    <x v="4"/>
    <x v="0"/>
  </r>
  <r>
    <s v="MonthlyTradeStatistics 2020_01.xlsx"/>
    <x v="59"/>
    <n v="613"/>
    <s v="2020_01.xlsx"/>
    <x v="4"/>
    <x v="0"/>
  </r>
  <r>
    <s v="MonthlyTradeStatistics 2020_02.xlsx"/>
    <x v="0"/>
    <n v="11225107.487400001"/>
    <s v="2020_02.xlsx"/>
    <x v="4"/>
    <x v="1"/>
  </r>
  <r>
    <s v="MonthlyTradeStatistics 2020_02.xlsx"/>
    <x v="1"/>
    <n v="1215741.2201"/>
    <s v="2020_02.xlsx"/>
    <x v="4"/>
    <x v="1"/>
  </r>
  <r>
    <s v="MonthlyTradeStatistics 2020_02.xlsx"/>
    <x v="2"/>
    <n v="2271405.8421999998"/>
    <s v="2020_02.xlsx"/>
    <x v="4"/>
    <x v="1"/>
  </r>
  <r>
    <s v="MonthlyTradeStatistics 2020_02.xlsx"/>
    <x v="3"/>
    <n v="3115254.2648"/>
    <s v="2020_02.xlsx"/>
    <x v="4"/>
    <x v="1"/>
  </r>
  <r>
    <s v="MonthlyTradeStatistics 2020_02.xlsx"/>
    <x v="4"/>
    <n v="4622706.1602999996"/>
    <s v="2020_02.xlsx"/>
    <x v="4"/>
    <x v="1"/>
  </r>
  <r>
    <s v="MonthlyTradeStatistics 2020_02.xlsx"/>
    <x v="5"/>
    <n v="4.4633000000000003"/>
    <s v="2020_02.xlsx"/>
    <x v="4"/>
    <x v="1"/>
  </r>
  <r>
    <s v="MonthlyTradeStatistics 2020_02.xlsx"/>
    <x v="6"/>
    <n v="1668.3"/>
    <s v="2020_02.xlsx"/>
    <x v="4"/>
    <x v="1"/>
  </r>
  <r>
    <s v="MonthlyTradeStatistics 2020_02.xlsx"/>
    <x v="7"/>
    <n v="3007658.7954000002"/>
    <s v="2020_02.xlsx"/>
    <x v="4"/>
    <x v="1"/>
  </r>
  <r>
    <s v="MonthlyTradeStatistics 2020_02.xlsx"/>
    <x v="8"/>
    <n v="8297.9166999999998"/>
    <s v="2020_02.xlsx"/>
    <x v="4"/>
    <x v="1"/>
  </r>
  <r>
    <s v="MonthlyTradeStatistics 2020_02.xlsx"/>
    <x v="9"/>
    <n v="2491"/>
    <s v="2020_02.xlsx"/>
    <x v="4"/>
    <x v="1"/>
  </r>
  <r>
    <s v="MonthlyTradeStatistics 2020_02.xlsx"/>
    <x v="10"/>
    <n v="2000"/>
    <s v="2020_02.xlsx"/>
    <x v="4"/>
    <x v="1"/>
  </r>
  <r>
    <s v="MonthlyTradeStatistics 2020_02.xlsx"/>
    <x v="11"/>
    <n v="1078613.2128999999"/>
    <s v="2020_02.xlsx"/>
    <x v="4"/>
    <x v="1"/>
  </r>
  <r>
    <s v="MonthlyTradeStatistics 2020_02.xlsx"/>
    <x v="12"/>
    <n v="0"/>
    <s v="2020_02.xlsx"/>
    <x v="4"/>
    <x v="1"/>
  </r>
  <r>
    <s v="MonthlyTradeStatistics 2020_02.xlsx"/>
    <x v="13"/>
    <n v="84909.521999999997"/>
    <s v="2020_02.xlsx"/>
    <x v="4"/>
    <x v="1"/>
  </r>
  <r>
    <s v="MonthlyTradeStatistics 2020_02.xlsx"/>
    <x v="14"/>
    <n v="118351.7335"/>
    <s v="2020_02.xlsx"/>
    <x v="4"/>
    <x v="1"/>
  </r>
  <r>
    <s v="MonthlyTradeStatistics 2020_02.xlsx"/>
    <x v="15"/>
    <n v="1927.1832999999999"/>
    <s v="2020_02.xlsx"/>
    <x v="4"/>
    <x v="1"/>
  </r>
  <r>
    <s v="MonthlyTradeStatistics 2020_02.xlsx"/>
    <x v="16"/>
    <n v="15000"/>
    <s v="2020_02.xlsx"/>
    <x v="4"/>
    <x v="1"/>
  </r>
  <r>
    <s v="MonthlyTradeStatistics 2020_02.xlsx"/>
    <x v="17"/>
    <n v="2188.4546999999998"/>
    <s v="2020_02.xlsx"/>
    <x v="4"/>
    <x v="1"/>
  </r>
  <r>
    <s v="MonthlyTradeStatistics 2020_02.xlsx"/>
    <x v="18"/>
    <n v="19037.436600000001"/>
    <s v="2020_02.xlsx"/>
    <x v="4"/>
    <x v="1"/>
  </r>
  <r>
    <s v="MonthlyTradeStatistics 2020_02.xlsx"/>
    <x v="19"/>
    <n v="58412.023699999998"/>
    <s v="2020_02.xlsx"/>
    <x v="4"/>
    <x v="1"/>
  </r>
  <r>
    <s v="MonthlyTradeStatistics 2020_02.xlsx"/>
    <x v="20"/>
    <n v="0"/>
    <s v="2020_02.xlsx"/>
    <x v="4"/>
    <x v="1"/>
  </r>
  <r>
    <s v="MonthlyTradeStatistics 2020_02.xlsx"/>
    <x v="21"/>
    <n v="237994.81770000001"/>
    <s v="2020_02.xlsx"/>
    <x v="4"/>
    <x v="1"/>
  </r>
  <r>
    <s v="MonthlyTradeStatistics 2020_02.xlsx"/>
    <x v="22"/>
    <n v="0"/>
    <s v="2020_02.xlsx"/>
    <x v="4"/>
    <x v="1"/>
  </r>
  <r>
    <s v="MonthlyTradeStatistics 2020_02.xlsx"/>
    <x v="23"/>
    <n v="180.3793"/>
    <s v="2020_02.xlsx"/>
    <x v="4"/>
    <x v="1"/>
  </r>
  <r>
    <s v="MonthlyTradeStatistics 2020_02.xlsx"/>
    <x v="24"/>
    <n v="342466.11229999998"/>
    <s v="2020_02.xlsx"/>
    <x v="4"/>
    <x v="1"/>
  </r>
  <r>
    <s v="MonthlyTradeStatistics 2020_02.xlsx"/>
    <x v="25"/>
    <n v="15811.0075"/>
    <s v="2020_02.xlsx"/>
    <x v="4"/>
    <x v="1"/>
  </r>
  <r>
    <s v="MonthlyTradeStatistics 2020_02.xlsx"/>
    <x v="26"/>
    <n v="19.5"/>
    <s v="2020_02.xlsx"/>
    <x v="4"/>
    <x v="1"/>
  </r>
  <r>
    <s v="MonthlyTradeStatistics 2020_02.xlsx"/>
    <x v="27"/>
    <n v="50"/>
    <s v="2020_02.xlsx"/>
    <x v="4"/>
    <x v="1"/>
  </r>
  <r>
    <s v="MonthlyTradeStatistics 2020_02.xlsx"/>
    <x v="28"/>
    <n v="759009.29"/>
    <s v="2020_02.xlsx"/>
    <x v="4"/>
    <x v="1"/>
  </r>
  <r>
    <s v="MonthlyTradeStatistics 2020_02.xlsx"/>
    <x v="29"/>
    <n v="545194.41749999998"/>
    <s v="2020_02.xlsx"/>
    <x v="4"/>
    <x v="1"/>
  </r>
  <r>
    <s v="MonthlyTradeStatistics 2020_02.xlsx"/>
    <x v="30"/>
    <n v="601967.50439999998"/>
    <s v="2020_02.xlsx"/>
    <x v="4"/>
    <x v="1"/>
  </r>
  <r>
    <s v="MonthlyTradeStatistics 2020_02.xlsx"/>
    <x v="31"/>
    <n v="1640.4123"/>
    <s v="2020_02.xlsx"/>
    <x v="4"/>
    <x v="1"/>
  </r>
  <r>
    <s v="MonthlyTradeStatistics 2020_02.xlsx"/>
    <x v="32"/>
    <n v="61667.297200000001"/>
    <s v="2020_02.xlsx"/>
    <x v="4"/>
    <x v="1"/>
  </r>
  <r>
    <s v="MonthlyTradeStatistics 2020_02.xlsx"/>
    <x v="33"/>
    <n v="102600.001"/>
    <s v="2020_02.xlsx"/>
    <x v="4"/>
    <x v="1"/>
  </r>
  <r>
    <s v="MonthlyTradeStatistics 2020_02.xlsx"/>
    <x v="34"/>
    <n v="150"/>
    <s v="2020_02.xlsx"/>
    <x v="4"/>
    <x v="1"/>
  </r>
  <r>
    <s v="MonthlyTradeStatistics 2020_02.xlsx"/>
    <x v="35"/>
    <n v="1920.0397"/>
    <s v="2020_02.xlsx"/>
    <x v="4"/>
    <x v="1"/>
  </r>
  <r>
    <s v="MonthlyTradeStatistics 2020_02.xlsx"/>
    <x v="36"/>
    <n v="1054.7783999999999"/>
    <s v="2020_02.xlsx"/>
    <x v="4"/>
    <x v="1"/>
  </r>
  <r>
    <s v="MonthlyTradeStatistics 2020_02.xlsx"/>
    <x v="37"/>
    <n v="185541.15100000001"/>
    <s v="2020_02.xlsx"/>
    <x v="4"/>
    <x v="1"/>
  </r>
  <r>
    <s v="MonthlyTradeStatistics 2020_02.xlsx"/>
    <x v="38"/>
    <n v="3.6833"/>
    <s v="2020_02.xlsx"/>
    <x v="4"/>
    <x v="1"/>
  </r>
  <r>
    <s v="MonthlyTradeStatistics 2020_02.xlsx"/>
    <x v="39"/>
    <n v="313603.13179999997"/>
    <s v="2020_02.xlsx"/>
    <x v="4"/>
    <x v="1"/>
  </r>
  <r>
    <s v="MonthlyTradeStatistics 2020_02.xlsx"/>
    <x v="40"/>
    <n v="396.9"/>
    <s v="2020_02.xlsx"/>
    <x v="4"/>
    <x v="1"/>
  </r>
  <r>
    <s v="MonthlyTradeStatistics 2020_02.xlsx"/>
    <x v="41"/>
    <n v="1791.9616000000001"/>
    <s v="2020_02.xlsx"/>
    <x v="4"/>
    <x v="1"/>
  </r>
  <r>
    <s v="MonthlyTradeStatistics 2020_02.xlsx"/>
    <x v="42"/>
    <n v="39314.67"/>
    <s v="2020_02.xlsx"/>
    <x v="4"/>
    <x v="1"/>
  </r>
  <r>
    <s v="MonthlyTradeStatistics 2020_02.xlsx"/>
    <x v="43"/>
    <n v="0"/>
    <s v="2020_02.xlsx"/>
    <x v="4"/>
    <x v="1"/>
  </r>
  <r>
    <s v="MonthlyTradeStatistics 2020_02.xlsx"/>
    <x v="44"/>
    <n v="87718.695999999996"/>
    <s v="2020_02.xlsx"/>
    <x v="4"/>
    <x v="1"/>
  </r>
  <r>
    <s v="MonthlyTradeStatistics 2020_02.xlsx"/>
    <x v="45"/>
    <n v="1115.53"/>
    <s v="2020_02.xlsx"/>
    <x v="4"/>
    <x v="1"/>
  </r>
  <r>
    <s v="MonthlyTradeStatistics 2020_02.xlsx"/>
    <x v="46"/>
    <n v="17476.013999999999"/>
    <s v="2020_02.xlsx"/>
    <x v="4"/>
    <x v="1"/>
  </r>
  <r>
    <s v="MonthlyTradeStatistics 2020_02.xlsx"/>
    <x v="47"/>
    <n v="1500"/>
    <s v="2020_02.xlsx"/>
    <x v="4"/>
    <x v="1"/>
  </r>
  <r>
    <s v="MonthlyTradeStatistics 2020_02.xlsx"/>
    <x v="48"/>
    <n v="130.8083"/>
    <s v="2020_02.xlsx"/>
    <x v="4"/>
    <x v="1"/>
  </r>
  <r>
    <s v="MonthlyTradeStatistics 2020_02.xlsx"/>
    <x v="49"/>
    <n v="90245.21"/>
    <s v="2020_02.xlsx"/>
    <x v="4"/>
    <x v="1"/>
  </r>
  <r>
    <s v="MonthlyTradeStatistics 2020_02.xlsx"/>
    <x v="50"/>
    <n v="25080.6819"/>
    <s v="2020_02.xlsx"/>
    <x v="4"/>
    <x v="1"/>
  </r>
  <r>
    <s v="MonthlyTradeStatistics 2020_02.xlsx"/>
    <x v="51"/>
    <n v="1143"/>
    <s v="2020_02.xlsx"/>
    <x v="4"/>
    <x v="1"/>
  </r>
  <r>
    <s v="MonthlyTradeStatistics 2020_02.xlsx"/>
    <x v="52"/>
    <n v="4587"/>
    <s v="2020_02.xlsx"/>
    <x v="4"/>
    <x v="1"/>
  </r>
  <r>
    <s v="MonthlyTradeStatistics 2020_02.xlsx"/>
    <x v="53"/>
    <n v="212.99760000000001"/>
    <s v="2020_02.xlsx"/>
    <x v="4"/>
    <x v="1"/>
  </r>
  <r>
    <s v="MonthlyTradeStatistics 2020_02.xlsx"/>
    <x v="54"/>
    <n v="472994"/>
    <s v="2020_02.xlsx"/>
    <x v="4"/>
    <x v="1"/>
  </r>
  <r>
    <s v="MonthlyTradeStatistics 2020_02.xlsx"/>
    <x v="55"/>
    <n v="4000"/>
    <s v="2020_02.xlsx"/>
    <x v="4"/>
    <x v="1"/>
  </r>
  <r>
    <s v="MonthlyTradeStatistics 2020_02.xlsx"/>
    <x v="56"/>
    <n v="2900000.0156999999"/>
    <s v="2020_02.xlsx"/>
    <x v="4"/>
    <x v="1"/>
  </r>
  <r>
    <s v="MonthlyTradeStatistics 2020_02.xlsx"/>
    <x v="57"/>
    <n v="3840.0034999999998"/>
    <s v="2020_02.xlsx"/>
    <x v="4"/>
    <x v="1"/>
  </r>
  <r>
    <s v="MonthlyTradeStatistics 2020_02.xlsx"/>
    <x v="58"/>
    <n v="1745.6333"/>
    <s v="2020_02.xlsx"/>
    <x v="4"/>
    <x v="1"/>
  </r>
  <r>
    <s v="MonthlyTradeStatistics 2020_02.xlsx"/>
    <x v="59"/>
    <n v="380.8"/>
    <s v="2020_02.xlsx"/>
    <x v="4"/>
    <x v="1"/>
  </r>
  <r>
    <s v="MonthlyTradeStatistics 2020_03.xlsx"/>
    <x v="0"/>
    <n v="11740202.4191"/>
    <s v="2020_03.xlsx"/>
    <x v="4"/>
    <x v="2"/>
  </r>
  <r>
    <s v="MonthlyTradeStatistics 2020_03.xlsx"/>
    <x v="1"/>
    <n v="1066305.4992"/>
    <s v="2020_03.xlsx"/>
    <x v="4"/>
    <x v="2"/>
  </r>
  <r>
    <s v="MonthlyTradeStatistics 2020_03.xlsx"/>
    <x v="2"/>
    <n v="2476998.6797000002"/>
    <s v="2020_03.xlsx"/>
    <x v="4"/>
    <x v="2"/>
  </r>
  <r>
    <s v="MonthlyTradeStatistics 2020_03.xlsx"/>
    <x v="3"/>
    <n v="3542537.8602999998"/>
    <s v="2020_03.xlsx"/>
    <x v="4"/>
    <x v="2"/>
  </r>
  <r>
    <s v="MonthlyTradeStatistics 2020_03.xlsx"/>
    <x v="4"/>
    <n v="4654360.3799000001"/>
    <s v="2020_03.xlsx"/>
    <x v="4"/>
    <x v="2"/>
  </r>
  <r>
    <s v="MonthlyTradeStatistics 2020_03.xlsx"/>
    <x v="5"/>
    <n v="3146.6667000000002"/>
    <s v="2020_03.xlsx"/>
    <x v="4"/>
    <x v="2"/>
  </r>
  <r>
    <s v="MonthlyTradeStatistics 2020_03.xlsx"/>
    <x v="6"/>
    <n v="1673.8167000000001"/>
    <s v="2020_03.xlsx"/>
    <x v="4"/>
    <x v="2"/>
  </r>
  <r>
    <s v="MonthlyTradeStatistics 2020_03.xlsx"/>
    <x v="7"/>
    <n v="3493433.0885999999"/>
    <s v="2020_03.xlsx"/>
    <x v="4"/>
    <x v="2"/>
  </r>
  <r>
    <s v="MonthlyTradeStatistics 2020_03.xlsx"/>
    <x v="8"/>
    <n v="6945.2166999999999"/>
    <s v="2020_03.xlsx"/>
    <x v="4"/>
    <x v="2"/>
  </r>
  <r>
    <s v="MonthlyTradeStatistics 2020_03.xlsx"/>
    <x v="9"/>
    <n v="7168.3333000000002"/>
    <s v="2020_03.xlsx"/>
    <x v="4"/>
    <x v="2"/>
  </r>
  <r>
    <s v="MonthlyTradeStatistics 2020_03.xlsx"/>
    <x v="10"/>
    <n v="8000"/>
    <s v="2020_03.xlsx"/>
    <x v="4"/>
    <x v="2"/>
  </r>
  <r>
    <s v="MonthlyTradeStatistics 2020_03.xlsx"/>
    <x v="11"/>
    <n v="948208.82440000004"/>
    <s v="2020_03.xlsx"/>
    <x v="4"/>
    <x v="2"/>
  </r>
  <r>
    <s v="MonthlyTradeStatistics 2020_03.xlsx"/>
    <x v="12"/>
    <n v="0"/>
    <s v="2020_03.xlsx"/>
    <x v="4"/>
    <x v="2"/>
  </r>
  <r>
    <s v="MonthlyTradeStatistics 2020_03.xlsx"/>
    <x v="13"/>
    <n v="138070.82999999999"/>
    <s v="2020_03.xlsx"/>
    <x v="4"/>
    <x v="2"/>
  </r>
  <r>
    <s v="MonthlyTradeStatistics 2020_03.xlsx"/>
    <x v="14"/>
    <n v="216334.6838"/>
    <s v="2020_03.xlsx"/>
    <x v="4"/>
    <x v="2"/>
  </r>
  <r>
    <s v="MonthlyTradeStatistics 2020_03.xlsx"/>
    <x v="15"/>
    <n v="1927.1832999999999"/>
    <s v="2020_03.xlsx"/>
    <x v="4"/>
    <x v="2"/>
  </r>
  <r>
    <s v="MonthlyTradeStatistics 2020_03.xlsx"/>
    <x v="16"/>
    <n v="10000"/>
    <s v="2020_03.xlsx"/>
    <x v="4"/>
    <x v="2"/>
  </r>
  <r>
    <s v="MonthlyTradeStatistics 2020_03.xlsx"/>
    <x v="17"/>
    <n v="782.07150000000001"/>
    <s v="2020_03.xlsx"/>
    <x v="4"/>
    <x v="2"/>
  </r>
  <r>
    <s v="MonthlyTradeStatistics 2020_03.xlsx"/>
    <x v="18"/>
    <n v="23330.23"/>
    <s v="2020_03.xlsx"/>
    <x v="4"/>
    <x v="2"/>
  </r>
  <r>
    <s v="MonthlyTradeStatistics 2020_03.xlsx"/>
    <x v="19"/>
    <n v="79038.157500000001"/>
    <s v="2020_03.xlsx"/>
    <x v="4"/>
    <x v="2"/>
  </r>
  <r>
    <s v="MonthlyTradeStatistics 2020_03.xlsx"/>
    <x v="20"/>
    <n v="0"/>
    <s v="2020_03.xlsx"/>
    <x v="4"/>
    <x v="2"/>
  </r>
  <r>
    <s v="MonthlyTradeStatistics 2020_03.xlsx"/>
    <x v="21"/>
    <n v="256428.7"/>
    <s v="2020_03.xlsx"/>
    <x v="4"/>
    <x v="2"/>
  </r>
  <r>
    <s v="MonthlyTradeStatistics 2020_03.xlsx"/>
    <x v="22"/>
    <n v="0"/>
    <s v="2020_03.xlsx"/>
    <x v="4"/>
    <x v="2"/>
  </r>
  <r>
    <s v="MonthlyTradeStatistics 2020_03.xlsx"/>
    <x v="23"/>
    <n v="225.16"/>
    <s v="2020_03.xlsx"/>
    <x v="4"/>
    <x v="2"/>
  </r>
  <r>
    <s v="MonthlyTradeStatistics 2020_03.xlsx"/>
    <x v="24"/>
    <n v="364238.47989999998"/>
    <s v="2020_03.xlsx"/>
    <x v="4"/>
    <x v="2"/>
  </r>
  <r>
    <s v="MonthlyTradeStatistics 2020_03.xlsx"/>
    <x v="25"/>
    <n v="8589.2212"/>
    <s v="2020_03.xlsx"/>
    <x v="4"/>
    <x v="2"/>
  </r>
  <r>
    <s v="MonthlyTradeStatistics 2020_03.xlsx"/>
    <x v="26"/>
    <n v="13.65"/>
    <s v="2020_03.xlsx"/>
    <x v="4"/>
    <x v="2"/>
  </r>
  <r>
    <s v="MonthlyTradeStatistics 2020_03.xlsx"/>
    <x v="27"/>
    <n v="15"/>
    <s v="2020_03.xlsx"/>
    <x v="4"/>
    <x v="2"/>
  </r>
  <r>
    <s v="MonthlyTradeStatistics 2020_03.xlsx"/>
    <x v="28"/>
    <n v="772376.97"/>
    <s v="2020_03.xlsx"/>
    <x v="4"/>
    <x v="2"/>
  </r>
  <r>
    <s v="MonthlyTradeStatistics 2020_03.xlsx"/>
    <x v="29"/>
    <n v="600514.15350000001"/>
    <s v="2020_03.xlsx"/>
    <x v="4"/>
    <x v="2"/>
  </r>
  <r>
    <s v="MonthlyTradeStatistics 2020_03.xlsx"/>
    <x v="30"/>
    <n v="531841.63139999995"/>
    <s v="2020_03.xlsx"/>
    <x v="4"/>
    <x v="2"/>
  </r>
  <r>
    <s v="MonthlyTradeStatistics 2020_03.xlsx"/>
    <x v="31"/>
    <n v="695.2627"/>
    <s v="2020_03.xlsx"/>
    <x v="4"/>
    <x v="2"/>
  </r>
  <r>
    <s v="MonthlyTradeStatistics 2020_03.xlsx"/>
    <x v="32"/>
    <n v="68002.414799999999"/>
    <s v="2020_03.xlsx"/>
    <x v="4"/>
    <x v="2"/>
  </r>
  <r>
    <s v="MonthlyTradeStatistics 2020_03.xlsx"/>
    <x v="33"/>
    <n v="90599.989300000001"/>
    <s v="2020_03.xlsx"/>
    <x v="4"/>
    <x v="2"/>
  </r>
  <r>
    <s v="MonthlyTradeStatistics 2020_03.xlsx"/>
    <x v="34"/>
    <n v="0"/>
    <s v="2020_03.xlsx"/>
    <x v="4"/>
    <x v="2"/>
  </r>
  <r>
    <s v="MonthlyTradeStatistics 2020_03.xlsx"/>
    <x v="35"/>
    <n v="1163.3333"/>
    <s v="2020_03.xlsx"/>
    <x v="4"/>
    <x v="2"/>
  </r>
  <r>
    <s v="MonthlyTradeStatistics 2020_03.xlsx"/>
    <x v="36"/>
    <n v="1015.3667"/>
    <s v="2020_03.xlsx"/>
    <x v="4"/>
    <x v="2"/>
  </r>
  <r>
    <s v="MonthlyTradeStatistics 2020_03.xlsx"/>
    <x v="37"/>
    <n v="315048.1054"/>
    <s v="2020_03.xlsx"/>
    <x v="4"/>
    <x v="2"/>
  </r>
  <r>
    <s v="MonthlyTradeStatistics 2020_03.xlsx"/>
    <x v="38"/>
    <n v="75.166700000000006"/>
    <s v="2020_03.xlsx"/>
    <x v="4"/>
    <x v="2"/>
  </r>
  <r>
    <s v="MonthlyTradeStatistics 2020_03.xlsx"/>
    <x v="39"/>
    <n v="325138.83189999999"/>
    <s v="2020_03.xlsx"/>
    <x v="4"/>
    <x v="2"/>
  </r>
  <r>
    <s v="MonthlyTradeStatistics 2020_03.xlsx"/>
    <x v="40"/>
    <n v="9117.0666999999994"/>
    <s v="2020_03.xlsx"/>
    <x v="4"/>
    <x v="2"/>
  </r>
  <r>
    <s v="MonthlyTradeStatistics 2020_03.xlsx"/>
    <x v="41"/>
    <n v="2919.3443000000002"/>
    <s v="2020_03.xlsx"/>
    <x v="4"/>
    <x v="2"/>
  </r>
  <r>
    <s v="MonthlyTradeStatistics 2020_03.xlsx"/>
    <x v="42"/>
    <n v="32526.57"/>
    <s v="2020_03.xlsx"/>
    <x v="4"/>
    <x v="2"/>
  </r>
  <r>
    <s v="MonthlyTradeStatistics 2020_03.xlsx"/>
    <x v="43"/>
    <n v="3.1238000000000001"/>
    <s v="2020_03.xlsx"/>
    <x v="4"/>
    <x v="2"/>
  </r>
  <r>
    <s v="MonthlyTradeStatistics 2020_03.xlsx"/>
    <x v="44"/>
    <n v="37163.318299999999"/>
    <s v="2020_03.xlsx"/>
    <x v="4"/>
    <x v="2"/>
  </r>
  <r>
    <s v="MonthlyTradeStatistics 2020_03.xlsx"/>
    <x v="45"/>
    <n v="98.28"/>
    <s v="2020_03.xlsx"/>
    <x v="4"/>
    <x v="2"/>
  </r>
  <r>
    <s v="MonthlyTradeStatistics 2020_03.xlsx"/>
    <x v="46"/>
    <n v="6988.2812999999996"/>
    <s v="2020_03.xlsx"/>
    <x v="4"/>
    <x v="2"/>
  </r>
  <r>
    <s v="MonthlyTradeStatistics 2020_03.xlsx"/>
    <x v="47"/>
    <n v="1000"/>
    <s v="2020_03.xlsx"/>
    <x v="4"/>
    <x v="2"/>
  </r>
  <r>
    <s v="MonthlyTradeStatistics 2020_03.xlsx"/>
    <x v="48"/>
    <n v="130.8083"/>
    <s v="2020_03.xlsx"/>
    <x v="4"/>
    <x v="2"/>
  </r>
  <r>
    <s v="MonthlyTradeStatistics 2020_03.xlsx"/>
    <x v="49"/>
    <n v="66892.7"/>
    <s v="2020_03.xlsx"/>
    <x v="4"/>
    <x v="2"/>
  </r>
  <r>
    <s v="MonthlyTradeStatistics 2020_03.xlsx"/>
    <x v="50"/>
    <n v="14007.9931"/>
    <s v="2020_03.xlsx"/>
    <x v="4"/>
    <x v="2"/>
  </r>
  <r>
    <s v="MonthlyTradeStatistics 2020_03.xlsx"/>
    <x v="51"/>
    <n v="1073.0166999999999"/>
    <s v="2020_03.xlsx"/>
    <x v="4"/>
    <x v="2"/>
  </r>
  <r>
    <s v="MonthlyTradeStatistics 2020_03.xlsx"/>
    <x v="52"/>
    <n v="5125"/>
    <s v="2020_03.xlsx"/>
    <x v="4"/>
    <x v="2"/>
  </r>
  <r>
    <s v="MonthlyTradeStatistics 2020_03.xlsx"/>
    <x v="53"/>
    <n v="203.9537"/>
    <s v="2020_03.xlsx"/>
    <x v="4"/>
    <x v="2"/>
  </r>
  <r>
    <s v="MonthlyTradeStatistics 2020_03.xlsx"/>
    <x v="54"/>
    <n v="477561"/>
    <s v="2020_03.xlsx"/>
    <x v="4"/>
    <x v="2"/>
  </r>
  <r>
    <s v="MonthlyTradeStatistics 2020_03.xlsx"/>
    <x v="55"/>
    <n v="3000"/>
    <s v="2020_03.xlsx"/>
    <x v="4"/>
    <x v="2"/>
  </r>
  <r>
    <s v="MonthlyTradeStatistics 2020_03.xlsx"/>
    <x v="56"/>
    <n v="2800000.0115"/>
    <s v="2020_03.xlsx"/>
    <x v="4"/>
    <x v="2"/>
  </r>
  <r>
    <s v="MonthlyTradeStatistics 2020_03.xlsx"/>
    <x v="57"/>
    <n v="5089.9953999999998"/>
    <s v="2020_03.xlsx"/>
    <x v="4"/>
    <x v="2"/>
  </r>
  <r>
    <s v="MonthlyTradeStatistics 2020_03.xlsx"/>
    <x v="58"/>
    <n v="3261.4"/>
    <s v="2020_03.xlsx"/>
    <x v="4"/>
    <x v="2"/>
  </r>
  <r>
    <s v="MonthlyTradeStatistics 2020_03.xlsx"/>
    <x v="59"/>
    <n v="1.67E-2"/>
    <s v="2020_03.xlsx"/>
    <x v="4"/>
    <x v="2"/>
  </r>
  <r>
    <s v="MonthlyTradeStatistics 2020_04.xlsx"/>
    <x v="0"/>
    <n v="11311323.827299999"/>
    <s v="2020_04.xlsx"/>
    <x v="4"/>
    <x v="3"/>
  </r>
  <r>
    <s v="MonthlyTradeStatistics 2020_04.xlsx"/>
    <x v="1"/>
    <n v="775793.39060000004"/>
    <s v="2020_04.xlsx"/>
    <x v="4"/>
    <x v="3"/>
  </r>
  <r>
    <s v="MonthlyTradeStatistics 2020_04.xlsx"/>
    <x v="2"/>
    <n v="2689140.0828999998"/>
    <s v="2020_04.xlsx"/>
    <x v="4"/>
    <x v="3"/>
  </r>
  <r>
    <s v="MonthlyTradeStatistics 2020_04.xlsx"/>
    <x v="3"/>
    <n v="3574681.2031999999"/>
    <s v="2020_04.xlsx"/>
    <x v="4"/>
    <x v="3"/>
  </r>
  <r>
    <s v="MonthlyTradeStatistics 2020_04.xlsx"/>
    <x v="4"/>
    <n v="4271709.1506000003"/>
    <s v="2020_04.xlsx"/>
    <x v="4"/>
    <x v="3"/>
  </r>
  <r>
    <s v="MonthlyTradeStatistics 2020_04.xlsx"/>
    <x v="5"/>
    <n v="2747.2017000000001"/>
    <s v="2020_04.xlsx"/>
    <x v="4"/>
    <x v="3"/>
  </r>
  <r>
    <s v="MonthlyTradeStatistics 2020_04.xlsx"/>
    <x v="6"/>
    <n v="6.85"/>
    <s v="2020_04.xlsx"/>
    <x v="4"/>
    <x v="3"/>
  </r>
  <r>
    <s v="MonthlyTradeStatistics 2020_04.xlsx"/>
    <x v="7"/>
    <n v="3599225.8709999998"/>
    <s v="2020_04.xlsx"/>
    <x v="4"/>
    <x v="3"/>
  </r>
  <r>
    <s v="MonthlyTradeStatistics 2020_04.xlsx"/>
    <x v="8"/>
    <n v="6078.3666999999996"/>
    <s v="2020_04.xlsx"/>
    <x v="4"/>
    <x v="3"/>
  </r>
  <r>
    <s v="MonthlyTradeStatistics 2020_04.xlsx"/>
    <x v="9"/>
    <n v="34123"/>
    <s v="2020_04.xlsx"/>
    <x v="4"/>
    <x v="3"/>
  </r>
  <r>
    <s v="MonthlyTradeStatistics 2020_04.xlsx"/>
    <x v="10"/>
    <n v="10000"/>
    <s v="2020_04.xlsx"/>
    <x v="4"/>
    <x v="3"/>
  </r>
  <r>
    <s v="MonthlyTradeStatistics 2020_04.xlsx"/>
    <x v="11"/>
    <n v="642425.4754"/>
    <s v="2020_04.xlsx"/>
    <x v="4"/>
    <x v="3"/>
  </r>
  <r>
    <s v="MonthlyTradeStatistics 2020_04.xlsx"/>
    <x v="12"/>
    <n v="0"/>
    <s v="2020_04.xlsx"/>
    <x v="4"/>
    <x v="3"/>
  </r>
  <r>
    <s v="MonthlyTradeStatistics 2020_04.xlsx"/>
    <x v="13"/>
    <n v="130319.92600000001"/>
    <s v="2020_04.xlsx"/>
    <x v="4"/>
    <x v="3"/>
  </r>
  <r>
    <s v="MonthlyTradeStatistics 2020_04.xlsx"/>
    <x v="14"/>
    <n v="83108.782099999997"/>
    <s v="2020_04.xlsx"/>
    <x v="4"/>
    <x v="3"/>
  </r>
  <r>
    <s v="MonthlyTradeStatistics 2020_04.xlsx"/>
    <x v="15"/>
    <n v="1927.1832999999999"/>
    <s v="2020_04.xlsx"/>
    <x v="4"/>
    <x v="3"/>
  </r>
  <r>
    <s v="MonthlyTradeStatistics 2020_04.xlsx"/>
    <x v="16"/>
    <n v="10000"/>
    <s v="2020_04.xlsx"/>
    <x v="4"/>
    <x v="3"/>
  </r>
  <r>
    <s v="MonthlyTradeStatistics 2020_04.xlsx"/>
    <x v="17"/>
    <n v="2260.1255999999998"/>
    <s v="2020_04.xlsx"/>
    <x v="4"/>
    <x v="3"/>
  </r>
  <r>
    <s v="MonthlyTradeStatistics 2020_04.xlsx"/>
    <x v="18"/>
    <n v="53498.7166"/>
    <s v="2020_04.xlsx"/>
    <x v="4"/>
    <x v="3"/>
  </r>
  <r>
    <s v="MonthlyTradeStatistics 2020_04.xlsx"/>
    <x v="19"/>
    <n v="69864.661999999997"/>
    <s v="2020_04.xlsx"/>
    <x v="4"/>
    <x v="3"/>
  </r>
  <r>
    <s v="MonthlyTradeStatistics 2020_04.xlsx"/>
    <x v="20"/>
    <n v="0"/>
    <s v="2020_04.xlsx"/>
    <x v="4"/>
    <x v="3"/>
  </r>
  <r>
    <s v="MonthlyTradeStatistics 2020_04.xlsx"/>
    <x v="21"/>
    <n v="374009.7916"/>
    <s v="2020_04.xlsx"/>
    <x v="4"/>
    <x v="3"/>
  </r>
  <r>
    <s v="MonthlyTradeStatistics 2020_04.xlsx"/>
    <x v="22"/>
    <n v="0"/>
    <s v="2020_04.xlsx"/>
    <x v="4"/>
    <x v="3"/>
  </r>
  <r>
    <s v="MonthlyTradeStatistics 2020_04.xlsx"/>
    <x v="23"/>
    <n v="304.596"/>
    <s v="2020_04.xlsx"/>
    <x v="4"/>
    <x v="3"/>
  </r>
  <r>
    <s v="MonthlyTradeStatistics 2020_04.xlsx"/>
    <x v="24"/>
    <n v="504987.05530000001"/>
    <s v="2020_04.xlsx"/>
    <x v="4"/>
    <x v="3"/>
  </r>
  <r>
    <s v="MonthlyTradeStatistics 2020_04.xlsx"/>
    <x v="25"/>
    <n v="0"/>
    <s v="2020_04.xlsx"/>
    <x v="4"/>
    <x v="3"/>
  </r>
  <r>
    <s v="MonthlyTradeStatistics 2020_04.xlsx"/>
    <x v="26"/>
    <n v="0"/>
    <s v="2020_04.xlsx"/>
    <x v="4"/>
    <x v="3"/>
  </r>
  <r>
    <s v="MonthlyTradeStatistics 2020_04.xlsx"/>
    <x v="27"/>
    <n v="15"/>
    <s v="2020_04.xlsx"/>
    <x v="4"/>
    <x v="3"/>
  </r>
  <r>
    <s v="MonthlyTradeStatistics 2020_04.xlsx"/>
    <x v="28"/>
    <n v="656746.06000000006"/>
    <s v="2020_04.xlsx"/>
    <x v="4"/>
    <x v="3"/>
  </r>
  <r>
    <s v="MonthlyTradeStatistics 2020_04.xlsx"/>
    <x v="29"/>
    <n v="350948.43"/>
    <s v="2020_04.xlsx"/>
    <x v="4"/>
    <x v="3"/>
  </r>
  <r>
    <s v="MonthlyTradeStatistics 2020_04.xlsx"/>
    <x v="30"/>
    <n v="509229.20500000002"/>
    <s v="2020_04.xlsx"/>
    <x v="4"/>
    <x v="3"/>
  </r>
  <r>
    <s v="MonthlyTradeStatistics 2020_04.xlsx"/>
    <x v="31"/>
    <n v="1478.3494000000001"/>
    <s v="2020_04.xlsx"/>
    <x v="4"/>
    <x v="3"/>
  </r>
  <r>
    <s v="MonthlyTradeStatistics 2020_04.xlsx"/>
    <x v="32"/>
    <n v="81081.090200000006"/>
    <s v="2020_04.xlsx"/>
    <x v="4"/>
    <x v="3"/>
  </r>
  <r>
    <s v="MonthlyTradeStatistics 2020_04.xlsx"/>
    <x v="33"/>
    <n v="62100.0003"/>
    <s v="2020_04.xlsx"/>
    <x v="4"/>
    <x v="3"/>
  </r>
  <r>
    <s v="MonthlyTradeStatistics 2020_04.xlsx"/>
    <x v="34"/>
    <n v="0"/>
    <s v="2020_04.xlsx"/>
    <x v="4"/>
    <x v="3"/>
  </r>
  <r>
    <s v="MonthlyTradeStatistics 2020_04.xlsx"/>
    <x v="35"/>
    <n v="0"/>
    <s v="2020_04.xlsx"/>
    <x v="4"/>
    <x v="3"/>
  </r>
  <r>
    <s v="MonthlyTradeStatistics 2020_04.xlsx"/>
    <x v="36"/>
    <n v="0"/>
    <s v="2020_04.xlsx"/>
    <x v="4"/>
    <x v="3"/>
  </r>
  <r>
    <s v="MonthlyTradeStatistics 2020_04.xlsx"/>
    <x v="37"/>
    <n v="382287.04300000001"/>
    <s v="2020_04.xlsx"/>
    <x v="4"/>
    <x v="3"/>
  </r>
  <r>
    <s v="MonthlyTradeStatistics 2020_04.xlsx"/>
    <x v="38"/>
    <n v="33.645000000000003"/>
    <s v="2020_04.xlsx"/>
    <x v="4"/>
    <x v="3"/>
  </r>
  <r>
    <s v="MonthlyTradeStatistics 2020_04.xlsx"/>
    <x v="39"/>
    <n v="430239.57030000002"/>
    <s v="2020_04.xlsx"/>
    <x v="4"/>
    <x v="3"/>
  </r>
  <r>
    <s v="MonthlyTradeStatistics 2020_04.xlsx"/>
    <x v="40"/>
    <n v="1688.1667"/>
    <s v="2020_04.xlsx"/>
    <x v="4"/>
    <x v="3"/>
  </r>
  <r>
    <s v="MonthlyTradeStatistics 2020_04.xlsx"/>
    <x v="41"/>
    <n v="7469.2067999999999"/>
    <s v="2020_04.xlsx"/>
    <x v="4"/>
    <x v="3"/>
  </r>
  <r>
    <s v="MonthlyTradeStatistics 2020_04.xlsx"/>
    <x v="42"/>
    <n v="21425"/>
    <s v="2020_04.xlsx"/>
    <x v="4"/>
    <x v="3"/>
  </r>
  <r>
    <s v="MonthlyTradeStatistics 2020_04.xlsx"/>
    <x v="43"/>
    <n v="0"/>
    <s v="2020_04.xlsx"/>
    <x v="4"/>
    <x v="3"/>
  </r>
  <r>
    <s v="MonthlyTradeStatistics 2020_04.xlsx"/>
    <x v="44"/>
    <n v="57735.0533"/>
    <s v="2020_04.xlsx"/>
    <x v="4"/>
    <x v="3"/>
  </r>
  <r>
    <s v="MonthlyTradeStatistics 2020_04.xlsx"/>
    <x v="45"/>
    <n v="0"/>
    <s v="2020_04.xlsx"/>
    <x v="4"/>
    <x v="3"/>
  </r>
  <r>
    <s v="MonthlyTradeStatistics 2020_04.xlsx"/>
    <x v="46"/>
    <n v="7031.7330000000002"/>
    <s v="2020_04.xlsx"/>
    <x v="4"/>
    <x v="3"/>
  </r>
  <r>
    <s v="MonthlyTradeStatistics 2020_04.xlsx"/>
    <x v="47"/>
    <n v="2500"/>
    <s v="2020_04.xlsx"/>
    <x v="4"/>
    <x v="3"/>
  </r>
  <r>
    <s v="MonthlyTradeStatistics 2020_04.xlsx"/>
    <x v="48"/>
    <n v="130.8083"/>
    <s v="2020_04.xlsx"/>
    <x v="4"/>
    <x v="3"/>
  </r>
  <r>
    <s v="MonthlyTradeStatistics 2020_04.xlsx"/>
    <x v="49"/>
    <n v="70738.62"/>
    <s v="2020_04.xlsx"/>
    <x v="4"/>
    <x v="3"/>
  </r>
  <r>
    <s v="MonthlyTradeStatistics 2020_04.xlsx"/>
    <x v="50"/>
    <n v="20605.4221"/>
    <s v="2020_04.xlsx"/>
    <x v="4"/>
    <x v="3"/>
  </r>
  <r>
    <s v="MonthlyTradeStatistics 2020_04.xlsx"/>
    <x v="51"/>
    <n v="1050"/>
    <s v="2020_04.xlsx"/>
    <x v="4"/>
    <x v="3"/>
  </r>
  <r>
    <s v="MonthlyTradeStatistics 2020_04.xlsx"/>
    <x v="52"/>
    <n v="3000"/>
    <s v="2020_04.xlsx"/>
    <x v="4"/>
    <x v="3"/>
  </r>
  <r>
    <s v="MonthlyTradeStatistics 2020_04.xlsx"/>
    <x v="53"/>
    <n v="113.5655"/>
    <s v="2020_04.xlsx"/>
    <x v="4"/>
    <x v="3"/>
  </r>
  <r>
    <s v="MonthlyTradeStatistics 2020_04.xlsx"/>
    <x v="54"/>
    <n v="359973"/>
    <s v="2020_04.xlsx"/>
    <x v="4"/>
    <x v="3"/>
  </r>
  <r>
    <s v="MonthlyTradeStatistics 2020_04.xlsx"/>
    <x v="55"/>
    <n v="1400"/>
    <s v="2020_04.xlsx"/>
    <x v="4"/>
    <x v="3"/>
  </r>
  <r>
    <s v="MonthlyTradeStatistics 2020_04.xlsx"/>
    <x v="56"/>
    <n v="2750000.0723999999"/>
    <s v="2020_04.xlsx"/>
    <x v="4"/>
    <x v="3"/>
  </r>
  <r>
    <s v="MonthlyTradeStatistics 2020_04.xlsx"/>
    <x v="57"/>
    <n v="4879.9993999999997"/>
    <s v="2020_04.xlsx"/>
    <x v="4"/>
    <x v="3"/>
  </r>
  <r>
    <s v="MonthlyTradeStatistics 2020_04.xlsx"/>
    <x v="58"/>
    <n v="2217.1833000000001"/>
    <s v="2020_04.xlsx"/>
    <x v="4"/>
    <x v="3"/>
  </r>
  <r>
    <s v="MonthlyTradeStatistics 2020_04.xlsx"/>
    <x v="59"/>
    <n v="320"/>
    <s v="2020_04.xlsx"/>
    <x v="4"/>
    <x v="3"/>
  </r>
  <r>
    <s v="MonthlyTradeStatistics 2020_05.xlsx"/>
    <x v="0"/>
    <n v="10929352.9998"/>
    <s v="2020_05.xlsx"/>
    <x v="4"/>
    <x v="4"/>
  </r>
  <r>
    <s v="MonthlyTradeStatistics 2020_05.xlsx"/>
    <x v="1"/>
    <n v="1000509.8303"/>
    <s v="2020_05.xlsx"/>
    <x v="4"/>
    <x v="4"/>
  </r>
  <r>
    <s v="MonthlyTradeStatistics 2020_05.xlsx"/>
    <x v="2"/>
    <n v="2700164.5674000001"/>
    <s v="2020_05.xlsx"/>
    <x v="4"/>
    <x v="4"/>
  </r>
  <r>
    <s v="MonthlyTradeStatistics 2020_05.xlsx"/>
    <x v="3"/>
    <n v="3125185.3354000002"/>
    <s v="2020_05.xlsx"/>
    <x v="4"/>
    <x v="4"/>
  </r>
  <r>
    <s v="MonthlyTradeStatistics 2020_05.xlsx"/>
    <x v="4"/>
    <n v="4103493.2667"/>
    <s v="2020_05.xlsx"/>
    <x v="4"/>
    <x v="4"/>
  </r>
  <r>
    <s v="MonthlyTradeStatistics 2020_05.xlsx"/>
    <x v="5"/>
    <n v="2028.25"/>
    <s v="2020_05.xlsx"/>
    <x v="4"/>
    <x v="4"/>
  </r>
  <r>
    <s v="MonthlyTradeStatistics 2020_05.xlsx"/>
    <x v="6"/>
    <n v="275.25"/>
    <s v="2020_05.xlsx"/>
    <x v="4"/>
    <x v="4"/>
  </r>
  <r>
    <s v="MonthlyTradeStatistics 2020_05.xlsx"/>
    <x v="7"/>
    <n v="3282032.1993999998"/>
    <s v="2020_05.xlsx"/>
    <x v="4"/>
    <x v="4"/>
  </r>
  <r>
    <s v="MonthlyTradeStatistics 2020_05.xlsx"/>
    <x v="8"/>
    <n v="0"/>
    <s v="2020_05.xlsx"/>
    <x v="4"/>
    <x v="4"/>
  </r>
  <r>
    <s v="MonthlyTradeStatistics 2020_05.xlsx"/>
    <x v="9"/>
    <n v="18650"/>
    <s v="2020_05.xlsx"/>
    <x v="4"/>
    <x v="4"/>
  </r>
  <r>
    <s v="MonthlyTradeStatistics 2020_05.xlsx"/>
    <x v="10"/>
    <n v="10000"/>
    <s v="2020_05.xlsx"/>
    <x v="4"/>
    <x v="4"/>
  </r>
  <r>
    <s v="MonthlyTradeStatistics 2020_05.xlsx"/>
    <x v="11"/>
    <n v="893983.21380000003"/>
    <s v="2020_05.xlsx"/>
    <x v="4"/>
    <x v="4"/>
  </r>
  <r>
    <s v="MonthlyTradeStatistics 2020_05.xlsx"/>
    <x v="12"/>
    <n v="0"/>
    <s v="2020_05.xlsx"/>
    <x v="4"/>
    <x v="4"/>
  </r>
  <r>
    <s v="MonthlyTradeStatistics 2020_05.xlsx"/>
    <x v="13"/>
    <n v="141985.00330000001"/>
    <s v="2020_05.xlsx"/>
    <x v="4"/>
    <x v="4"/>
  </r>
  <r>
    <s v="MonthlyTradeStatistics 2020_05.xlsx"/>
    <x v="14"/>
    <n v="213322.0828"/>
    <s v="2020_05.xlsx"/>
    <x v="4"/>
    <x v="4"/>
  </r>
  <r>
    <s v="MonthlyTradeStatistics 2020_05.xlsx"/>
    <x v="15"/>
    <n v="1927.1832999999999"/>
    <s v="2020_05.xlsx"/>
    <x v="4"/>
    <x v="4"/>
  </r>
  <r>
    <s v="MonthlyTradeStatistics 2020_05.xlsx"/>
    <x v="16"/>
    <n v="25000"/>
    <s v="2020_05.xlsx"/>
    <x v="4"/>
    <x v="4"/>
  </r>
  <r>
    <s v="MonthlyTradeStatistics 2020_05.xlsx"/>
    <x v="17"/>
    <n v="2127.2635"/>
    <s v="2020_05.xlsx"/>
    <x v="4"/>
    <x v="4"/>
  </r>
  <r>
    <s v="MonthlyTradeStatistics 2020_05.xlsx"/>
    <x v="18"/>
    <n v="42750.239999999998"/>
    <s v="2020_05.xlsx"/>
    <x v="4"/>
    <x v="4"/>
  </r>
  <r>
    <s v="MonthlyTradeStatistics 2020_05.xlsx"/>
    <x v="19"/>
    <n v="72270.464900000006"/>
    <s v="2020_05.xlsx"/>
    <x v="4"/>
    <x v="4"/>
  </r>
  <r>
    <s v="MonthlyTradeStatistics 2020_05.xlsx"/>
    <x v="20"/>
    <n v="0"/>
    <s v="2020_05.xlsx"/>
    <x v="4"/>
    <x v="4"/>
  </r>
  <r>
    <s v="MonthlyTradeStatistics 2020_05.xlsx"/>
    <x v="21"/>
    <n v="380729.5"/>
    <s v="2020_05.xlsx"/>
    <x v="4"/>
    <x v="4"/>
  </r>
  <r>
    <s v="MonthlyTradeStatistics 2020_05.xlsx"/>
    <x v="22"/>
    <n v="0"/>
    <s v="2020_05.xlsx"/>
    <x v="4"/>
    <x v="4"/>
  </r>
  <r>
    <s v="MonthlyTradeStatistics 2020_05.xlsx"/>
    <x v="23"/>
    <n v="191.23429999999999"/>
    <s v="2020_05.xlsx"/>
    <x v="4"/>
    <x v="4"/>
  </r>
  <r>
    <s v="MonthlyTradeStatistics 2020_05.xlsx"/>
    <x v="24"/>
    <n v="419395.99249999999"/>
    <s v="2020_05.xlsx"/>
    <x v="4"/>
    <x v="4"/>
  </r>
  <r>
    <s v="MonthlyTradeStatistics 2020_05.xlsx"/>
    <x v="25"/>
    <n v="0"/>
    <s v="2020_05.xlsx"/>
    <x v="4"/>
    <x v="4"/>
  </r>
  <r>
    <s v="MonthlyTradeStatistics 2020_05.xlsx"/>
    <x v="26"/>
    <n v="14.7333"/>
    <s v="2020_05.xlsx"/>
    <x v="4"/>
    <x v="4"/>
  </r>
  <r>
    <s v="MonthlyTradeStatistics 2020_05.xlsx"/>
    <x v="27"/>
    <n v="200"/>
    <s v="2020_05.xlsx"/>
    <x v="4"/>
    <x v="4"/>
  </r>
  <r>
    <s v="MonthlyTradeStatistics 2020_05.xlsx"/>
    <x v="28"/>
    <n v="783271.3787"/>
    <s v="2020_05.xlsx"/>
    <x v="4"/>
    <x v="4"/>
  </r>
  <r>
    <s v="MonthlyTradeStatistics 2020_05.xlsx"/>
    <x v="29"/>
    <n v="540992.1091"/>
    <s v="2020_05.xlsx"/>
    <x v="4"/>
    <x v="4"/>
  </r>
  <r>
    <s v="MonthlyTradeStatistics 2020_05.xlsx"/>
    <x v="30"/>
    <n v="456257.277"/>
    <s v="2020_05.xlsx"/>
    <x v="4"/>
    <x v="4"/>
  </r>
  <r>
    <s v="MonthlyTradeStatistics 2020_05.xlsx"/>
    <x v="31"/>
    <n v="1961.9399000000001"/>
    <s v="2020_05.xlsx"/>
    <x v="4"/>
    <x v="4"/>
  </r>
  <r>
    <s v="MonthlyTradeStatistics 2020_05.xlsx"/>
    <x v="32"/>
    <n v="79722.606499999994"/>
    <s v="2020_05.xlsx"/>
    <x v="4"/>
    <x v="4"/>
  </r>
  <r>
    <s v="MonthlyTradeStatistics 2020_05.xlsx"/>
    <x v="33"/>
    <n v="73099.986000000004"/>
    <s v="2020_05.xlsx"/>
    <x v="4"/>
    <x v="4"/>
  </r>
  <r>
    <s v="MonthlyTradeStatistics 2020_05.xlsx"/>
    <x v="34"/>
    <n v="0"/>
    <s v="2020_05.xlsx"/>
    <x v="4"/>
    <x v="4"/>
  </r>
  <r>
    <s v="MonthlyTradeStatistics 2020_05.xlsx"/>
    <x v="35"/>
    <n v="1501.432"/>
    <s v="2020_05.xlsx"/>
    <x v="4"/>
    <x v="4"/>
  </r>
  <r>
    <s v="MonthlyTradeStatistics 2020_05.xlsx"/>
    <x v="36"/>
    <n v="556.52340000000004"/>
    <s v="2020_05.xlsx"/>
    <x v="4"/>
    <x v="4"/>
  </r>
  <r>
    <s v="MonthlyTradeStatistics 2020_05.xlsx"/>
    <x v="37"/>
    <n v="347675.76870000002"/>
    <s v="2020_05.xlsx"/>
    <x v="4"/>
    <x v="4"/>
  </r>
  <r>
    <s v="MonthlyTradeStatistics 2020_05.xlsx"/>
    <x v="38"/>
    <n v="0"/>
    <s v="2020_05.xlsx"/>
    <x v="4"/>
    <x v="4"/>
  </r>
  <r>
    <s v="MonthlyTradeStatistics 2020_05.xlsx"/>
    <x v="39"/>
    <n v="340242.39520000003"/>
    <s v="2020_05.xlsx"/>
    <x v="4"/>
    <x v="4"/>
  </r>
  <r>
    <s v="MonthlyTradeStatistics 2020_05.xlsx"/>
    <x v="40"/>
    <n v="1712"/>
    <s v="2020_05.xlsx"/>
    <x v="4"/>
    <x v="4"/>
  </r>
  <r>
    <s v="MonthlyTradeStatistics 2020_05.xlsx"/>
    <x v="41"/>
    <n v="6190.3953000000001"/>
    <s v="2020_05.xlsx"/>
    <x v="4"/>
    <x v="4"/>
  </r>
  <r>
    <s v="MonthlyTradeStatistics 2020_05.xlsx"/>
    <x v="42"/>
    <n v="44188.5"/>
    <s v="2020_05.xlsx"/>
    <x v="4"/>
    <x v="4"/>
  </r>
  <r>
    <s v="MonthlyTradeStatistics 2020_05.xlsx"/>
    <x v="43"/>
    <n v="0"/>
    <s v="2020_05.xlsx"/>
    <x v="4"/>
    <x v="4"/>
  </r>
  <r>
    <s v="MonthlyTradeStatistics 2020_05.xlsx"/>
    <x v="44"/>
    <n v="103289.565"/>
    <s v="2020_05.xlsx"/>
    <x v="4"/>
    <x v="4"/>
  </r>
  <r>
    <s v="MonthlyTradeStatistics 2020_05.xlsx"/>
    <x v="45"/>
    <n v="0"/>
    <s v="2020_05.xlsx"/>
    <x v="4"/>
    <x v="4"/>
  </r>
  <r>
    <s v="MonthlyTradeStatistics 2020_05.xlsx"/>
    <x v="46"/>
    <n v="7201.2861000000003"/>
    <s v="2020_05.xlsx"/>
    <x v="4"/>
    <x v="4"/>
  </r>
  <r>
    <s v="MonthlyTradeStatistics 2020_05.xlsx"/>
    <x v="47"/>
    <n v="5000"/>
    <s v="2020_05.xlsx"/>
    <x v="4"/>
    <x v="4"/>
  </r>
  <r>
    <s v="MonthlyTradeStatistics 2020_05.xlsx"/>
    <x v="48"/>
    <n v="130.8083"/>
    <s v="2020_05.xlsx"/>
    <x v="4"/>
    <x v="4"/>
  </r>
  <r>
    <s v="MonthlyTradeStatistics 2020_05.xlsx"/>
    <x v="49"/>
    <n v="63342.96"/>
    <s v="2020_05.xlsx"/>
    <x v="4"/>
    <x v="4"/>
  </r>
  <r>
    <s v="MonthlyTradeStatistics 2020_05.xlsx"/>
    <x v="50"/>
    <n v="17905.533500000001"/>
    <s v="2020_05.xlsx"/>
    <x v="4"/>
    <x v="4"/>
  </r>
  <r>
    <s v="MonthlyTradeStatistics 2020_05.xlsx"/>
    <x v="51"/>
    <n v="0"/>
    <s v="2020_05.xlsx"/>
    <x v="4"/>
    <x v="4"/>
  </r>
  <r>
    <s v="MonthlyTradeStatistics 2020_05.xlsx"/>
    <x v="52"/>
    <n v="2500"/>
    <s v="2020_05.xlsx"/>
    <x v="4"/>
    <x v="4"/>
  </r>
  <r>
    <s v="MonthlyTradeStatistics 2020_05.xlsx"/>
    <x v="53"/>
    <n v="86.108800000000002"/>
    <s v="2020_05.xlsx"/>
    <x v="4"/>
    <x v="4"/>
  </r>
  <r>
    <s v="MonthlyTradeStatistics 2020_05.xlsx"/>
    <x v="54"/>
    <n v="437597"/>
    <s v="2020_05.xlsx"/>
    <x v="4"/>
    <x v="4"/>
  </r>
  <r>
    <s v="MonthlyTradeStatistics 2020_05.xlsx"/>
    <x v="55"/>
    <n v="1100"/>
    <s v="2020_05.xlsx"/>
    <x v="4"/>
    <x v="4"/>
  </r>
  <r>
    <s v="MonthlyTradeStatistics 2020_05.xlsx"/>
    <x v="56"/>
    <n v="2100000.0449999999"/>
    <s v="2020_05.xlsx"/>
    <x v="4"/>
    <x v="4"/>
  </r>
  <r>
    <s v="MonthlyTradeStatistics 2020_05.xlsx"/>
    <x v="57"/>
    <n v="3840.0034999999998"/>
    <s v="2020_05.xlsx"/>
    <x v="4"/>
    <x v="4"/>
  </r>
  <r>
    <s v="MonthlyTradeStatistics 2020_05.xlsx"/>
    <x v="58"/>
    <n v="2704.7667000000001"/>
    <s v="2020_05.xlsx"/>
    <x v="4"/>
    <x v="4"/>
  </r>
  <r>
    <s v="MonthlyTradeStatistics 2020_05.xlsx"/>
    <x v="59"/>
    <n v="400"/>
    <s v="2020_05.xlsx"/>
    <x v="4"/>
    <x v="4"/>
  </r>
  <r>
    <s v="MonthlyTradeStatistics 2020_06.xlsx"/>
    <x v="0"/>
    <n v="10787719.350099999"/>
    <s v="2020_06.xlsx"/>
    <x v="4"/>
    <x v="5"/>
  </r>
  <r>
    <s v="MonthlyTradeStatistics 2020_06.xlsx"/>
    <x v="1"/>
    <n v="1201721.7945999999"/>
    <s v="2020_06.xlsx"/>
    <x v="4"/>
    <x v="5"/>
  </r>
  <r>
    <s v="MonthlyTradeStatistics 2020_06.xlsx"/>
    <x v="2"/>
    <n v="2548801.8623000002"/>
    <s v="2020_06.xlsx"/>
    <x v="4"/>
    <x v="5"/>
  </r>
  <r>
    <s v="MonthlyTradeStatistics 2020_06.xlsx"/>
    <x v="3"/>
    <n v="2833310.2069000001"/>
    <s v="2020_06.xlsx"/>
    <x v="4"/>
    <x v="5"/>
  </r>
  <r>
    <s v="MonthlyTradeStatistics 2020_06.xlsx"/>
    <x v="4"/>
    <n v="4203885.4863"/>
    <s v="2020_06.xlsx"/>
    <x v="4"/>
    <x v="5"/>
  </r>
  <r>
    <s v="MonthlyTradeStatistics 2020_06.xlsx"/>
    <x v="5"/>
    <n v="1576.6648"/>
    <s v="2020_06.xlsx"/>
    <x v="4"/>
    <x v="5"/>
  </r>
  <r>
    <s v="MonthlyTradeStatistics 2020_06.xlsx"/>
    <x v="6"/>
    <n v="1162.5"/>
    <s v="2020_06.xlsx"/>
    <x v="4"/>
    <x v="5"/>
  </r>
  <r>
    <s v="MonthlyTradeStatistics 2020_06.xlsx"/>
    <x v="7"/>
    <n v="3075571.5262000002"/>
    <s v="2020_06.xlsx"/>
    <x v="4"/>
    <x v="5"/>
  </r>
  <r>
    <s v="MonthlyTradeStatistics 2020_06.xlsx"/>
    <x v="8"/>
    <n v="2019.8330000000001"/>
    <s v="2020_06.xlsx"/>
    <x v="4"/>
    <x v="5"/>
  </r>
  <r>
    <s v="MonthlyTradeStatistics 2020_06.xlsx"/>
    <x v="9"/>
    <n v="13950"/>
    <s v="2020_06.xlsx"/>
    <x v="4"/>
    <x v="5"/>
  </r>
  <r>
    <s v="MonthlyTradeStatistics 2020_06.xlsx"/>
    <x v="10"/>
    <n v="1500"/>
    <s v="2020_06.xlsx"/>
    <x v="4"/>
    <x v="5"/>
  </r>
  <r>
    <s v="MonthlyTradeStatistics 2020_06.xlsx"/>
    <x v="11"/>
    <n v="1111849.8735"/>
    <s v="2020_06.xlsx"/>
    <x v="4"/>
    <x v="5"/>
  </r>
  <r>
    <s v="MonthlyTradeStatistics 2020_06.xlsx"/>
    <x v="12"/>
    <n v="0"/>
    <s v="2020_06.xlsx"/>
    <x v="4"/>
    <x v="5"/>
  </r>
  <r>
    <s v="MonthlyTradeStatistics 2020_06.xlsx"/>
    <x v="13"/>
    <n v="134804.7617"/>
    <s v="2020_06.xlsx"/>
    <x v="4"/>
    <x v="5"/>
  </r>
  <r>
    <s v="MonthlyTradeStatistics 2020_06.xlsx"/>
    <x v="14"/>
    <n v="82981.667600000001"/>
    <s v="2020_06.xlsx"/>
    <x v="4"/>
    <x v="5"/>
  </r>
  <r>
    <s v="MonthlyTradeStatistics 2020_06.xlsx"/>
    <x v="15"/>
    <n v="1927.1832999999999"/>
    <s v="2020_06.xlsx"/>
    <x v="4"/>
    <x v="5"/>
  </r>
  <r>
    <s v="MonthlyTradeStatistics 2020_06.xlsx"/>
    <x v="16"/>
    <n v="15000"/>
    <s v="2020_06.xlsx"/>
    <x v="4"/>
    <x v="5"/>
  </r>
  <r>
    <s v="MonthlyTradeStatistics 2020_06.xlsx"/>
    <x v="17"/>
    <n v="2061.7727"/>
    <s v="2020_06.xlsx"/>
    <x v="4"/>
    <x v="5"/>
  </r>
  <r>
    <s v="MonthlyTradeStatistics 2020_06.xlsx"/>
    <x v="18"/>
    <n v="24864.104299999999"/>
    <s v="2020_06.xlsx"/>
    <x v="4"/>
    <x v="5"/>
  </r>
  <r>
    <s v="MonthlyTradeStatistics 2020_06.xlsx"/>
    <x v="19"/>
    <n v="47529.354299999999"/>
    <s v="2020_06.xlsx"/>
    <x v="4"/>
    <x v="5"/>
  </r>
  <r>
    <s v="MonthlyTradeStatistics 2020_06.xlsx"/>
    <x v="20"/>
    <n v="0"/>
    <s v="2020_06.xlsx"/>
    <x v="4"/>
    <x v="5"/>
  </r>
  <r>
    <s v="MonthlyTradeStatistics 2020_06.xlsx"/>
    <x v="21"/>
    <n v="456679.62910000002"/>
    <s v="2020_06.xlsx"/>
    <x v="4"/>
    <x v="5"/>
  </r>
  <r>
    <s v="MonthlyTradeStatistics 2020_06.xlsx"/>
    <x v="22"/>
    <n v="0"/>
    <s v="2020_06.xlsx"/>
    <x v="4"/>
    <x v="5"/>
  </r>
  <r>
    <s v="MonthlyTradeStatistics 2020_06.xlsx"/>
    <x v="23"/>
    <n v="149.46100000000001"/>
    <s v="2020_06.xlsx"/>
    <x v="4"/>
    <x v="5"/>
  </r>
  <r>
    <s v="MonthlyTradeStatistics 2020_06.xlsx"/>
    <x v="24"/>
    <n v="383244.1827"/>
    <s v="2020_06.xlsx"/>
    <x v="4"/>
    <x v="5"/>
  </r>
  <r>
    <s v="MonthlyTradeStatistics 2020_06.xlsx"/>
    <x v="25"/>
    <n v="0"/>
    <s v="2020_06.xlsx"/>
    <x v="4"/>
    <x v="5"/>
  </r>
  <r>
    <s v="MonthlyTradeStatistics 2020_06.xlsx"/>
    <x v="26"/>
    <n v="0"/>
    <s v="2020_06.xlsx"/>
    <x v="4"/>
    <x v="5"/>
  </r>
  <r>
    <s v="MonthlyTradeStatistics 2020_06.xlsx"/>
    <x v="27"/>
    <n v="300"/>
    <s v="2020_06.xlsx"/>
    <x v="4"/>
    <x v="5"/>
  </r>
  <r>
    <s v="MonthlyTradeStatistics 2020_06.xlsx"/>
    <x v="28"/>
    <n v="644725.71900000004"/>
    <s v="2020_06.xlsx"/>
    <x v="4"/>
    <x v="5"/>
  </r>
  <r>
    <s v="MonthlyTradeStatistics 2020_06.xlsx"/>
    <x v="29"/>
    <n v="577611.57819999999"/>
    <s v="2020_06.xlsx"/>
    <x v="4"/>
    <x v="5"/>
  </r>
  <r>
    <s v="MonthlyTradeStatistics 2020_06.xlsx"/>
    <x v="30"/>
    <n v="543303.73"/>
    <s v="2020_06.xlsx"/>
    <x v="4"/>
    <x v="5"/>
  </r>
  <r>
    <s v="MonthlyTradeStatistics 2020_06.xlsx"/>
    <x v="31"/>
    <n v="1332.0746999999999"/>
    <s v="2020_06.xlsx"/>
    <x v="4"/>
    <x v="5"/>
  </r>
  <r>
    <s v="MonthlyTradeStatistics 2020_06.xlsx"/>
    <x v="32"/>
    <n v="83139.354500000001"/>
    <s v="2020_06.xlsx"/>
    <x v="4"/>
    <x v="5"/>
  </r>
  <r>
    <s v="MonthlyTradeStatistics 2020_06.xlsx"/>
    <x v="33"/>
    <n v="82900.017600000006"/>
    <s v="2020_06.xlsx"/>
    <x v="4"/>
    <x v="5"/>
  </r>
  <r>
    <s v="MonthlyTradeStatistics 2020_06.xlsx"/>
    <x v="34"/>
    <n v="200"/>
    <s v="2020_06.xlsx"/>
    <x v="4"/>
    <x v="5"/>
  </r>
  <r>
    <s v="MonthlyTradeStatistics 2020_06.xlsx"/>
    <x v="35"/>
    <n v="899.88329999999996"/>
    <s v="2020_06.xlsx"/>
    <x v="4"/>
    <x v="5"/>
  </r>
  <r>
    <s v="MonthlyTradeStatistics 2020_06.xlsx"/>
    <x v="36"/>
    <n v="0"/>
    <s v="2020_06.xlsx"/>
    <x v="4"/>
    <x v="5"/>
  </r>
  <r>
    <s v="MonthlyTradeStatistics 2020_06.xlsx"/>
    <x v="37"/>
    <n v="353136.65179999999"/>
    <s v="2020_06.xlsx"/>
    <x v="4"/>
    <x v="5"/>
  </r>
  <r>
    <s v="MonthlyTradeStatistics 2020_06.xlsx"/>
    <x v="38"/>
    <n v="1.6667000000000001"/>
    <s v="2020_06.xlsx"/>
    <x v="4"/>
    <x v="5"/>
  </r>
  <r>
    <s v="MonthlyTradeStatistics 2020_06.xlsx"/>
    <x v="39"/>
    <n v="317987.08230000001"/>
    <s v="2020_06.xlsx"/>
    <x v="4"/>
    <x v="5"/>
  </r>
  <r>
    <s v="MonthlyTradeStatistics 2020_06.xlsx"/>
    <x v="40"/>
    <n v="0"/>
    <s v="2020_06.xlsx"/>
    <x v="4"/>
    <x v="5"/>
  </r>
  <r>
    <s v="MonthlyTradeStatistics 2020_06.xlsx"/>
    <x v="41"/>
    <n v="5352.8332"/>
    <s v="2020_06.xlsx"/>
    <x v="4"/>
    <x v="5"/>
  </r>
  <r>
    <s v="MonthlyTradeStatistics 2020_06.xlsx"/>
    <x v="42"/>
    <n v="52139.23"/>
    <s v="2020_06.xlsx"/>
    <x v="4"/>
    <x v="5"/>
  </r>
  <r>
    <s v="MonthlyTradeStatistics 2020_06.xlsx"/>
    <x v="43"/>
    <n v="0"/>
    <s v="2020_06.xlsx"/>
    <x v="4"/>
    <x v="5"/>
  </r>
  <r>
    <s v="MonthlyTradeStatistics 2020_06.xlsx"/>
    <x v="44"/>
    <n v="150977.95509999999"/>
    <s v="2020_06.xlsx"/>
    <x v="4"/>
    <x v="5"/>
  </r>
  <r>
    <s v="MonthlyTradeStatistics 2020_06.xlsx"/>
    <x v="45"/>
    <n v="1670.76"/>
    <s v="2020_06.xlsx"/>
    <x v="4"/>
    <x v="5"/>
  </r>
  <r>
    <s v="MonthlyTradeStatistics 2020_06.xlsx"/>
    <x v="46"/>
    <n v="21203.409"/>
    <s v="2020_06.xlsx"/>
    <x v="4"/>
    <x v="5"/>
  </r>
  <r>
    <s v="MonthlyTradeStatistics 2020_06.xlsx"/>
    <x v="47"/>
    <n v="4000"/>
    <s v="2020_06.xlsx"/>
    <x v="4"/>
    <x v="5"/>
  </r>
  <r>
    <s v="MonthlyTradeStatistics 2020_06.xlsx"/>
    <x v="48"/>
    <n v="130.8083"/>
    <s v="2020_06.xlsx"/>
    <x v="4"/>
    <x v="5"/>
  </r>
  <r>
    <s v="MonthlyTradeStatistics 2020_06.xlsx"/>
    <x v="49"/>
    <n v="31212.933199999999"/>
    <s v="2020_06.xlsx"/>
    <x v="4"/>
    <x v="5"/>
  </r>
  <r>
    <s v="MonthlyTradeStatistics 2020_06.xlsx"/>
    <x v="50"/>
    <n v="22100.74"/>
    <s v="2020_06.xlsx"/>
    <x v="4"/>
    <x v="5"/>
  </r>
  <r>
    <s v="MonthlyTradeStatistics 2020_06.xlsx"/>
    <x v="51"/>
    <n v="0"/>
    <s v="2020_06.xlsx"/>
    <x v="4"/>
    <x v="5"/>
  </r>
  <r>
    <s v="MonthlyTradeStatistics 2020_06.xlsx"/>
    <x v="52"/>
    <n v="2500"/>
    <s v="2020_06.xlsx"/>
    <x v="4"/>
    <x v="5"/>
  </r>
  <r>
    <s v="MonthlyTradeStatistics 2020_06.xlsx"/>
    <x v="53"/>
    <n v="119.101"/>
    <s v="2020_06.xlsx"/>
    <x v="4"/>
    <x v="5"/>
  </r>
  <r>
    <s v="MonthlyTradeStatistics 2020_06.xlsx"/>
    <x v="54"/>
    <n v="420373"/>
    <s v="2020_06.xlsx"/>
    <x v="4"/>
    <x v="5"/>
  </r>
  <r>
    <s v="MonthlyTradeStatistics 2020_06.xlsx"/>
    <x v="55"/>
    <n v="4600"/>
    <s v="2020_06.xlsx"/>
    <x v="4"/>
    <x v="5"/>
  </r>
  <r>
    <s v="MonthlyTradeStatistics 2020_06.xlsx"/>
    <x v="56"/>
    <n v="2100000.0449999999"/>
    <s v="2020_06.xlsx"/>
    <x v="4"/>
    <x v="5"/>
  </r>
  <r>
    <s v="MonthlyTradeStatistics 2020_06.xlsx"/>
    <x v="57"/>
    <n v="3740.0034999999998"/>
    <s v="2020_06.xlsx"/>
    <x v="4"/>
    <x v="5"/>
  </r>
  <r>
    <s v="MonthlyTradeStatistics 2020_06.xlsx"/>
    <x v="58"/>
    <n v="5188.2"/>
    <s v="2020_06.xlsx"/>
    <x v="4"/>
    <x v="5"/>
  </r>
  <r>
    <s v="MonthlyTradeStatistics 2020_06.xlsx"/>
    <x v="59"/>
    <n v="5.9499999999999997E-2"/>
    <s v="2020_06.xlsx"/>
    <x v="4"/>
    <x v="5"/>
  </r>
  <r>
    <s v="MonthlyTradeStatistics 2020_07.xlsx"/>
    <x v="0"/>
    <n v="10478442.837400001"/>
    <s v="2020_07.xlsx"/>
    <x v="4"/>
    <x v="6"/>
  </r>
  <r>
    <s v="MonthlyTradeStatistics 2020_07.xlsx"/>
    <x v="1"/>
    <n v="1205721.8289000001"/>
    <s v="2020_07.xlsx"/>
    <x v="4"/>
    <x v="6"/>
  </r>
  <r>
    <s v="MonthlyTradeStatistics 2020_07.xlsx"/>
    <x v="2"/>
    <n v="2152094.6165999998"/>
    <s v="2020_07.xlsx"/>
    <x v="4"/>
    <x v="6"/>
  </r>
  <r>
    <s v="MonthlyTradeStatistics 2020_07.xlsx"/>
    <x v="3"/>
    <n v="3134212.5814999999"/>
    <s v="2020_07.xlsx"/>
    <x v="4"/>
    <x v="6"/>
  </r>
  <r>
    <s v="MonthlyTradeStatistics 2020_07.xlsx"/>
    <x v="4"/>
    <n v="3986413.8103999998"/>
    <s v="2020_07.xlsx"/>
    <x v="4"/>
    <x v="6"/>
  </r>
  <r>
    <s v="MonthlyTradeStatistics 2020_07.xlsx"/>
    <x v="5"/>
    <n v="794.79830000000004"/>
    <s v="2020_07.xlsx"/>
    <x v="4"/>
    <x v="6"/>
  </r>
  <r>
    <s v="MonthlyTradeStatistics 2020_07.xlsx"/>
    <x v="6"/>
    <n v="0"/>
    <s v="2020_07.xlsx"/>
    <x v="4"/>
    <x v="6"/>
  </r>
  <r>
    <s v="MonthlyTradeStatistics 2020_07.xlsx"/>
    <x v="7"/>
    <n v="3242242.1192000001"/>
    <s v="2020_07.xlsx"/>
    <x v="4"/>
    <x v="6"/>
  </r>
  <r>
    <s v="MonthlyTradeStatistics 2020_07.xlsx"/>
    <x v="8"/>
    <n v="8328.9667000000009"/>
    <s v="2020_07.xlsx"/>
    <x v="4"/>
    <x v="6"/>
  </r>
  <r>
    <s v="MonthlyTradeStatistics 2020_07.xlsx"/>
    <x v="9"/>
    <n v="29797"/>
    <s v="2020_07.xlsx"/>
    <x v="4"/>
    <x v="6"/>
  </r>
  <r>
    <s v="MonthlyTradeStatistics 2020_07.xlsx"/>
    <x v="10"/>
    <n v="0"/>
    <s v="2020_07.xlsx"/>
    <x v="4"/>
    <x v="6"/>
  </r>
  <r>
    <s v="MonthlyTradeStatistics 2020_07.xlsx"/>
    <x v="11"/>
    <n v="1131777.5484"/>
    <s v="2020_07.xlsx"/>
    <x v="4"/>
    <x v="6"/>
  </r>
  <r>
    <s v="MonthlyTradeStatistics 2020_07.xlsx"/>
    <x v="12"/>
    <n v="0"/>
    <s v="2020_07.xlsx"/>
    <x v="4"/>
    <x v="6"/>
  </r>
  <r>
    <s v="MonthlyTradeStatistics 2020_07.xlsx"/>
    <x v="13"/>
    <n v="135479.2935"/>
    <s v="2020_07.xlsx"/>
    <x v="4"/>
    <x v="6"/>
  </r>
  <r>
    <s v="MonthlyTradeStatistics 2020_07.xlsx"/>
    <x v="14"/>
    <n v="192549.3836"/>
    <s v="2020_07.xlsx"/>
    <x v="4"/>
    <x v="6"/>
  </r>
  <r>
    <s v="MonthlyTradeStatistics 2020_07.xlsx"/>
    <x v="15"/>
    <n v="1927.1832999999999"/>
    <s v="2020_07.xlsx"/>
    <x v="4"/>
    <x v="6"/>
  </r>
  <r>
    <s v="MonthlyTradeStatistics 2020_07.xlsx"/>
    <x v="16"/>
    <n v="20000"/>
    <s v="2020_07.xlsx"/>
    <x v="4"/>
    <x v="6"/>
  </r>
  <r>
    <s v="MonthlyTradeStatistics 2020_07.xlsx"/>
    <x v="17"/>
    <n v="2059.1673999999998"/>
    <s v="2020_07.xlsx"/>
    <x v="4"/>
    <x v="6"/>
  </r>
  <r>
    <s v="MonthlyTradeStatistics 2020_07.xlsx"/>
    <x v="18"/>
    <n v="28117.533800000001"/>
    <s v="2020_07.xlsx"/>
    <x v="4"/>
    <x v="6"/>
  </r>
  <r>
    <s v="MonthlyTradeStatistics 2020_07.xlsx"/>
    <x v="19"/>
    <n v="33819.294900000001"/>
    <s v="2020_07.xlsx"/>
    <x v="4"/>
    <x v="6"/>
  </r>
  <r>
    <s v="MonthlyTradeStatistics 2020_07.xlsx"/>
    <x v="20"/>
    <n v="0"/>
    <s v="2020_07.xlsx"/>
    <x v="4"/>
    <x v="6"/>
  </r>
  <r>
    <s v="MonthlyTradeStatistics 2020_07.xlsx"/>
    <x v="21"/>
    <n v="358154.68329999998"/>
    <s v="2020_07.xlsx"/>
    <x v="4"/>
    <x v="6"/>
  </r>
  <r>
    <s v="MonthlyTradeStatistics 2020_07.xlsx"/>
    <x v="22"/>
    <n v="0"/>
    <s v="2020_07.xlsx"/>
    <x v="4"/>
    <x v="6"/>
  </r>
  <r>
    <s v="MonthlyTradeStatistics 2020_07.xlsx"/>
    <x v="23"/>
    <n v="15.6"/>
    <s v="2020_07.xlsx"/>
    <x v="4"/>
    <x v="6"/>
  </r>
  <r>
    <s v="MonthlyTradeStatistics 2020_07.xlsx"/>
    <x v="24"/>
    <n v="302424.29200000002"/>
    <s v="2020_07.xlsx"/>
    <x v="4"/>
    <x v="6"/>
  </r>
  <r>
    <s v="MonthlyTradeStatistics 2020_07.xlsx"/>
    <x v="25"/>
    <n v="0"/>
    <s v="2020_07.xlsx"/>
    <x v="4"/>
    <x v="6"/>
  </r>
  <r>
    <s v="MonthlyTradeStatistics 2020_07.xlsx"/>
    <x v="26"/>
    <n v="100.88"/>
    <s v="2020_07.xlsx"/>
    <x v="4"/>
    <x v="6"/>
  </r>
  <r>
    <s v="MonthlyTradeStatistics 2020_07.xlsx"/>
    <x v="27"/>
    <n v="500"/>
    <s v="2020_07.xlsx"/>
    <x v="4"/>
    <x v="6"/>
  </r>
  <r>
    <s v="MonthlyTradeStatistics 2020_07.xlsx"/>
    <x v="28"/>
    <n v="326816.85930000001"/>
    <s v="2020_07.xlsx"/>
    <x v="4"/>
    <x v="6"/>
  </r>
  <r>
    <s v="MonthlyTradeStatistics 2020_07.xlsx"/>
    <x v="29"/>
    <n v="476207.99229999998"/>
    <s v="2020_07.xlsx"/>
    <x v="4"/>
    <x v="6"/>
  </r>
  <r>
    <s v="MonthlyTradeStatistics 2020_07.xlsx"/>
    <x v="30"/>
    <n v="667813.92420000001"/>
    <s v="2020_07.xlsx"/>
    <x v="4"/>
    <x v="6"/>
  </r>
  <r>
    <s v="MonthlyTradeStatistics 2020_07.xlsx"/>
    <x v="31"/>
    <n v="1587.3914"/>
    <s v="2020_07.xlsx"/>
    <x v="4"/>
    <x v="6"/>
  </r>
  <r>
    <s v="MonthlyTradeStatistics 2020_07.xlsx"/>
    <x v="32"/>
    <n v="68230.780499999993"/>
    <s v="2020_07.xlsx"/>
    <x v="4"/>
    <x v="6"/>
  </r>
  <r>
    <s v="MonthlyTradeStatistics 2020_07.xlsx"/>
    <x v="33"/>
    <n v="64299.992299999998"/>
    <s v="2020_07.xlsx"/>
    <x v="4"/>
    <x v="6"/>
  </r>
  <r>
    <s v="MonthlyTradeStatistics 2020_07.xlsx"/>
    <x v="34"/>
    <n v="0"/>
    <s v="2020_07.xlsx"/>
    <x v="4"/>
    <x v="6"/>
  </r>
  <r>
    <s v="MonthlyTradeStatistics 2020_07.xlsx"/>
    <x v="35"/>
    <n v="1500.1"/>
    <s v="2020_07.xlsx"/>
    <x v="4"/>
    <x v="6"/>
  </r>
  <r>
    <s v="MonthlyTradeStatistics 2020_07.xlsx"/>
    <x v="36"/>
    <n v="0"/>
    <s v="2020_07.xlsx"/>
    <x v="4"/>
    <x v="6"/>
  </r>
  <r>
    <s v="MonthlyTradeStatistics 2020_07.xlsx"/>
    <x v="37"/>
    <n v="283616.26419999998"/>
    <s v="2020_07.xlsx"/>
    <x v="4"/>
    <x v="6"/>
  </r>
  <r>
    <s v="MonthlyTradeStatistics 2020_07.xlsx"/>
    <x v="38"/>
    <n v="74.633300000000006"/>
    <s v="2020_07.xlsx"/>
    <x v="4"/>
    <x v="6"/>
  </r>
  <r>
    <s v="MonthlyTradeStatistics 2020_07.xlsx"/>
    <x v="39"/>
    <n v="246522.59520000001"/>
    <s v="2020_07.xlsx"/>
    <x v="4"/>
    <x v="6"/>
  </r>
  <r>
    <s v="MonthlyTradeStatistics 2020_07.xlsx"/>
    <x v="40"/>
    <n v="0"/>
    <s v="2020_07.xlsx"/>
    <x v="4"/>
    <x v="6"/>
  </r>
  <r>
    <s v="MonthlyTradeStatistics 2020_07.xlsx"/>
    <x v="41"/>
    <n v="9076.6339000000007"/>
    <s v="2020_07.xlsx"/>
    <x v="4"/>
    <x v="6"/>
  </r>
  <r>
    <s v="MonthlyTradeStatistics 2020_07.xlsx"/>
    <x v="42"/>
    <n v="75099"/>
    <s v="2020_07.xlsx"/>
    <x v="4"/>
    <x v="6"/>
  </r>
  <r>
    <s v="MonthlyTradeStatistics 2020_07.xlsx"/>
    <x v="43"/>
    <n v="4.6833"/>
    <s v="2020_07.xlsx"/>
    <x v="4"/>
    <x v="6"/>
  </r>
  <r>
    <s v="MonthlyTradeStatistics 2020_07.xlsx"/>
    <x v="44"/>
    <n v="350838.62170000002"/>
    <s v="2020_07.xlsx"/>
    <x v="4"/>
    <x v="6"/>
  </r>
  <r>
    <s v="MonthlyTradeStatistics 2020_07.xlsx"/>
    <x v="45"/>
    <n v="7.9080000000000004"/>
    <s v="2020_07.xlsx"/>
    <x v="4"/>
    <x v="6"/>
  </r>
  <r>
    <s v="MonthlyTradeStatistics 2020_07.xlsx"/>
    <x v="46"/>
    <n v="22549.883999999998"/>
    <s v="2020_07.xlsx"/>
    <x v="4"/>
    <x v="6"/>
  </r>
  <r>
    <s v="MonthlyTradeStatistics 2020_07.xlsx"/>
    <x v="47"/>
    <n v="4000"/>
    <s v="2020_07.xlsx"/>
    <x v="4"/>
    <x v="6"/>
  </r>
  <r>
    <s v="MonthlyTradeStatistics 2020_07.xlsx"/>
    <x v="48"/>
    <n v="130.8083"/>
    <s v="2020_07.xlsx"/>
    <x v="4"/>
    <x v="6"/>
  </r>
  <r>
    <s v="MonthlyTradeStatistics 2020_07.xlsx"/>
    <x v="49"/>
    <n v="21337"/>
    <s v="2020_07.xlsx"/>
    <x v="4"/>
    <x v="6"/>
  </r>
  <r>
    <s v="MonthlyTradeStatistics 2020_07.xlsx"/>
    <x v="50"/>
    <n v="13601.712799999999"/>
    <s v="2020_07.xlsx"/>
    <x v="4"/>
    <x v="6"/>
  </r>
  <r>
    <s v="MonthlyTradeStatistics 2020_07.xlsx"/>
    <x v="51"/>
    <n v="1321.8333"/>
    <s v="2020_07.xlsx"/>
    <x v="4"/>
    <x v="6"/>
  </r>
  <r>
    <s v="MonthlyTradeStatistics 2020_07.xlsx"/>
    <x v="52"/>
    <n v="2500"/>
    <s v="2020_07.xlsx"/>
    <x v="4"/>
    <x v="6"/>
  </r>
  <r>
    <s v="MonthlyTradeStatistics 2020_07.xlsx"/>
    <x v="53"/>
    <n v="276.81970000000001"/>
    <s v="2020_07.xlsx"/>
    <x v="4"/>
    <x v="6"/>
  </r>
  <r>
    <s v="MonthlyTradeStatistics 2020_07.xlsx"/>
    <x v="54"/>
    <n v="543251"/>
    <s v="2020_07.xlsx"/>
    <x v="4"/>
    <x v="6"/>
  </r>
  <r>
    <s v="MonthlyTradeStatistics 2020_07.xlsx"/>
    <x v="55"/>
    <n v="1400"/>
    <s v="2020_07.xlsx"/>
    <x v="4"/>
    <x v="6"/>
  </r>
  <r>
    <s v="MonthlyTradeStatistics 2020_07.xlsx"/>
    <x v="56"/>
    <n v="1800000.0559"/>
    <s v="2020_07.xlsx"/>
    <x v="4"/>
    <x v="6"/>
  </r>
  <r>
    <s v="MonthlyTradeStatistics 2020_07.xlsx"/>
    <x v="57"/>
    <n v="4879.9993999999997"/>
    <s v="2020_07.xlsx"/>
    <x v="4"/>
    <x v="6"/>
  </r>
  <r>
    <s v="MonthlyTradeStatistics 2020_07.xlsx"/>
    <x v="58"/>
    <n v="3408.6"/>
    <s v="2020_07.xlsx"/>
    <x v="4"/>
    <x v="6"/>
  </r>
  <r>
    <s v="MonthlyTradeStatistics 2020_07.xlsx"/>
    <x v="59"/>
    <n v="0"/>
    <s v="2020_07.xlsx"/>
    <x v="4"/>
    <x v="6"/>
  </r>
  <r>
    <s v="MonthlyTradeStatistics 2020_08.xlsx"/>
    <x v="0"/>
    <n v="10172239.912699999"/>
    <s v="2020_08.xlsx"/>
    <x v="4"/>
    <x v="7"/>
  </r>
  <r>
    <s v="MonthlyTradeStatistics 2020_08.xlsx"/>
    <x v="1"/>
    <n v="1181722.6669999999"/>
    <s v="2020_08.xlsx"/>
    <x v="4"/>
    <x v="7"/>
  </r>
  <r>
    <s v="MonthlyTradeStatistics 2020_08.xlsx"/>
    <x v="2"/>
    <n v="1840404.4506999999"/>
    <s v="2020_08.xlsx"/>
    <x v="4"/>
    <x v="7"/>
  </r>
  <r>
    <s v="MonthlyTradeStatistics 2020_08.xlsx"/>
    <x v="3"/>
    <n v="3441006.0976999998"/>
    <s v="2020_08.xlsx"/>
    <x v="4"/>
    <x v="7"/>
  </r>
  <r>
    <s v="MonthlyTradeStatistics 2020_08.xlsx"/>
    <x v="4"/>
    <n v="3709106.6973000001"/>
    <s v="2020_08.xlsx"/>
    <x v="4"/>
    <x v="7"/>
  </r>
  <r>
    <s v="MonthlyTradeStatistics 2020_08.xlsx"/>
    <x v="5"/>
    <n v="321.3202"/>
    <s v="2020_08.xlsx"/>
    <x v="4"/>
    <x v="7"/>
  </r>
  <r>
    <s v="MonthlyTradeStatistics 2020_08.xlsx"/>
    <x v="6"/>
    <n v="891.23329999999999"/>
    <s v="2020_08.xlsx"/>
    <x v="4"/>
    <x v="7"/>
  </r>
  <r>
    <s v="MonthlyTradeStatistics 2020_08.xlsx"/>
    <x v="7"/>
    <n v="3574279.8295999998"/>
    <s v="2020_08.xlsx"/>
    <x v="4"/>
    <x v="7"/>
  </r>
  <r>
    <s v="MonthlyTradeStatistics 2020_08.xlsx"/>
    <x v="8"/>
    <n v="12534.6667"/>
    <s v="2020_08.xlsx"/>
    <x v="4"/>
    <x v="7"/>
  </r>
  <r>
    <s v="MonthlyTradeStatistics 2020_08.xlsx"/>
    <x v="9"/>
    <n v="12091"/>
    <s v="2020_08.xlsx"/>
    <x v="4"/>
    <x v="7"/>
  </r>
  <r>
    <s v="MonthlyTradeStatistics 2020_08.xlsx"/>
    <x v="10"/>
    <n v="0"/>
    <s v="2020_08.xlsx"/>
    <x v="4"/>
    <x v="7"/>
  </r>
  <r>
    <s v="MonthlyTradeStatistics 2020_08.xlsx"/>
    <x v="11"/>
    <n v="1117792.7955"/>
    <s v="2020_08.xlsx"/>
    <x v="4"/>
    <x v="7"/>
  </r>
  <r>
    <s v="MonthlyTradeStatistics 2020_08.xlsx"/>
    <x v="12"/>
    <n v="0"/>
    <s v="2020_08.xlsx"/>
    <x v="4"/>
    <x v="7"/>
  </r>
  <r>
    <s v="MonthlyTradeStatistics 2020_08.xlsx"/>
    <x v="13"/>
    <n v="115622.75229999999"/>
    <s v="2020_08.xlsx"/>
    <x v="4"/>
    <x v="7"/>
  </r>
  <r>
    <s v="MonthlyTradeStatistics 2020_08.xlsx"/>
    <x v="14"/>
    <n v="45154.149899999997"/>
    <s v="2020_08.xlsx"/>
    <x v="4"/>
    <x v="7"/>
  </r>
  <r>
    <s v="MonthlyTradeStatistics 2020_08.xlsx"/>
    <x v="15"/>
    <n v="1927.1832999999999"/>
    <s v="2020_08.xlsx"/>
    <x v="4"/>
    <x v="7"/>
  </r>
  <r>
    <s v="MonthlyTradeStatistics 2020_08.xlsx"/>
    <x v="16"/>
    <n v="20000"/>
    <s v="2020_08.xlsx"/>
    <x v="4"/>
    <x v="7"/>
  </r>
  <r>
    <s v="MonthlyTradeStatistics 2020_08.xlsx"/>
    <x v="17"/>
    <n v="1621.9906000000001"/>
    <s v="2020_08.xlsx"/>
    <x v="4"/>
    <x v="7"/>
  </r>
  <r>
    <s v="MonthlyTradeStatistics 2020_08.xlsx"/>
    <x v="18"/>
    <n v="37150.691800000001"/>
    <s v="2020_08.xlsx"/>
    <x v="4"/>
    <x v="7"/>
  </r>
  <r>
    <s v="MonthlyTradeStatistics 2020_08.xlsx"/>
    <x v="19"/>
    <n v="29741.094499999999"/>
    <s v="2020_08.xlsx"/>
    <x v="4"/>
    <x v="7"/>
  </r>
  <r>
    <s v="MonthlyTradeStatistics 2020_08.xlsx"/>
    <x v="20"/>
    <n v="0"/>
    <s v="2020_08.xlsx"/>
    <x v="4"/>
    <x v="7"/>
  </r>
  <r>
    <s v="MonthlyTradeStatistics 2020_08.xlsx"/>
    <x v="21"/>
    <n v="318196.95"/>
    <s v="2020_08.xlsx"/>
    <x v="4"/>
    <x v="7"/>
  </r>
  <r>
    <s v="MonthlyTradeStatistics 2020_08.xlsx"/>
    <x v="22"/>
    <n v="0"/>
    <s v="2020_08.xlsx"/>
    <x v="4"/>
    <x v="7"/>
  </r>
  <r>
    <s v="MonthlyTradeStatistics 2020_08.xlsx"/>
    <x v="23"/>
    <n v="123.431"/>
    <s v="2020_08.xlsx"/>
    <x v="4"/>
    <x v="7"/>
  </r>
  <r>
    <s v="MonthlyTradeStatistics 2020_08.xlsx"/>
    <x v="24"/>
    <n v="193759.2009"/>
    <s v="2020_08.xlsx"/>
    <x v="4"/>
    <x v="7"/>
  </r>
  <r>
    <s v="MonthlyTradeStatistics 2020_08.xlsx"/>
    <x v="25"/>
    <n v="0"/>
    <s v="2020_08.xlsx"/>
    <x v="4"/>
    <x v="7"/>
  </r>
  <r>
    <s v="MonthlyTradeStatistics 2020_08.xlsx"/>
    <x v="26"/>
    <n v="125.88330000000001"/>
    <s v="2020_08.xlsx"/>
    <x v="4"/>
    <x v="7"/>
  </r>
  <r>
    <s v="MonthlyTradeStatistics 2020_08.xlsx"/>
    <x v="27"/>
    <n v="100"/>
    <s v="2020_08.xlsx"/>
    <x v="4"/>
    <x v="7"/>
  </r>
  <r>
    <s v="MonthlyTradeStatistics 2020_08.xlsx"/>
    <x v="28"/>
    <n v="183584.29029999999"/>
    <s v="2020_08.xlsx"/>
    <x v="4"/>
    <x v="7"/>
  </r>
  <r>
    <s v="MonthlyTradeStatistics 2020_08.xlsx"/>
    <x v="29"/>
    <n v="407955.17080000002"/>
    <s v="2020_08.xlsx"/>
    <x v="4"/>
    <x v="7"/>
  </r>
  <r>
    <s v="MonthlyTradeStatistics 2020_08.xlsx"/>
    <x v="30"/>
    <n v="756121.51560000004"/>
    <s v="2020_08.xlsx"/>
    <x v="4"/>
    <x v="7"/>
  </r>
  <r>
    <s v="MonthlyTradeStatistics 2020_08.xlsx"/>
    <x v="31"/>
    <n v="723.32799999999997"/>
    <s v="2020_08.xlsx"/>
    <x v="4"/>
    <x v="7"/>
  </r>
  <r>
    <s v="MonthlyTradeStatistics 2020_08.xlsx"/>
    <x v="32"/>
    <n v="60772.871500000001"/>
    <s v="2020_08.xlsx"/>
    <x v="4"/>
    <x v="7"/>
  </r>
  <r>
    <s v="MonthlyTradeStatistics 2020_08.xlsx"/>
    <x v="33"/>
    <n v="62100.0003"/>
    <s v="2020_08.xlsx"/>
    <x v="4"/>
    <x v="7"/>
  </r>
  <r>
    <s v="MonthlyTradeStatistics 2020_08.xlsx"/>
    <x v="34"/>
    <n v="0"/>
    <s v="2020_08.xlsx"/>
    <x v="4"/>
    <x v="7"/>
  </r>
  <r>
    <s v="MonthlyTradeStatistics 2020_08.xlsx"/>
    <x v="35"/>
    <n v="11401.6216"/>
    <s v="2020_08.xlsx"/>
    <x v="4"/>
    <x v="7"/>
  </r>
  <r>
    <s v="MonthlyTradeStatistics 2020_08.xlsx"/>
    <x v="36"/>
    <n v="303.56670000000003"/>
    <s v="2020_08.xlsx"/>
    <x v="4"/>
    <x v="7"/>
  </r>
  <r>
    <s v="MonthlyTradeStatistics 2020_08.xlsx"/>
    <x v="37"/>
    <n v="246361.78260000001"/>
    <s v="2020_08.xlsx"/>
    <x v="4"/>
    <x v="7"/>
  </r>
  <r>
    <s v="MonthlyTradeStatistics 2020_08.xlsx"/>
    <x v="38"/>
    <n v="109.6"/>
    <s v="2020_08.xlsx"/>
    <x v="4"/>
    <x v="7"/>
  </r>
  <r>
    <s v="MonthlyTradeStatistics 2020_08.xlsx"/>
    <x v="39"/>
    <n v="116675.2452"/>
    <s v="2020_08.xlsx"/>
    <x v="4"/>
    <x v="7"/>
  </r>
  <r>
    <s v="MonthlyTradeStatistics 2020_08.xlsx"/>
    <x v="40"/>
    <n v="0"/>
    <s v="2020_08.xlsx"/>
    <x v="4"/>
    <x v="7"/>
  </r>
  <r>
    <s v="MonthlyTradeStatistics 2020_08.xlsx"/>
    <x v="41"/>
    <n v="4126.2458999999999"/>
    <s v="2020_08.xlsx"/>
    <x v="4"/>
    <x v="7"/>
  </r>
  <r>
    <s v="MonthlyTradeStatistics 2020_08.xlsx"/>
    <x v="42"/>
    <n v="76977.33"/>
    <s v="2020_08.xlsx"/>
    <x v="4"/>
    <x v="7"/>
  </r>
  <r>
    <s v="MonthlyTradeStatistics 2020_08.xlsx"/>
    <x v="43"/>
    <n v="0"/>
    <s v="2020_08.xlsx"/>
    <x v="4"/>
    <x v="7"/>
  </r>
  <r>
    <s v="MonthlyTradeStatistics 2020_08.xlsx"/>
    <x v="44"/>
    <n v="507169.32449999999"/>
    <s v="2020_08.xlsx"/>
    <x v="4"/>
    <x v="7"/>
  </r>
  <r>
    <s v="MonthlyTradeStatistics 2020_08.xlsx"/>
    <x v="45"/>
    <n v="1379.6506999999999"/>
    <s v="2020_08.xlsx"/>
    <x v="4"/>
    <x v="7"/>
  </r>
  <r>
    <s v="MonthlyTradeStatistics 2020_08.xlsx"/>
    <x v="46"/>
    <n v="27377.990600000001"/>
    <s v="2020_08.xlsx"/>
    <x v="4"/>
    <x v="7"/>
  </r>
  <r>
    <s v="MonthlyTradeStatistics 2020_08.xlsx"/>
    <x v="47"/>
    <n v="3000"/>
    <s v="2020_08.xlsx"/>
    <x v="4"/>
    <x v="7"/>
  </r>
  <r>
    <s v="MonthlyTradeStatistics 2020_08.xlsx"/>
    <x v="48"/>
    <n v="130.8083"/>
    <s v="2020_08.xlsx"/>
    <x v="4"/>
    <x v="7"/>
  </r>
  <r>
    <s v="MonthlyTradeStatistics 2020_08.xlsx"/>
    <x v="49"/>
    <n v="12112.95"/>
    <s v="2020_08.xlsx"/>
    <x v="4"/>
    <x v="7"/>
  </r>
  <r>
    <s v="MonthlyTradeStatistics 2020_08.xlsx"/>
    <x v="50"/>
    <n v="20635.3891"/>
    <s v="2020_08.xlsx"/>
    <x v="4"/>
    <x v="7"/>
  </r>
  <r>
    <s v="MonthlyTradeStatistics 2020_08.xlsx"/>
    <x v="51"/>
    <n v="2820"/>
    <s v="2020_08.xlsx"/>
    <x v="4"/>
    <x v="7"/>
  </r>
  <r>
    <s v="MonthlyTradeStatistics 2020_08.xlsx"/>
    <x v="52"/>
    <n v="4000"/>
    <s v="2020_08.xlsx"/>
    <x v="4"/>
    <x v="7"/>
  </r>
  <r>
    <s v="MonthlyTradeStatistics 2020_08.xlsx"/>
    <x v="53"/>
    <n v="181.76"/>
    <s v="2020_08.xlsx"/>
    <x v="4"/>
    <x v="7"/>
  </r>
  <r>
    <s v="MonthlyTradeStatistics 2020_08.xlsx"/>
    <x v="54"/>
    <n v="519682.99"/>
    <s v="2020_08.xlsx"/>
    <x v="4"/>
    <x v="7"/>
  </r>
  <r>
    <s v="MonthlyTradeStatistics 2020_08.xlsx"/>
    <x v="55"/>
    <n v="6300"/>
    <s v="2020_08.xlsx"/>
    <x v="4"/>
    <x v="7"/>
  </r>
  <r>
    <s v="MonthlyTradeStatistics 2020_08.xlsx"/>
    <x v="56"/>
    <n v="1650000.1046"/>
    <s v="2020_08.xlsx"/>
    <x v="4"/>
    <x v="7"/>
  </r>
  <r>
    <s v="MonthlyTradeStatistics 2020_08.xlsx"/>
    <x v="57"/>
    <n v="3940.0034999999998"/>
    <s v="2020_08.xlsx"/>
    <x v="4"/>
    <x v="7"/>
  </r>
  <r>
    <s v="MonthlyTradeStatistics 2020_08.xlsx"/>
    <x v="58"/>
    <n v="4862.2"/>
    <s v="2020_08.xlsx"/>
    <x v="4"/>
    <x v="7"/>
  </r>
  <r>
    <s v="MonthlyTradeStatistics 2020_08.xlsx"/>
    <x v="59"/>
    <n v="0"/>
    <s v="2020_08.xlsx"/>
    <x v="4"/>
    <x v="7"/>
  </r>
  <r>
    <s v="MonthlyTradeStatistics 2020_09.xlsx"/>
    <x v="0"/>
    <n v="10630604.368000001"/>
    <s v="2020_09.xlsx"/>
    <x v="4"/>
    <x v="8"/>
  </r>
  <r>
    <s v="MonthlyTradeStatistics 2020_09.xlsx"/>
    <x v="1"/>
    <n v="953388.89659999998"/>
    <s v="2020_09.xlsx"/>
    <x v="4"/>
    <x v="8"/>
  </r>
  <r>
    <s v="MonthlyTradeStatistics 2020_09.xlsx"/>
    <x v="2"/>
    <n v="1890532.2577"/>
    <s v="2020_09.xlsx"/>
    <x v="4"/>
    <x v="8"/>
  </r>
  <r>
    <s v="MonthlyTradeStatistics 2020_09.xlsx"/>
    <x v="3"/>
    <n v="3790611.4802999999"/>
    <s v="2020_09.xlsx"/>
    <x v="4"/>
    <x v="8"/>
  </r>
  <r>
    <s v="MonthlyTradeStatistics 2020_09.xlsx"/>
    <x v="4"/>
    <n v="3996071.7333999998"/>
    <s v="2020_09.xlsx"/>
    <x v="4"/>
    <x v="8"/>
  </r>
  <r>
    <s v="MonthlyTradeStatistics 2020_09.xlsx"/>
    <x v="5"/>
    <n v="313.6583"/>
    <s v="2020_09.xlsx"/>
    <x v="4"/>
    <x v="8"/>
  </r>
  <r>
    <s v="MonthlyTradeStatistics 2020_09.xlsx"/>
    <x v="6"/>
    <n v="3903.5"/>
    <s v="2020_09.xlsx"/>
    <x v="4"/>
    <x v="8"/>
  </r>
  <r>
    <s v="MonthlyTradeStatistics 2020_09.xlsx"/>
    <x v="7"/>
    <n v="4232364.8622000003"/>
    <s v="2020_09.xlsx"/>
    <x v="4"/>
    <x v="8"/>
  </r>
  <r>
    <s v="MonthlyTradeStatistics 2020_09.xlsx"/>
    <x v="8"/>
    <n v="25872.75"/>
    <s v="2020_09.xlsx"/>
    <x v="4"/>
    <x v="8"/>
  </r>
  <r>
    <s v="MonthlyTradeStatistics 2020_09.xlsx"/>
    <x v="9"/>
    <n v="17602"/>
    <s v="2020_09.xlsx"/>
    <x v="4"/>
    <x v="8"/>
  </r>
  <r>
    <s v="MonthlyTradeStatistics 2020_09.xlsx"/>
    <x v="10"/>
    <n v="0"/>
    <s v="2020_09.xlsx"/>
    <x v="4"/>
    <x v="8"/>
  </r>
  <r>
    <s v="MonthlyTradeStatistics 2020_09.xlsx"/>
    <x v="11"/>
    <n v="888490.44819999998"/>
    <s v="2020_09.xlsx"/>
    <x v="4"/>
    <x v="8"/>
  </r>
  <r>
    <s v="MonthlyTradeStatistics 2020_09.xlsx"/>
    <x v="12"/>
    <n v="0"/>
    <s v="2020_09.xlsx"/>
    <x v="4"/>
    <x v="8"/>
  </r>
  <r>
    <s v="MonthlyTradeStatistics 2020_09.xlsx"/>
    <x v="13"/>
    <n v="131360.03719999999"/>
    <s v="2020_09.xlsx"/>
    <x v="4"/>
    <x v="8"/>
  </r>
  <r>
    <s v="MonthlyTradeStatistics 2020_09.xlsx"/>
    <x v="14"/>
    <n v="152241.96609999999"/>
    <s v="2020_09.xlsx"/>
    <x v="4"/>
    <x v="8"/>
  </r>
  <r>
    <s v="MonthlyTradeStatistics 2020_09.xlsx"/>
    <x v="15"/>
    <n v="1927.1832999999999"/>
    <s v="2020_09.xlsx"/>
    <x v="4"/>
    <x v="8"/>
  </r>
  <r>
    <s v="MonthlyTradeStatistics 2020_09.xlsx"/>
    <x v="16"/>
    <n v="15000"/>
    <s v="2020_09.xlsx"/>
    <x v="4"/>
    <x v="8"/>
  </r>
  <r>
    <s v="MonthlyTradeStatistics 2020_09.xlsx"/>
    <x v="17"/>
    <n v="1199.1492000000001"/>
    <s v="2020_09.xlsx"/>
    <x v="4"/>
    <x v="8"/>
  </r>
  <r>
    <s v="MonthlyTradeStatistics 2020_09.xlsx"/>
    <x v="18"/>
    <n v="45014.570800000001"/>
    <s v="2020_09.xlsx"/>
    <x v="4"/>
    <x v="8"/>
  </r>
  <r>
    <s v="MonthlyTradeStatistics 2020_09.xlsx"/>
    <x v="19"/>
    <n v="11090.3163"/>
    <s v="2020_09.xlsx"/>
    <x v="4"/>
    <x v="8"/>
  </r>
  <r>
    <s v="MonthlyTradeStatistics 2020_09.xlsx"/>
    <x v="20"/>
    <n v="0"/>
    <s v="2020_09.xlsx"/>
    <x v="4"/>
    <x v="8"/>
  </r>
  <r>
    <s v="MonthlyTradeStatistics 2020_09.xlsx"/>
    <x v="21"/>
    <n v="263362.31660000002"/>
    <s v="2020_09.xlsx"/>
    <x v="4"/>
    <x v="8"/>
  </r>
  <r>
    <s v="MonthlyTradeStatistics 2020_09.xlsx"/>
    <x v="22"/>
    <n v="0"/>
    <s v="2020_09.xlsx"/>
    <x v="4"/>
    <x v="8"/>
  </r>
  <r>
    <s v="MonthlyTradeStatistics 2020_09.xlsx"/>
    <x v="23"/>
    <n v="331.96800000000002"/>
    <s v="2020_09.xlsx"/>
    <x v="4"/>
    <x v="8"/>
  </r>
  <r>
    <s v="MonthlyTradeStatistics 2020_09.xlsx"/>
    <x v="24"/>
    <n v="158790.3168"/>
    <s v="2020_09.xlsx"/>
    <x v="4"/>
    <x v="8"/>
  </r>
  <r>
    <s v="MonthlyTradeStatistics 2020_09.xlsx"/>
    <x v="25"/>
    <n v="0"/>
    <s v="2020_09.xlsx"/>
    <x v="4"/>
    <x v="8"/>
  </r>
  <r>
    <s v="MonthlyTradeStatistics 2020_09.xlsx"/>
    <x v="26"/>
    <n v="0"/>
    <s v="2020_09.xlsx"/>
    <x v="4"/>
    <x v="8"/>
  </r>
  <r>
    <s v="MonthlyTradeStatistics 2020_09.xlsx"/>
    <x v="27"/>
    <n v="100"/>
    <s v="2020_09.xlsx"/>
    <x v="4"/>
    <x v="8"/>
  </r>
  <r>
    <s v="MonthlyTradeStatistics 2020_09.xlsx"/>
    <x v="28"/>
    <n v="139048.20970000001"/>
    <s v="2020_09.xlsx"/>
    <x v="4"/>
    <x v="8"/>
  </r>
  <r>
    <s v="MonthlyTradeStatistics 2020_09.xlsx"/>
    <x v="29"/>
    <n v="399648.72360000003"/>
    <s v="2020_09.xlsx"/>
    <x v="4"/>
    <x v="8"/>
  </r>
  <r>
    <s v="MonthlyTradeStatistics 2020_09.xlsx"/>
    <x v="30"/>
    <n v="740003.72360000003"/>
    <s v="2020_09.xlsx"/>
    <x v="4"/>
    <x v="8"/>
  </r>
  <r>
    <s v="MonthlyTradeStatistics 2020_09.xlsx"/>
    <x v="31"/>
    <n v="1458.8683000000001"/>
    <s v="2020_09.xlsx"/>
    <x v="4"/>
    <x v="8"/>
  </r>
  <r>
    <s v="MonthlyTradeStatistics 2020_09.xlsx"/>
    <x v="32"/>
    <n v="56890.618399999999"/>
    <s v="2020_09.xlsx"/>
    <x v="4"/>
    <x v="8"/>
  </r>
  <r>
    <s v="MonthlyTradeStatistics 2020_09.xlsx"/>
    <x v="33"/>
    <n v="27200.0013"/>
    <s v="2020_09.xlsx"/>
    <x v="4"/>
    <x v="8"/>
  </r>
  <r>
    <s v="MonthlyTradeStatistics 2020_09.xlsx"/>
    <x v="34"/>
    <n v="0"/>
    <s v="2020_09.xlsx"/>
    <x v="4"/>
    <x v="8"/>
  </r>
  <r>
    <s v="MonthlyTradeStatistics 2020_09.xlsx"/>
    <x v="35"/>
    <n v="11030.35"/>
    <s v="2020_09.xlsx"/>
    <x v="4"/>
    <x v="8"/>
  </r>
  <r>
    <s v="MonthlyTradeStatistics 2020_09.xlsx"/>
    <x v="36"/>
    <n v="2552.5668000000001"/>
    <s v="2020_09.xlsx"/>
    <x v="4"/>
    <x v="8"/>
  </r>
  <r>
    <s v="MonthlyTradeStatistics 2020_09.xlsx"/>
    <x v="37"/>
    <n v="191458.2898"/>
    <s v="2020_09.xlsx"/>
    <x v="4"/>
    <x v="8"/>
  </r>
  <r>
    <s v="MonthlyTradeStatistics 2020_09.xlsx"/>
    <x v="38"/>
    <n v="105.4333"/>
    <s v="2020_09.xlsx"/>
    <x v="4"/>
    <x v="8"/>
  </r>
  <r>
    <s v="MonthlyTradeStatistics 2020_09.xlsx"/>
    <x v="39"/>
    <n v="82888.456600000005"/>
    <s v="2020_09.xlsx"/>
    <x v="4"/>
    <x v="8"/>
  </r>
  <r>
    <s v="MonthlyTradeStatistics 2020_09.xlsx"/>
    <x v="40"/>
    <n v="0"/>
    <s v="2020_09.xlsx"/>
    <x v="4"/>
    <x v="8"/>
  </r>
  <r>
    <s v="MonthlyTradeStatistics 2020_09.xlsx"/>
    <x v="41"/>
    <n v="2977.5702999999999"/>
    <s v="2020_09.xlsx"/>
    <x v="4"/>
    <x v="8"/>
  </r>
  <r>
    <s v="MonthlyTradeStatistics 2020_09.xlsx"/>
    <x v="42"/>
    <n v="94257.656000000003"/>
    <s v="2020_09.xlsx"/>
    <x v="4"/>
    <x v="8"/>
  </r>
  <r>
    <s v="MonthlyTradeStatistics 2020_09.xlsx"/>
    <x v="43"/>
    <n v="0"/>
    <s v="2020_09.xlsx"/>
    <x v="4"/>
    <x v="8"/>
  </r>
  <r>
    <s v="MonthlyTradeStatistics 2020_09.xlsx"/>
    <x v="44"/>
    <n v="634013.49"/>
    <s v="2020_09.xlsx"/>
    <x v="4"/>
    <x v="8"/>
  </r>
  <r>
    <s v="MonthlyTradeStatistics 2020_09.xlsx"/>
    <x v="45"/>
    <n v="6.5519999999999996"/>
    <s v="2020_09.xlsx"/>
    <x v="4"/>
    <x v="8"/>
  </r>
  <r>
    <s v="MonthlyTradeStatistics 2020_09.xlsx"/>
    <x v="46"/>
    <n v="71574.675199999998"/>
    <s v="2020_09.xlsx"/>
    <x v="4"/>
    <x v="8"/>
  </r>
  <r>
    <s v="MonthlyTradeStatistics 2020_09.xlsx"/>
    <x v="47"/>
    <n v="3000"/>
    <s v="2020_09.xlsx"/>
    <x v="4"/>
    <x v="8"/>
  </r>
  <r>
    <s v="MonthlyTradeStatistics 2020_09.xlsx"/>
    <x v="48"/>
    <n v="130.8083"/>
    <s v="2020_09.xlsx"/>
    <x v="4"/>
    <x v="8"/>
  </r>
  <r>
    <s v="MonthlyTradeStatistics 2020_09.xlsx"/>
    <x v="49"/>
    <n v="29608.06"/>
    <s v="2020_09.xlsx"/>
    <x v="4"/>
    <x v="8"/>
  </r>
  <r>
    <s v="MonthlyTradeStatistics 2020_09.xlsx"/>
    <x v="50"/>
    <n v="13715.1198"/>
    <s v="2020_09.xlsx"/>
    <x v="4"/>
    <x v="8"/>
  </r>
  <r>
    <s v="MonthlyTradeStatistics 2020_09.xlsx"/>
    <x v="51"/>
    <n v="4378.3666999999996"/>
    <s v="2020_09.xlsx"/>
    <x v="4"/>
    <x v="8"/>
  </r>
  <r>
    <s v="MonthlyTradeStatistics 2020_09.xlsx"/>
    <x v="52"/>
    <n v="10000"/>
    <s v="2020_09.xlsx"/>
    <x v="4"/>
    <x v="8"/>
  </r>
  <r>
    <s v="MonthlyTradeStatistics 2020_09.xlsx"/>
    <x v="53"/>
    <n v="126.6751"/>
    <s v="2020_09.xlsx"/>
    <x v="4"/>
    <x v="8"/>
  </r>
  <r>
    <s v="MonthlyTradeStatistics 2020_09.xlsx"/>
    <x v="54"/>
    <n v="506470.01"/>
    <s v="2020_09.xlsx"/>
    <x v="4"/>
    <x v="8"/>
  </r>
  <r>
    <s v="MonthlyTradeStatistics 2020_09.xlsx"/>
    <x v="55"/>
    <n v="4200"/>
    <s v="2020_09.xlsx"/>
    <x v="4"/>
    <x v="8"/>
  </r>
  <r>
    <s v="MonthlyTradeStatistics 2020_09.xlsx"/>
    <x v="56"/>
    <n v="1650000.1046"/>
    <s v="2020_09.xlsx"/>
    <x v="4"/>
    <x v="8"/>
  </r>
  <r>
    <s v="MonthlyTradeStatistics 2020_09.xlsx"/>
    <x v="57"/>
    <n v="3529.9956000000002"/>
    <s v="2020_09.xlsx"/>
    <x v="4"/>
    <x v="8"/>
  </r>
  <r>
    <s v="MonthlyTradeStatistics 2020_09.xlsx"/>
    <x v="58"/>
    <n v="1365"/>
    <s v="2020_09.xlsx"/>
    <x v="4"/>
    <x v="8"/>
  </r>
  <r>
    <s v="MonthlyTradeStatistics 2020_09.xlsx"/>
    <x v="59"/>
    <n v="0"/>
    <s v="2020_09.xlsx"/>
    <x v="4"/>
    <x v="8"/>
  </r>
  <r>
    <s v="MonthlyTradeStatistics 2020_10.xlsx"/>
    <x v="0"/>
    <n v="10114144.619100001"/>
    <s v="2020_10.xlsx"/>
    <x v="4"/>
    <x v="9"/>
  </r>
  <r>
    <s v="MonthlyTradeStatistics 2020_10.xlsx"/>
    <x v="1"/>
    <n v="1203857.1358"/>
    <s v="2020_10.xlsx"/>
    <x v="4"/>
    <x v="9"/>
  </r>
  <r>
    <s v="MonthlyTradeStatistics 2020_10.xlsx"/>
    <x v="2"/>
    <n v="1442636.2631000001"/>
    <s v="2020_10.xlsx"/>
    <x v="4"/>
    <x v="9"/>
  </r>
  <r>
    <s v="MonthlyTradeStatistics 2020_10.xlsx"/>
    <x v="3"/>
    <n v="4134985.3481000001"/>
    <s v="2020_10.xlsx"/>
    <x v="4"/>
    <x v="9"/>
  </r>
  <r>
    <s v="MonthlyTradeStatistics 2020_10.xlsx"/>
    <x v="4"/>
    <n v="3332665.8720999998"/>
    <s v="2020_10.xlsx"/>
    <x v="4"/>
    <x v="9"/>
  </r>
  <r>
    <s v="MonthlyTradeStatistics 2020_10.xlsx"/>
    <x v="5"/>
    <n v="340.82929999999999"/>
    <s v="2020_10.xlsx"/>
    <x v="4"/>
    <x v="9"/>
  </r>
  <r>
    <s v="MonthlyTradeStatistics 2020_10.xlsx"/>
    <x v="6"/>
    <n v="3663.0572000000002"/>
    <s v="2020_10.xlsx"/>
    <x v="4"/>
    <x v="9"/>
  </r>
  <r>
    <s v="MonthlyTradeStatistics 2020_10.xlsx"/>
    <x v="7"/>
    <n v="4504376.8364000004"/>
    <s v="2020_10.xlsx"/>
    <x v="4"/>
    <x v="9"/>
  </r>
  <r>
    <s v="MonthlyTradeStatistics 2020_10.xlsx"/>
    <x v="8"/>
    <n v="31525.166700000002"/>
    <s v="2020_10.xlsx"/>
    <x v="4"/>
    <x v="9"/>
  </r>
  <r>
    <s v="MonthlyTradeStatistics 2020_10.xlsx"/>
    <x v="9"/>
    <n v="14614.3333"/>
    <s v="2020_10.xlsx"/>
    <x v="4"/>
    <x v="9"/>
  </r>
  <r>
    <s v="MonthlyTradeStatistics 2020_10.xlsx"/>
    <x v="10"/>
    <n v="500"/>
    <s v="2020_10.xlsx"/>
    <x v="4"/>
    <x v="9"/>
  </r>
  <r>
    <s v="MonthlyTradeStatistics 2020_10.xlsx"/>
    <x v="11"/>
    <n v="1039015.6785"/>
    <s v="2020_10.xlsx"/>
    <x v="4"/>
    <x v="9"/>
  </r>
  <r>
    <s v="MonthlyTradeStatistics 2020_10.xlsx"/>
    <x v="12"/>
    <n v="0"/>
    <s v="2020_10.xlsx"/>
    <x v="4"/>
    <x v="9"/>
  </r>
  <r>
    <s v="MonthlyTradeStatistics 2020_10.xlsx"/>
    <x v="13"/>
    <n v="24245.300299999999"/>
    <s v="2020_10.xlsx"/>
    <x v="4"/>
    <x v="9"/>
  </r>
  <r>
    <s v="MonthlyTradeStatistics 2020_10.xlsx"/>
    <x v="14"/>
    <n v="70611.5"/>
    <s v="2020_10.xlsx"/>
    <x v="4"/>
    <x v="9"/>
  </r>
  <r>
    <s v="MonthlyTradeStatistics 2020_10.xlsx"/>
    <x v="15"/>
    <n v="1927.1832999999999"/>
    <s v="2020_10.xlsx"/>
    <x v="4"/>
    <x v="9"/>
  </r>
  <r>
    <s v="MonthlyTradeStatistics 2020_10.xlsx"/>
    <x v="16"/>
    <n v="10000"/>
    <s v="2020_10.xlsx"/>
    <x v="4"/>
    <x v="9"/>
  </r>
  <r>
    <s v="MonthlyTradeStatistics 2020_10.xlsx"/>
    <x v="17"/>
    <n v="950.89329999999995"/>
    <s v="2020_10.xlsx"/>
    <x v="4"/>
    <x v="9"/>
  </r>
  <r>
    <s v="MonthlyTradeStatistics 2020_10.xlsx"/>
    <x v="18"/>
    <n v="64274.140099999997"/>
    <s v="2020_10.xlsx"/>
    <x v="4"/>
    <x v="9"/>
  </r>
  <r>
    <s v="MonthlyTradeStatistics 2020_10.xlsx"/>
    <x v="19"/>
    <n v="10079.255499999999"/>
    <s v="2020_10.xlsx"/>
    <x v="4"/>
    <x v="9"/>
  </r>
  <r>
    <s v="MonthlyTradeStatistics 2020_10.xlsx"/>
    <x v="20"/>
    <n v="0"/>
    <s v="2020_10.xlsx"/>
    <x v="4"/>
    <x v="9"/>
  </r>
  <r>
    <s v="MonthlyTradeStatistics 2020_10.xlsx"/>
    <x v="21"/>
    <n v="211353.7"/>
    <s v="2020_10.xlsx"/>
    <x v="4"/>
    <x v="9"/>
  </r>
  <r>
    <s v="MonthlyTradeStatistics 2020_10.xlsx"/>
    <x v="22"/>
    <n v="0"/>
    <s v="2020_10.xlsx"/>
    <x v="4"/>
    <x v="9"/>
  </r>
  <r>
    <s v="MonthlyTradeStatistics 2020_10.xlsx"/>
    <x v="23"/>
    <n v="422.58670000000001"/>
    <s v="2020_10.xlsx"/>
    <x v="4"/>
    <x v="9"/>
  </r>
  <r>
    <s v="MonthlyTradeStatistics 2020_10.xlsx"/>
    <x v="24"/>
    <n v="78350.227400000003"/>
    <s v="2020_10.xlsx"/>
    <x v="4"/>
    <x v="9"/>
  </r>
  <r>
    <s v="MonthlyTradeStatistics 2020_10.xlsx"/>
    <x v="25"/>
    <n v="0"/>
    <s v="2020_10.xlsx"/>
    <x v="4"/>
    <x v="9"/>
  </r>
  <r>
    <s v="MonthlyTradeStatistics 2020_10.xlsx"/>
    <x v="26"/>
    <n v="7.6266999999999996"/>
    <s v="2020_10.xlsx"/>
    <x v="4"/>
    <x v="9"/>
  </r>
  <r>
    <s v="MonthlyTradeStatistics 2020_10.xlsx"/>
    <x v="27"/>
    <n v="50"/>
    <s v="2020_10.xlsx"/>
    <x v="4"/>
    <x v="9"/>
  </r>
  <r>
    <s v="MonthlyTradeStatistics 2020_10.xlsx"/>
    <x v="28"/>
    <n v="20410.437699999999"/>
    <s v="2020_10.xlsx"/>
    <x v="4"/>
    <x v="9"/>
  </r>
  <r>
    <s v="MonthlyTradeStatistics 2020_10.xlsx"/>
    <x v="29"/>
    <n v="354914.95110000001"/>
    <s v="2020_10.xlsx"/>
    <x v="4"/>
    <x v="9"/>
  </r>
  <r>
    <s v="MonthlyTradeStatistics 2020_10.xlsx"/>
    <x v="30"/>
    <n v="491669.47779999999"/>
    <s v="2020_10.xlsx"/>
    <x v="4"/>
    <x v="9"/>
  </r>
  <r>
    <s v="MonthlyTradeStatistics 2020_10.xlsx"/>
    <x v="31"/>
    <n v="447.09879999999998"/>
    <s v="2020_10.xlsx"/>
    <x v="4"/>
    <x v="9"/>
  </r>
  <r>
    <s v="MonthlyTradeStatistics 2020_10.xlsx"/>
    <x v="32"/>
    <n v="103331.0563"/>
    <s v="2020_10.xlsx"/>
    <x v="4"/>
    <x v="9"/>
  </r>
  <r>
    <s v="MonthlyTradeStatistics 2020_10.xlsx"/>
    <x v="33"/>
    <n v="25100.005300000001"/>
    <s v="2020_10.xlsx"/>
    <x v="4"/>
    <x v="9"/>
  </r>
  <r>
    <s v="MonthlyTradeStatistics 2020_10.xlsx"/>
    <x v="34"/>
    <n v="0"/>
    <s v="2020_10.xlsx"/>
    <x v="4"/>
    <x v="9"/>
  </r>
  <r>
    <s v="MonthlyTradeStatistics 2020_10.xlsx"/>
    <x v="35"/>
    <n v="5262.5834000000004"/>
    <s v="2020_10.xlsx"/>
    <x v="4"/>
    <x v="9"/>
  </r>
  <r>
    <s v="MonthlyTradeStatistics 2020_10.xlsx"/>
    <x v="36"/>
    <n v="1789.3333"/>
    <s v="2020_10.xlsx"/>
    <x v="4"/>
    <x v="9"/>
  </r>
  <r>
    <s v="MonthlyTradeStatistics 2020_10.xlsx"/>
    <x v="37"/>
    <n v="207471.1017"/>
    <s v="2020_10.xlsx"/>
    <x v="4"/>
    <x v="9"/>
  </r>
  <r>
    <s v="MonthlyTradeStatistics 2020_10.xlsx"/>
    <x v="38"/>
    <n v="156.67580000000001"/>
    <s v="2020_10.xlsx"/>
    <x v="4"/>
    <x v="9"/>
  </r>
  <r>
    <s v="MonthlyTradeStatistics 2020_10.xlsx"/>
    <x v="39"/>
    <n v="54607.3272"/>
    <s v="2020_10.xlsx"/>
    <x v="4"/>
    <x v="9"/>
  </r>
  <r>
    <s v="MonthlyTradeStatistics 2020_10.xlsx"/>
    <x v="40"/>
    <n v="0"/>
    <s v="2020_10.xlsx"/>
    <x v="4"/>
    <x v="9"/>
  </r>
  <r>
    <s v="MonthlyTradeStatistics 2020_10.xlsx"/>
    <x v="41"/>
    <n v="2241.0805999999998"/>
    <s v="2020_10.xlsx"/>
    <x v="4"/>
    <x v="9"/>
  </r>
  <r>
    <s v="MonthlyTradeStatistics 2020_10.xlsx"/>
    <x v="42"/>
    <n v="67587.67"/>
    <s v="2020_10.xlsx"/>
    <x v="4"/>
    <x v="9"/>
  </r>
  <r>
    <s v="MonthlyTradeStatistics 2020_10.xlsx"/>
    <x v="43"/>
    <n v="1.0412999999999999"/>
    <s v="2020_10.xlsx"/>
    <x v="4"/>
    <x v="9"/>
  </r>
  <r>
    <s v="MonthlyTradeStatistics 2020_10.xlsx"/>
    <x v="44"/>
    <n v="608172.82680000004"/>
    <s v="2020_10.xlsx"/>
    <x v="4"/>
    <x v="9"/>
  </r>
  <r>
    <s v="MonthlyTradeStatistics 2020_10.xlsx"/>
    <x v="45"/>
    <n v="544.73950000000002"/>
    <s v="2020_10.xlsx"/>
    <x v="4"/>
    <x v="9"/>
  </r>
  <r>
    <s v="MonthlyTradeStatistics 2020_10.xlsx"/>
    <x v="46"/>
    <n v="37683.973700000002"/>
    <s v="2020_10.xlsx"/>
    <x v="4"/>
    <x v="9"/>
  </r>
  <r>
    <s v="MonthlyTradeStatistics 2020_10.xlsx"/>
    <x v="47"/>
    <n v="4000"/>
    <s v="2020_10.xlsx"/>
    <x v="4"/>
    <x v="9"/>
  </r>
  <r>
    <s v="MonthlyTradeStatistics 2020_10.xlsx"/>
    <x v="48"/>
    <n v="130.8083"/>
    <s v="2020_10.xlsx"/>
    <x v="4"/>
    <x v="9"/>
  </r>
  <r>
    <s v="MonthlyTradeStatistics 2020_10.xlsx"/>
    <x v="49"/>
    <n v="103206.89200000001"/>
    <s v="2020_10.xlsx"/>
    <x v="4"/>
    <x v="9"/>
  </r>
  <r>
    <s v="MonthlyTradeStatistics 2020_10.xlsx"/>
    <x v="50"/>
    <n v="17584.7474"/>
    <s v="2020_10.xlsx"/>
    <x v="4"/>
    <x v="9"/>
  </r>
  <r>
    <s v="MonthlyTradeStatistics 2020_10.xlsx"/>
    <x v="51"/>
    <n v="4486.9666999999999"/>
    <s v="2020_10.xlsx"/>
    <x v="4"/>
    <x v="9"/>
  </r>
  <r>
    <s v="MonthlyTradeStatistics 2020_10.xlsx"/>
    <x v="52"/>
    <n v="1500"/>
    <s v="2020_10.xlsx"/>
    <x v="4"/>
    <x v="9"/>
  </r>
  <r>
    <s v="MonthlyTradeStatistics 2020_10.xlsx"/>
    <x v="53"/>
    <n v="166.21010000000001"/>
    <s v="2020_10.xlsx"/>
    <x v="4"/>
    <x v="9"/>
  </r>
  <r>
    <s v="MonthlyTradeStatistics 2020_10.xlsx"/>
    <x v="54"/>
    <n v="428015"/>
    <s v="2020_10.xlsx"/>
    <x v="4"/>
    <x v="9"/>
  </r>
  <r>
    <s v="MonthlyTradeStatistics 2020_10.xlsx"/>
    <x v="55"/>
    <n v="3100"/>
    <s v="2020_10.xlsx"/>
    <x v="4"/>
    <x v="9"/>
  </r>
  <r>
    <s v="MonthlyTradeStatistics 2020_10.xlsx"/>
    <x v="56"/>
    <n v="1499999.9034"/>
    <s v="2020_10.xlsx"/>
    <x v="4"/>
    <x v="9"/>
  </r>
  <r>
    <s v="MonthlyTradeStatistics 2020_10.xlsx"/>
    <x v="57"/>
    <n v="3949.9994999999999"/>
    <s v="2020_10.xlsx"/>
    <x v="4"/>
    <x v="9"/>
  </r>
  <r>
    <s v="MonthlyTradeStatistics 2020_10.xlsx"/>
    <x v="58"/>
    <n v="304.39670000000001"/>
    <s v="2020_10.xlsx"/>
    <x v="4"/>
    <x v="9"/>
  </r>
  <r>
    <s v="MonthlyTradeStatistics 2020_10.xlsx"/>
    <x v="59"/>
    <n v="0"/>
    <s v="2020_10.xlsx"/>
    <x v="4"/>
    <x v="9"/>
  </r>
  <r>
    <s v="MonthlyTradeStatistics 2020_11.xlsx"/>
    <x v="0"/>
    <n v="10558630.8935"/>
    <s v="2020_11.xlsx"/>
    <x v="4"/>
    <x v="10"/>
  </r>
  <r>
    <s v="MonthlyTradeStatistics 2020_11.xlsx"/>
    <x v="1"/>
    <n v="1375164.0218"/>
    <s v="2020_11.xlsx"/>
    <x v="4"/>
    <x v="10"/>
  </r>
  <r>
    <s v="MonthlyTradeStatistics 2020_11.xlsx"/>
    <x v="2"/>
    <n v="1258707.1236"/>
    <s v="2020_11.xlsx"/>
    <x v="4"/>
    <x v="10"/>
  </r>
  <r>
    <s v="MonthlyTradeStatistics 2020_11.xlsx"/>
    <x v="3"/>
    <n v="4603809.4643999999"/>
    <s v="2020_11.xlsx"/>
    <x v="4"/>
    <x v="10"/>
  </r>
  <r>
    <s v="MonthlyTradeStatistics 2020_11.xlsx"/>
    <x v="4"/>
    <n v="3320950.2837"/>
    <s v="2020_11.xlsx"/>
    <x v="4"/>
    <x v="10"/>
  </r>
  <r>
    <s v="MonthlyTradeStatistics 2020_11.xlsx"/>
    <x v="5"/>
    <n v="313.91750000000002"/>
    <s v="2020_11.xlsx"/>
    <x v="4"/>
    <x v="10"/>
  </r>
  <r>
    <s v="MonthlyTradeStatistics 2020_11.xlsx"/>
    <x v="6"/>
    <n v="2752.5832999999998"/>
    <s v="2020_11.xlsx"/>
    <x v="4"/>
    <x v="10"/>
  </r>
  <r>
    <s v="MonthlyTradeStatistics 2020_11.xlsx"/>
    <x v="7"/>
    <n v="4770005.2665999997"/>
    <s v="2020_11.xlsx"/>
    <x v="4"/>
    <x v="10"/>
  </r>
  <r>
    <s v="MonthlyTradeStatistics 2020_11.xlsx"/>
    <x v="8"/>
    <n v="49966.3"/>
    <s v="2020_11.xlsx"/>
    <x v="4"/>
    <x v="10"/>
  </r>
  <r>
    <s v="MonthlyTradeStatistics 2020_11.xlsx"/>
    <x v="9"/>
    <n v="15435"/>
    <s v="2020_11.xlsx"/>
    <x v="4"/>
    <x v="10"/>
  </r>
  <r>
    <s v="MonthlyTradeStatistics 2020_11.xlsx"/>
    <x v="10"/>
    <n v="500"/>
    <s v="2020_11.xlsx"/>
    <x v="4"/>
    <x v="10"/>
  </r>
  <r>
    <s v="MonthlyTradeStatistics 2020_11.xlsx"/>
    <x v="11"/>
    <n v="1264793.3544999999"/>
    <s v="2020_11.xlsx"/>
    <x v="4"/>
    <x v="10"/>
  </r>
  <r>
    <s v="MonthlyTradeStatistics 2020_11.xlsx"/>
    <x v="12"/>
    <n v="0"/>
    <s v="2020_11.xlsx"/>
    <x v="4"/>
    <x v="10"/>
  </r>
  <r>
    <s v="MonthlyTradeStatistics 2020_11.xlsx"/>
    <x v="13"/>
    <n v="18897.007300000001"/>
    <s v="2020_11.xlsx"/>
    <x v="4"/>
    <x v="10"/>
  </r>
  <r>
    <s v="MonthlyTradeStatistics 2020_11.xlsx"/>
    <x v="14"/>
    <n v="85623.000199999995"/>
    <s v="2020_11.xlsx"/>
    <x v="4"/>
    <x v="10"/>
  </r>
  <r>
    <s v="MonthlyTradeStatistics 2020_11.xlsx"/>
    <x v="15"/>
    <n v="1927.1832999999999"/>
    <s v="2020_11.xlsx"/>
    <x v="4"/>
    <x v="10"/>
  </r>
  <r>
    <s v="MonthlyTradeStatistics 2020_11.xlsx"/>
    <x v="16"/>
    <n v="15000"/>
    <s v="2020_11.xlsx"/>
    <x v="4"/>
    <x v="10"/>
  </r>
  <r>
    <s v="MonthlyTradeStatistics 2020_11.xlsx"/>
    <x v="17"/>
    <n v="1955.8352"/>
    <s v="2020_11.xlsx"/>
    <x v="4"/>
    <x v="10"/>
  </r>
  <r>
    <s v="MonthlyTradeStatistics 2020_11.xlsx"/>
    <x v="18"/>
    <n v="37389.021099999998"/>
    <s v="2020_11.xlsx"/>
    <x v="4"/>
    <x v="10"/>
  </r>
  <r>
    <s v="MonthlyTradeStatistics 2020_11.xlsx"/>
    <x v="19"/>
    <n v="3666.3463000000002"/>
    <s v="2020_11.xlsx"/>
    <x v="4"/>
    <x v="10"/>
  </r>
  <r>
    <s v="MonthlyTradeStatistics 2020_11.xlsx"/>
    <x v="20"/>
    <n v="0"/>
    <s v="2020_11.xlsx"/>
    <x v="4"/>
    <x v="10"/>
  </r>
  <r>
    <s v="MonthlyTradeStatistics 2020_11.xlsx"/>
    <x v="21"/>
    <n v="216646.36670000001"/>
    <s v="2020_11.xlsx"/>
    <x v="4"/>
    <x v="10"/>
  </r>
  <r>
    <s v="MonthlyTradeStatistics 2020_11.xlsx"/>
    <x v="22"/>
    <n v="0"/>
    <s v="2020_11.xlsx"/>
    <x v="4"/>
    <x v="10"/>
  </r>
  <r>
    <s v="MonthlyTradeStatistics 2020_11.xlsx"/>
    <x v="23"/>
    <n v="382.93729999999999"/>
    <s v="2020_11.xlsx"/>
    <x v="4"/>
    <x v="10"/>
  </r>
  <r>
    <s v="MonthlyTradeStatistics 2020_11.xlsx"/>
    <x v="24"/>
    <n v="42592.302799999998"/>
    <s v="2020_11.xlsx"/>
    <x v="4"/>
    <x v="10"/>
  </r>
  <r>
    <s v="MonthlyTradeStatistics 2020_11.xlsx"/>
    <x v="25"/>
    <n v="0"/>
    <s v="2020_11.xlsx"/>
    <x v="4"/>
    <x v="10"/>
  </r>
  <r>
    <s v="MonthlyTradeStatistics 2020_11.xlsx"/>
    <x v="26"/>
    <n v="98.386700000000005"/>
    <s v="2020_11.xlsx"/>
    <x v="4"/>
    <x v="10"/>
  </r>
  <r>
    <s v="MonthlyTradeStatistics 2020_11.xlsx"/>
    <x v="27"/>
    <n v="100"/>
    <s v="2020_11.xlsx"/>
    <x v="4"/>
    <x v="10"/>
  </r>
  <r>
    <s v="MonthlyTradeStatistics 2020_11.xlsx"/>
    <x v="28"/>
    <n v="55551.186999999998"/>
    <s v="2020_11.xlsx"/>
    <x v="4"/>
    <x v="10"/>
  </r>
  <r>
    <s v="MonthlyTradeStatistics 2020_11.xlsx"/>
    <x v="29"/>
    <n v="318382.84940000001"/>
    <s v="2020_11.xlsx"/>
    <x v="4"/>
    <x v="10"/>
  </r>
  <r>
    <s v="MonthlyTradeStatistics 2020_11.xlsx"/>
    <x v="30"/>
    <n v="731858.3996"/>
    <s v="2020_11.xlsx"/>
    <x v="4"/>
    <x v="10"/>
  </r>
  <r>
    <s v="MonthlyTradeStatistics 2020_11.xlsx"/>
    <x v="31"/>
    <n v="759.92380000000003"/>
    <s v="2020_11.xlsx"/>
    <x v="4"/>
    <x v="10"/>
  </r>
  <r>
    <s v="MonthlyTradeStatistics 2020_11.xlsx"/>
    <x v="32"/>
    <n v="112490.6673"/>
    <s v="2020_11.xlsx"/>
    <x v="4"/>
    <x v="10"/>
  </r>
  <r>
    <s v="MonthlyTradeStatistics 2020_11.xlsx"/>
    <x v="33"/>
    <n v="46899.984700000001"/>
    <s v="2020_11.xlsx"/>
    <x v="4"/>
    <x v="10"/>
  </r>
  <r>
    <s v="MonthlyTradeStatistics 2020_11.xlsx"/>
    <x v="34"/>
    <n v="0"/>
    <s v="2020_11.xlsx"/>
    <x v="4"/>
    <x v="10"/>
  </r>
  <r>
    <s v="MonthlyTradeStatistics 2020_11.xlsx"/>
    <x v="35"/>
    <n v="1525.4266"/>
    <s v="2020_11.xlsx"/>
    <x v="4"/>
    <x v="10"/>
  </r>
  <r>
    <s v="MonthlyTradeStatistics 2020_11.xlsx"/>
    <x v="36"/>
    <n v="1566.2634"/>
    <s v="2020_11.xlsx"/>
    <x v="4"/>
    <x v="10"/>
  </r>
  <r>
    <s v="MonthlyTradeStatistics 2020_11.xlsx"/>
    <x v="37"/>
    <n v="165185.1882"/>
    <s v="2020_11.xlsx"/>
    <x v="4"/>
    <x v="10"/>
  </r>
  <r>
    <s v="MonthlyTradeStatistics 2020_11.xlsx"/>
    <x v="38"/>
    <n v="106.5"/>
    <s v="2020_11.xlsx"/>
    <x v="4"/>
    <x v="10"/>
  </r>
  <r>
    <s v="MonthlyTradeStatistics 2020_11.xlsx"/>
    <x v="39"/>
    <n v="37526.789599999996"/>
    <s v="2020_11.xlsx"/>
    <x v="4"/>
    <x v="10"/>
  </r>
  <r>
    <s v="MonthlyTradeStatistics 2020_11.xlsx"/>
    <x v="40"/>
    <n v="0"/>
    <s v="2020_11.xlsx"/>
    <x v="4"/>
    <x v="10"/>
  </r>
  <r>
    <s v="MonthlyTradeStatistics 2020_11.xlsx"/>
    <x v="41"/>
    <n v="1664.5432000000001"/>
    <s v="2020_11.xlsx"/>
    <x v="4"/>
    <x v="10"/>
  </r>
  <r>
    <s v="MonthlyTradeStatistics 2020_11.xlsx"/>
    <x v="42"/>
    <n v="60188.66"/>
    <s v="2020_11.xlsx"/>
    <x v="4"/>
    <x v="10"/>
  </r>
  <r>
    <s v="MonthlyTradeStatistics 2020_11.xlsx"/>
    <x v="43"/>
    <n v="0.8528"/>
    <s v="2020_11.xlsx"/>
    <x v="4"/>
    <x v="10"/>
  </r>
  <r>
    <s v="MonthlyTradeStatistics 2020_11.xlsx"/>
    <x v="44"/>
    <n v="497905.0748"/>
    <s v="2020_11.xlsx"/>
    <x v="4"/>
    <x v="10"/>
  </r>
  <r>
    <s v="MonthlyTradeStatistics 2020_11.xlsx"/>
    <x v="45"/>
    <n v="1049.0713000000001"/>
    <s v="2020_11.xlsx"/>
    <x v="4"/>
    <x v="10"/>
  </r>
  <r>
    <s v="MonthlyTradeStatistics 2020_11.xlsx"/>
    <x v="46"/>
    <n v="35770.1463"/>
    <s v="2020_11.xlsx"/>
    <x v="4"/>
    <x v="10"/>
  </r>
  <r>
    <s v="MonthlyTradeStatistics 2020_11.xlsx"/>
    <x v="47"/>
    <n v="2500"/>
    <s v="2020_11.xlsx"/>
    <x v="4"/>
    <x v="10"/>
  </r>
  <r>
    <s v="MonthlyTradeStatistics 2020_11.xlsx"/>
    <x v="48"/>
    <n v="130.8083"/>
    <s v="2020_11.xlsx"/>
    <x v="4"/>
    <x v="10"/>
  </r>
  <r>
    <s v="MonthlyTradeStatistics 2020_11.xlsx"/>
    <x v="49"/>
    <n v="89809.66"/>
    <s v="2020_11.xlsx"/>
    <x v="4"/>
    <x v="10"/>
  </r>
  <r>
    <s v="MonthlyTradeStatistics 2020_11.xlsx"/>
    <x v="50"/>
    <n v="24764.208299999998"/>
    <s v="2020_11.xlsx"/>
    <x v="4"/>
    <x v="10"/>
  </r>
  <r>
    <s v="MonthlyTradeStatistics 2020_11.xlsx"/>
    <x v="51"/>
    <n v="753.06669999999997"/>
    <s v="2020_11.xlsx"/>
    <x v="4"/>
    <x v="10"/>
  </r>
  <r>
    <s v="MonthlyTradeStatistics 2020_11.xlsx"/>
    <x v="52"/>
    <n v="1500"/>
    <s v="2020_11.xlsx"/>
    <x v="4"/>
    <x v="10"/>
  </r>
  <r>
    <s v="MonthlyTradeStatistics 2020_11.xlsx"/>
    <x v="53"/>
    <n v="841.74400000000003"/>
    <s v="2020_11.xlsx"/>
    <x v="4"/>
    <x v="10"/>
  </r>
  <r>
    <s v="MonthlyTradeStatistics 2020_11.xlsx"/>
    <x v="54"/>
    <n v="430324"/>
    <s v="2020_11.xlsx"/>
    <x v="4"/>
    <x v="10"/>
  </r>
  <r>
    <s v="MonthlyTradeStatistics 2020_11.xlsx"/>
    <x v="55"/>
    <n v="3100"/>
    <s v="2020_11.xlsx"/>
    <x v="4"/>
    <x v="10"/>
  </r>
  <r>
    <s v="MonthlyTradeStatistics 2020_11.xlsx"/>
    <x v="56"/>
    <n v="1400000.0326"/>
    <s v="2020_11.xlsx"/>
    <x v="4"/>
    <x v="10"/>
  </r>
  <r>
    <s v="MonthlyTradeStatistics 2020_11.xlsx"/>
    <x v="57"/>
    <n v="3940.0034999999998"/>
    <s v="2020_11.xlsx"/>
    <x v="4"/>
    <x v="10"/>
  </r>
  <r>
    <s v="MonthlyTradeStatistics 2020_11.xlsx"/>
    <x v="58"/>
    <n v="3531.0333000000001"/>
    <s v="2020_11.xlsx"/>
    <x v="4"/>
    <x v="10"/>
  </r>
  <r>
    <s v="MonthlyTradeStatistics 2020_11.xlsx"/>
    <x v="59"/>
    <n v="960"/>
    <s v="2020_11.xlsx"/>
    <x v="4"/>
    <x v="10"/>
  </r>
  <r>
    <s v="MonthlyTradeStatistics 2020_12.xlsx"/>
    <x v="0"/>
    <n v="11225757.3506"/>
    <s v="2020_12.xlsx"/>
    <x v="4"/>
    <x v="11"/>
  </r>
  <r>
    <s v="MonthlyTradeStatistics 2020_12.xlsx"/>
    <x v="1"/>
    <n v="1454602.0970999999"/>
    <s v="2020_12.xlsx"/>
    <x v="4"/>
    <x v="11"/>
  </r>
  <r>
    <s v="MonthlyTradeStatistics 2020_12.xlsx"/>
    <x v="2"/>
    <n v="1525270.601"/>
    <s v="2020_12.xlsx"/>
    <x v="4"/>
    <x v="11"/>
  </r>
  <r>
    <s v="MonthlyTradeStatistics 2020_12.xlsx"/>
    <x v="3"/>
    <n v="4255912.0100999996"/>
    <s v="2020_12.xlsx"/>
    <x v="4"/>
    <x v="11"/>
  </r>
  <r>
    <s v="MonthlyTradeStatistics 2020_12.xlsx"/>
    <x v="4"/>
    <n v="3989972.6423999998"/>
    <s v="2020_12.xlsx"/>
    <x v="4"/>
    <x v="11"/>
  </r>
  <r>
    <s v="MonthlyTradeStatistics 2020_12.xlsx"/>
    <x v="5"/>
    <n v="894.3"/>
    <s v="2020_12.xlsx"/>
    <x v="4"/>
    <x v="11"/>
  </r>
  <r>
    <s v="MonthlyTradeStatistics 2020_12.xlsx"/>
    <x v="6"/>
    <n v="1580.8667"/>
    <s v="2020_12.xlsx"/>
    <x v="4"/>
    <x v="11"/>
  </r>
  <r>
    <s v="MonthlyTradeStatistics 2020_12.xlsx"/>
    <x v="7"/>
    <n v="4409066.4818000002"/>
    <s v="2020_12.xlsx"/>
    <x v="4"/>
    <x v="11"/>
  </r>
  <r>
    <s v="MonthlyTradeStatistics 2020_12.xlsx"/>
    <x v="8"/>
    <n v="44709.866699999999"/>
    <s v="2020_12.xlsx"/>
    <x v="4"/>
    <x v="11"/>
  </r>
  <r>
    <s v="MonthlyTradeStatistics 2020_12.xlsx"/>
    <x v="9"/>
    <n v="10173.3333"/>
    <s v="2020_12.xlsx"/>
    <x v="4"/>
    <x v="11"/>
  </r>
  <r>
    <s v="MonthlyTradeStatistics 2020_12.xlsx"/>
    <x v="10"/>
    <n v="0"/>
    <s v="2020_12.xlsx"/>
    <x v="4"/>
    <x v="11"/>
  </r>
  <r>
    <s v="MonthlyTradeStatistics 2020_12.xlsx"/>
    <x v="11"/>
    <n v="1309396.6731"/>
    <s v="2020_12.xlsx"/>
    <x v="4"/>
    <x v="11"/>
  </r>
  <r>
    <s v="MonthlyTradeStatistics 2020_12.xlsx"/>
    <x v="12"/>
    <n v="0"/>
    <s v="2020_12.xlsx"/>
    <x v="4"/>
    <x v="11"/>
  </r>
  <r>
    <s v="MonthlyTradeStatistics 2020_12.xlsx"/>
    <x v="13"/>
    <n v="37590.609900000003"/>
    <s v="2020_12.xlsx"/>
    <x v="4"/>
    <x v="11"/>
  </r>
  <r>
    <s v="MonthlyTradeStatistics 2020_12.xlsx"/>
    <x v="14"/>
    <n v="14617.2667"/>
    <s v="2020_12.xlsx"/>
    <x v="4"/>
    <x v="11"/>
  </r>
  <r>
    <s v="MonthlyTradeStatistics 2020_12.xlsx"/>
    <x v="15"/>
    <n v="1927.1832999999999"/>
    <s v="2020_12.xlsx"/>
    <x v="4"/>
    <x v="11"/>
  </r>
  <r>
    <s v="MonthlyTradeStatistics 2020_12.xlsx"/>
    <x v="16"/>
    <n v="10000"/>
    <s v="2020_12.xlsx"/>
    <x v="4"/>
    <x v="11"/>
  </r>
  <r>
    <s v="MonthlyTradeStatistics 2020_12.xlsx"/>
    <x v="17"/>
    <n v="1325.6125"/>
    <s v="2020_12.xlsx"/>
    <x v="4"/>
    <x v="11"/>
  </r>
  <r>
    <s v="MonthlyTradeStatistics 2020_12.xlsx"/>
    <x v="18"/>
    <n v="39751.816700000003"/>
    <s v="2020_12.xlsx"/>
    <x v="4"/>
    <x v="11"/>
  </r>
  <r>
    <s v="MonthlyTradeStatistics 2020_12.xlsx"/>
    <x v="19"/>
    <n v="7141.4944999999998"/>
    <s v="2020_12.xlsx"/>
    <x v="4"/>
    <x v="11"/>
  </r>
  <r>
    <s v="MonthlyTradeStatistics 2020_12.xlsx"/>
    <x v="20"/>
    <n v="0"/>
    <s v="2020_12.xlsx"/>
    <x v="4"/>
    <x v="11"/>
  </r>
  <r>
    <s v="MonthlyTradeStatistics 2020_12.xlsx"/>
    <x v="21"/>
    <n v="193664.21669999999"/>
    <s v="2020_12.xlsx"/>
    <x v="4"/>
    <x v="11"/>
  </r>
  <r>
    <s v="MonthlyTradeStatistics 2020_12.xlsx"/>
    <x v="22"/>
    <n v="0"/>
    <s v="2020_12.xlsx"/>
    <x v="4"/>
    <x v="11"/>
  </r>
  <r>
    <s v="MonthlyTradeStatistics 2020_12.xlsx"/>
    <x v="23"/>
    <n v="504.92439999999999"/>
    <s v="2020_12.xlsx"/>
    <x v="4"/>
    <x v="11"/>
  </r>
  <r>
    <s v="MonthlyTradeStatistics 2020_12.xlsx"/>
    <x v="24"/>
    <n v="90077.275399999999"/>
    <s v="2020_12.xlsx"/>
    <x v="4"/>
    <x v="11"/>
  </r>
  <r>
    <s v="MonthlyTradeStatistics 2020_12.xlsx"/>
    <x v="25"/>
    <n v="0"/>
    <s v="2020_12.xlsx"/>
    <x v="4"/>
    <x v="11"/>
  </r>
  <r>
    <s v="MonthlyTradeStatistics 2020_12.xlsx"/>
    <x v="26"/>
    <n v="0"/>
    <s v="2020_12.xlsx"/>
    <x v="4"/>
    <x v="11"/>
  </r>
  <r>
    <s v="MonthlyTradeStatistics 2020_12.xlsx"/>
    <x v="27"/>
    <n v="100"/>
    <s v="2020_12.xlsx"/>
    <x v="4"/>
    <x v="11"/>
  </r>
  <r>
    <s v="MonthlyTradeStatistics 2020_12.xlsx"/>
    <x v="28"/>
    <n v="202453.22200000001"/>
    <s v="2020_12.xlsx"/>
    <x v="4"/>
    <x v="11"/>
  </r>
  <r>
    <s v="MonthlyTradeStatistics 2020_12.xlsx"/>
    <x v="29"/>
    <n v="322989.87800000003"/>
    <s v="2020_12.xlsx"/>
    <x v="4"/>
    <x v="11"/>
  </r>
  <r>
    <s v="MonthlyTradeStatistics 2020_12.xlsx"/>
    <x v="30"/>
    <n v="644085.29040000006"/>
    <s v="2020_12.xlsx"/>
    <x v="4"/>
    <x v="11"/>
  </r>
  <r>
    <s v="MonthlyTradeStatistics 2020_12.xlsx"/>
    <x v="31"/>
    <n v="723.65940000000001"/>
    <s v="2020_12.xlsx"/>
    <x v="4"/>
    <x v="11"/>
  </r>
  <r>
    <s v="MonthlyTradeStatistics 2020_12.xlsx"/>
    <x v="32"/>
    <n v="46709.154000000002"/>
    <s v="2020_12.xlsx"/>
    <x v="4"/>
    <x v="11"/>
  </r>
  <r>
    <s v="MonthlyTradeStatistics 2020_12.xlsx"/>
    <x v="33"/>
    <n v="93800.007299999997"/>
    <s v="2020_12.xlsx"/>
    <x v="4"/>
    <x v="11"/>
  </r>
  <r>
    <s v="MonthlyTradeStatistics 2020_12.xlsx"/>
    <x v="34"/>
    <n v="0"/>
    <s v="2020_12.xlsx"/>
    <x v="4"/>
    <x v="11"/>
  </r>
  <r>
    <s v="MonthlyTradeStatistics 2020_12.xlsx"/>
    <x v="35"/>
    <n v="4871.9832999999999"/>
    <s v="2020_12.xlsx"/>
    <x v="4"/>
    <x v="11"/>
  </r>
  <r>
    <s v="MonthlyTradeStatistics 2020_12.xlsx"/>
    <x v="36"/>
    <n v="1509.6867"/>
    <s v="2020_12.xlsx"/>
    <x v="4"/>
    <x v="11"/>
  </r>
  <r>
    <s v="MonthlyTradeStatistics 2020_12.xlsx"/>
    <x v="37"/>
    <n v="211334.7004"/>
    <s v="2020_12.xlsx"/>
    <x v="4"/>
    <x v="11"/>
  </r>
  <r>
    <s v="MonthlyTradeStatistics 2020_12.xlsx"/>
    <x v="38"/>
    <n v="53.363500000000002"/>
    <s v="2020_12.xlsx"/>
    <x v="4"/>
    <x v="11"/>
  </r>
  <r>
    <s v="MonthlyTradeStatistics 2020_12.xlsx"/>
    <x v="39"/>
    <n v="106831.951"/>
    <s v="2020_12.xlsx"/>
    <x v="4"/>
    <x v="11"/>
  </r>
  <r>
    <s v="MonthlyTradeStatistics 2020_12.xlsx"/>
    <x v="40"/>
    <n v="0"/>
    <s v="2020_12.xlsx"/>
    <x v="4"/>
    <x v="11"/>
  </r>
  <r>
    <s v="MonthlyTradeStatistics 2020_12.xlsx"/>
    <x v="41"/>
    <n v="497.52609999999999"/>
    <s v="2020_12.xlsx"/>
    <x v="4"/>
    <x v="11"/>
  </r>
  <r>
    <s v="MonthlyTradeStatistics 2020_12.xlsx"/>
    <x v="42"/>
    <n v="81083.17"/>
    <s v="2020_12.xlsx"/>
    <x v="4"/>
    <x v="11"/>
  </r>
  <r>
    <s v="MonthlyTradeStatistics 2020_12.xlsx"/>
    <x v="43"/>
    <n v="0.5"/>
    <s v="2020_12.xlsx"/>
    <x v="4"/>
    <x v="11"/>
  </r>
  <r>
    <s v="MonthlyTradeStatistics 2020_12.xlsx"/>
    <x v="44"/>
    <n v="367266.63919999998"/>
    <s v="2020_12.xlsx"/>
    <x v="4"/>
    <x v="11"/>
  </r>
  <r>
    <s v="MonthlyTradeStatistics 2020_12.xlsx"/>
    <x v="45"/>
    <n v="690.63800000000003"/>
    <s v="2020_12.xlsx"/>
    <x v="4"/>
    <x v="11"/>
  </r>
  <r>
    <s v="MonthlyTradeStatistics 2020_12.xlsx"/>
    <x v="46"/>
    <n v="59222.847699999998"/>
    <s v="2020_12.xlsx"/>
    <x v="4"/>
    <x v="11"/>
  </r>
  <r>
    <s v="MonthlyTradeStatistics 2020_12.xlsx"/>
    <x v="47"/>
    <n v="2500"/>
    <s v="2020_12.xlsx"/>
    <x v="4"/>
    <x v="11"/>
  </r>
  <r>
    <s v="MonthlyTradeStatistics 2020_12.xlsx"/>
    <x v="48"/>
    <n v="130.8083"/>
    <s v="2020_12.xlsx"/>
    <x v="4"/>
    <x v="11"/>
  </r>
  <r>
    <s v="MonthlyTradeStatistics 2020_12.xlsx"/>
    <x v="49"/>
    <n v="138587.66"/>
    <s v="2020_12.xlsx"/>
    <x v="4"/>
    <x v="11"/>
  </r>
  <r>
    <s v="MonthlyTradeStatistics 2020_12.xlsx"/>
    <x v="50"/>
    <n v="26470.639800000001"/>
    <s v="2020_12.xlsx"/>
    <x v="4"/>
    <x v="11"/>
  </r>
  <r>
    <s v="MonthlyTradeStatistics 2020_12.xlsx"/>
    <x v="51"/>
    <n v="5634.7833000000001"/>
    <s v="2020_12.xlsx"/>
    <x v="4"/>
    <x v="11"/>
  </r>
  <r>
    <s v="MonthlyTradeStatistics 2020_12.xlsx"/>
    <x v="52"/>
    <n v="1000"/>
    <s v="2020_12.xlsx"/>
    <x v="4"/>
    <x v="11"/>
  </r>
  <r>
    <s v="MonthlyTradeStatistics 2020_12.xlsx"/>
    <x v="53"/>
    <n v="140.31489999999999"/>
    <s v="2020_12.xlsx"/>
    <x v="4"/>
    <x v="11"/>
  </r>
  <r>
    <s v="MonthlyTradeStatistics 2020_12.xlsx"/>
    <x v="54"/>
    <n v="422922"/>
    <s v="2020_12.xlsx"/>
    <x v="4"/>
    <x v="11"/>
  </r>
  <r>
    <s v="MonthlyTradeStatistics 2020_12.xlsx"/>
    <x v="55"/>
    <n v="2200"/>
    <s v="2020_12.xlsx"/>
    <x v="4"/>
    <x v="11"/>
  </r>
  <r>
    <s v="MonthlyTradeStatistics 2020_12.xlsx"/>
    <x v="56"/>
    <n v="2300000.0101000001"/>
    <s v="2020_12.xlsx"/>
    <x v="4"/>
    <x v="11"/>
  </r>
  <r>
    <s v="MonthlyTradeStatistics 2020_12.xlsx"/>
    <x v="57"/>
    <n v="4359.9955"/>
    <s v="2020_12.xlsx"/>
    <x v="4"/>
    <x v="11"/>
  </r>
  <r>
    <s v="MonthlyTradeStatistics 2020_12.xlsx"/>
    <x v="58"/>
    <n v="3885"/>
    <s v="2020_12.xlsx"/>
    <x v="4"/>
    <x v="11"/>
  </r>
  <r>
    <s v="MonthlyTradeStatistics 2020_12.xlsx"/>
    <x v="59"/>
    <n v="1280"/>
    <s v="2020_12.xlsx"/>
    <x v="4"/>
    <x v="11"/>
  </r>
  <r>
    <s v="MonthlyTradeStatistics 2021_01.xlsx"/>
    <x v="0"/>
    <n v="10704279.749399999"/>
    <s v="2021_01.xlsx"/>
    <x v="5"/>
    <x v="0"/>
  </r>
  <r>
    <s v="MonthlyTradeStatistics 2021_01.xlsx"/>
    <x v="1"/>
    <n v="1181339.1831"/>
    <s v="2021_01.xlsx"/>
    <x v="5"/>
    <x v="0"/>
  </r>
  <r>
    <s v="MonthlyTradeStatistics 2021_01.xlsx"/>
    <x v="2"/>
    <n v="1653448.4087"/>
    <s v="2021_01.xlsx"/>
    <x v="5"/>
    <x v="0"/>
  </r>
  <r>
    <s v="MonthlyTradeStatistics 2021_01.xlsx"/>
    <x v="3"/>
    <n v="3606843.4201000002"/>
    <s v="2021_01.xlsx"/>
    <x v="5"/>
    <x v="0"/>
  </r>
  <r>
    <s v="MonthlyTradeStatistics 2021_01.xlsx"/>
    <x v="4"/>
    <n v="4262648.7374999998"/>
    <s v="2021_01.xlsx"/>
    <x v="5"/>
    <x v="0"/>
  </r>
  <r>
    <s v="MonthlyTradeStatistics 2021_01.xlsx"/>
    <x v="5"/>
    <n v="1111.9254000000001"/>
    <s v="2021_01.xlsx"/>
    <x v="5"/>
    <x v="0"/>
  </r>
  <r>
    <s v="MonthlyTradeStatistics 2021_01.xlsx"/>
    <x v="6"/>
    <n v="2581.5"/>
    <s v="2021_01.xlsx"/>
    <x v="5"/>
    <x v="0"/>
  </r>
  <r>
    <s v="MonthlyTradeStatistics 2021_01.xlsx"/>
    <x v="7"/>
    <n v="3657291.2108"/>
    <s v="2021_01.xlsx"/>
    <x v="5"/>
    <x v="0"/>
  </r>
  <r>
    <s v="MonthlyTradeStatistics 2021_01.xlsx"/>
    <x v="8"/>
    <n v="22702.066699999999"/>
    <s v="2021_01.xlsx"/>
    <x v="5"/>
    <x v="0"/>
  </r>
  <r>
    <s v="MonthlyTradeStatistics 2021_01.xlsx"/>
    <x v="9"/>
    <n v="16250"/>
    <s v="2021_01.xlsx"/>
    <x v="5"/>
    <x v="0"/>
  </r>
  <r>
    <s v="MonthlyTradeStatistics 2021_01.xlsx"/>
    <x v="10"/>
    <n v="1500"/>
    <s v="2021_01.xlsx"/>
    <x v="5"/>
    <x v="0"/>
  </r>
  <r>
    <s v="MonthlyTradeStatistics 2021_01.xlsx"/>
    <x v="11"/>
    <n v="1072648.2864000001"/>
    <s v="2021_01.xlsx"/>
    <x v="5"/>
    <x v="0"/>
  </r>
  <r>
    <s v="MonthlyTradeStatistics 2021_01.xlsx"/>
    <x v="12"/>
    <n v="7.0609999999999999"/>
    <s v="2021_01.xlsx"/>
    <x v="5"/>
    <x v="0"/>
  </r>
  <r>
    <s v="MonthlyTradeStatistics 2021_01.xlsx"/>
    <x v="13"/>
    <n v="33534.226499999997"/>
    <s v="2021_01.xlsx"/>
    <x v="5"/>
    <x v="0"/>
  </r>
  <r>
    <s v="MonthlyTradeStatistics 2021_01.xlsx"/>
    <x v="14"/>
    <n v="73798.1495"/>
    <s v="2021_01.xlsx"/>
    <x v="5"/>
    <x v="0"/>
  </r>
  <r>
    <s v="MonthlyTradeStatistics 2021_01.xlsx"/>
    <x v="15"/>
    <n v="2053.4454000000001"/>
    <s v="2021_01.xlsx"/>
    <x v="5"/>
    <x v="0"/>
  </r>
  <r>
    <s v="MonthlyTradeStatistics 2021_01.xlsx"/>
    <x v="16"/>
    <n v="12000"/>
    <s v="2021_01.xlsx"/>
    <x v="5"/>
    <x v="0"/>
  </r>
  <r>
    <s v="MonthlyTradeStatistics 2021_01.xlsx"/>
    <x v="17"/>
    <n v="1134.8098"/>
    <s v="2021_01.xlsx"/>
    <x v="5"/>
    <x v="0"/>
  </r>
  <r>
    <s v="MonthlyTradeStatistics 2021_01.xlsx"/>
    <x v="18"/>
    <n v="33624.820800000001"/>
    <s v="2021_01.xlsx"/>
    <x v="5"/>
    <x v="0"/>
  </r>
  <r>
    <s v="MonthlyTradeStatistics 2021_01.xlsx"/>
    <x v="19"/>
    <n v="19010.199199999999"/>
    <s v="2021_01.xlsx"/>
    <x v="5"/>
    <x v="0"/>
  </r>
  <r>
    <s v="MonthlyTradeStatistics 2021_01.xlsx"/>
    <x v="20"/>
    <n v="0"/>
    <s v="2021_01.xlsx"/>
    <x v="5"/>
    <x v="0"/>
  </r>
  <r>
    <s v="MonthlyTradeStatistics 2021_01.xlsx"/>
    <x v="21"/>
    <n v="142562.5"/>
    <s v="2021_01.xlsx"/>
    <x v="5"/>
    <x v="0"/>
  </r>
  <r>
    <s v="MonthlyTradeStatistics 2021_01.xlsx"/>
    <x v="22"/>
    <n v="0"/>
    <s v="2021_01.xlsx"/>
    <x v="5"/>
    <x v="0"/>
  </r>
  <r>
    <s v="MonthlyTradeStatistics 2021_01.xlsx"/>
    <x v="23"/>
    <n v="644.21"/>
    <s v="2021_01.xlsx"/>
    <x v="5"/>
    <x v="0"/>
  </r>
  <r>
    <s v="MonthlyTradeStatistics 2021_01.xlsx"/>
    <x v="24"/>
    <n v="207101.0324"/>
    <s v="2021_01.xlsx"/>
    <x v="5"/>
    <x v="0"/>
  </r>
  <r>
    <s v="MonthlyTradeStatistics 2021_01.xlsx"/>
    <x v="25"/>
    <n v="0"/>
    <s v="2021_01.xlsx"/>
    <x v="5"/>
    <x v="0"/>
  </r>
  <r>
    <s v="MonthlyTradeStatistics 2021_01.xlsx"/>
    <x v="26"/>
    <n v="116.35"/>
    <s v="2021_01.xlsx"/>
    <x v="5"/>
    <x v="0"/>
  </r>
  <r>
    <s v="MonthlyTradeStatistics 2021_01.xlsx"/>
    <x v="27"/>
    <n v="99.995999999999995"/>
    <s v="2021_01.xlsx"/>
    <x v="5"/>
    <x v="0"/>
  </r>
  <r>
    <s v="MonthlyTradeStatistics 2021_01.xlsx"/>
    <x v="28"/>
    <n v="465475.64069999999"/>
    <s v="2021_01.xlsx"/>
    <x v="5"/>
    <x v="0"/>
  </r>
  <r>
    <s v="MonthlyTradeStatistics 2021_01.xlsx"/>
    <x v="29"/>
    <n v="317967.64520000003"/>
    <s v="2021_01.xlsx"/>
    <x v="5"/>
    <x v="0"/>
  </r>
  <r>
    <s v="MonthlyTradeStatistics 2021_01.xlsx"/>
    <x v="30"/>
    <n v="603782.84039999999"/>
    <s v="2021_01.xlsx"/>
    <x v="5"/>
    <x v="0"/>
  </r>
  <r>
    <s v="MonthlyTradeStatistics 2021_01.xlsx"/>
    <x v="31"/>
    <n v="747.21360000000004"/>
    <s v="2021_01.xlsx"/>
    <x v="5"/>
    <x v="0"/>
  </r>
  <r>
    <s v="MonthlyTradeStatistics 2021_01.xlsx"/>
    <x v="32"/>
    <n v="37258.456700000002"/>
    <s v="2021_01.xlsx"/>
    <x v="5"/>
    <x v="0"/>
  </r>
  <r>
    <s v="MonthlyTradeStatistics 2021_01.xlsx"/>
    <x v="33"/>
    <n v="93100.010699999999"/>
    <s v="2021_01.xlsx"/>
    <x v="5"/>
    <x v="0"/>
  </r>
  <r>
    <s v="MonthlyTradeStatistics 2021_01.xlsx"/>
    <x v="34"/>
    <n v="500"/>
    <s v="2021_01.xlsx"/>
    <x v="5"/>
    <x v="0"/>
  </r>
  <r>
    <s v="MonthlyTradeStatistics 2021_01.xlsx"/>
    <x v="35"/>
    <n v="3197.5832999999998"/>
    <s v="2021_01.xlsx"/>
    <x v="5"/>
    <x v="0"/>
  </r>
  <r>
    <s v="MonthlyTradeStatistics 2021_01.xlsx"/>
    <x v="36"/>
    <n v="1107.33"/>
    <s v="2021_01.xlsx"/>
    <x v="5"/>
    <x v="0"/>
  </r>
  <r>
    <s v="MonthlyTradeStatistics 2021_01.xlsx"/>
    <x v="37"/>
    <n v="193410.0772"/>
    <s v="2021_01.xlsx"/>
    <x v="5"/>
    <x v="0"/>
  </r>
  <r>
    <s v="MonthlyTradeStatistics 2021_01.xlsx"/>
    <x v="38"/>
    <n v="21.485800000000001"/>
    <s v="2021_01.xlsx"/>
    <x v="5"/>
    <x v="0"/>
  </r>
  <r>
    <s v="MonthlyTradeStatistics 2021_01.xlsx"/>
    <x v="39"/>
    <n v="203433.82769999999"/>
    <s v="2021_01.xlsx"/>
    <x v="5"/>
    <x v="0"/>
  </r>
  <r>
    <s v="MonthlyTradeStatistics 2021_01.xlsx"/>
    <x v="40"/>
    <n v="208.33330000000001"/>
    <s v="2021_01.xlsx"/>
    <x v="5"/>
    <x v="0"/>
  </r>
  <r>
    <s v="MonthlyTradeStatistics 2021_01.xlsx"/>
    <x v="41"/>
    <n v="444.78250000000003"/>
    <s v="2021_01.xlsx"/>
    <x v="5"/>
    <x v="0"/>
  </r>
  <r>
    <s v="MonthlyTradeStatistics 2021_01.xlsx"/>
    <x v="42"/>
    <n v="25058"/>
    <s v="2021_01.xlsx"/>
    <x v="5"/>
    <x v="0"/>
  </r>
  <r>
    <s v="MonthlyTradeStatistics 2021_01.xlsx"/>
    <x v="43"/>
    <n v="0"/>
    <s v="2021_01.xlsx"/>
    <x v="5"/>
    <x v="0"/>
  </r>
  <r>
    <s v="MonthlyTradeStatistics 2021_01.xlsx"/>
    <x v="44"/>
    <n v="150690.29800000001"/>
    <s v="2021_01.xlsx"/>
    <x v="5"/>
    <x v="0"/>
  </r>
  <r>
    <s v="MonthlyTradeStatistics 2021_01.xlsx"/>
    <x v="45"/>
    <n v="851.76"/>
    <s v="2021_01.xlsx"/>
    <x v="5"/>
    <x v="0"/>
  </r>
  <r>
    <s v="MonthlyTradeStatistics 2021_01.xlsx"/>
    <x v="46"/>
    <n v="23257.339"/>
    <s v="2021_01.xlsx"/>
    <x v="5"/>
    <x v="0"/>
  </r>
  <r>
    <s v="MonthlyTradeStatistics 2021_01.xlsx"/>
    <x v="47"/>
    <n v="2000"/>
    <s v="2021_01.xlsx"/>
    <x v="5"/>
    <x v="0"/>
  </r>
  <r>
    <s v="MonthlyTradeStatistics 2021_01.xlsx"/>
    <x v="48"/>
    <n v="133.04929999999999"/>
    <s v="2021_01.xlsx"/>
    <x v="5"/>
    <x v="0"/>
  </r>
  <r>
    <s v="MonthlyTradeStatistics 2021_01.xlsx"/>
    <x v="49"/>
    <n v="126397.44"/>
    <s v="2021_01.xlsx"/>
    <x v="5"/>
    <x v="0"/>
  </r>
  <r>
    <s v="MonthlyTradeStatistics 2021_01.xlsx"/>
    <x v="50"/>
    <n v="18758.471300000001"/>
    <s v="2021_01.xlsx"/>
    <x v="5"/>
    <x v="0"/>
  </r>
  <r>
    <s v="MonthlyTradeStatistics 2021_01.xlsx"/>
    <x v="51"/>
    <n v="2023.5333000000001"/>
    <s v="2021_01.xlsx"/>
    <x v="5"/>
    <x v="0"/>
  </r>
  <r>
    <s v="MonthlyTradeStatistics 2021_01.xlsx"/>
    <x v="52"/>
    <n v="3583.3332999999998"/>
    <s v="2021_01.xlsx"/>
    <x v="5"/>
    <x v="0"/>
  </r>
  <r>
    <s v="MonthlyTradeStatistics 2021_01.xlsx"/>
    <x v="53"/>
    <n v="142.74510000000001"/>
    <s v="2021_01.xlsx"/>
    <x v="5"/>
    <x v="0"/>
  </r>
  <r>
    <s v="MonthlyTradeStatistics 2021_01.xlsx"/>
    <x v="54"/>
    <n v="446560"/>
    <s v="2021_01.xlsx"/>
    <x v="5"/>
    <x v="0"/>
  </r>
  <r>
    <s v="MonthlyTradeStatistics 2021_01.xlsx"/>
    <x v="55"/>
    <n v="600"/>
    <s v="2021_01.xlsx"/>
    <x v="5"/>
    <x v="0"/>
  </r>
  <r>
    <s v="MonthlyTradeStatistics 2021_01.xlsx"/>
    <x v="56"/>
    <n v="2675000.0136000002"/>
    <s v="2021_01.xlsx"/>
    <x v="5"/>
    <x v="0"/>
  </r>
  <r>
    <s v="MonthlyTradeStatistics 2021_01.xlsx"/>
    <x v="57"/>
    <n v="4049.9994999999999"/>
    <s v="2021_01.xlsx"/>
    <x v="5"/>
    <x v="0"/>
  </r>
  <r>
    <s v="MonthlyTradeStatistics 2021_01.xlsx"/>
    <x v="58"/>
    <n v="3574.75"/>
    <s v="2021_01.xlsx"/>
    <x v="5"/>
    <x v="0"/>
  </r>
  <r>
    <s v="MonthlyTradeStatistics 2021_01.xlsx"/>
    <x v="59"/>
    <n v="1172"/>
    <s v="2021_01.xlsx"/>
    <x v="5"/>
    <x v="0"/>
  </r>
  <r>
    <s v="MonthlyTradeStatistics 2021_02.xlsx"/>
    <x v="0"/>
    <n v="11169710.5853"/>
    <s v="2021_02.xlsx"/>
    <x v="5"/>
    <x v="1"/>
  </r>
  <r>
    <s v="MonthlyTradeStatistics 2021_02.xlsx"/>
    <x v="1"/>
    <n v="1419557.1125"/>
    <s v="2021_02.xlsx"/>
    <x v="5"/>
    <x v="1"/>
  </r>
  <r>
    <s v="MonthlyTradeStatistics 2021_02.xlsx"/>
    <x v="2"/>
    <n v="2106472.0808000001"/>
    <s v="2021_02.xlsx"/>
    <x v="5"/>
    <x v="1"/>
  </r>
  <r>
    <s v="MonthlyTradeStatistics 2021_02.xlsx"/>
    <x v="3"/>
    <n v="3820546.9182000002"/>
    <s v="2021_02.xlsx"/>
    <x v="5"/>
    <x v="1"/>
  </r>
  <r>
    <s v="MonthlyTradeStatistics 2021_02.xlsx"/>
    <x v="4"/>
    <n v="3823134.4737999998"/>
    <s v="2021_02.xlsx"/>
    <x v="5"/>
    <x v="1"/>
  </r>
  <r>
    <s v="MonthlyTradeStatistics 2021_02.xlsx"/>
    <x v="5"/>
    <n v="172.89590000000001"/>
    <s v="2021_02.xlsx"/>
    <x v="5"/>
    <x v="1"/>
  </r>
  <r>
    <s v="MonthlyTradeStatistics 2021_02.xlsx"/>
    <x v="6"/>
    <n v="4360.1067000000003"/>
    <s v="2021_02.xlsx"/>
    <x v="5"/>
    <x v="1"/>
  </r>
  <r>
    <s v="MonthlyTradeStatistics 2021_02.xlsx"/>
    <x v="7"/>
    <n v="3972949.6107999999"/>
    <s v="2021_02.xlsx"/>
    <x v="5"/>
    <x v="1"/>
  </r>
  <r>
    <s v="MonthlyTradeStatistics 2021_02.xlsx"/>
    <x v="8"/>
    <n v="23943.633300000001"/>
    <s v="2021_02.xlsx"/>
    <x v="5"/>
    <x v="1"/>
  </r>
  <r>
    <s v="MonthlyTradeStatistics 2021_02.xlsx"/>
    <x v="9"/>
    <n v="19720"/>
    <s v="2021_02.xlsx"/>
    <x v="5"/>
    <x v="1"/>
  </r>
  <r>
    <s v="MonthlyTradeStatistics 2021_02.xlsx"/>
    <x v="10"/>
    <n v="3000"/>
    <s v="2021_02.xlsx"/>
    <x v="5"/>
    <x v="1"/>
  </r>
  <r>
    <s v="MonthlyTradeStatistics 2021_02.xlsx"/>
    <x v="11"/>
    <n v="1284761.5231999999"/>
    <s v="2021_02.xlsx"/>
    <x v="5"/>
    <x v="1"/>
  </r>
  <r>
    <s v="MonthlyTradeStatistics 2021_02.xlsx"/>
    <x v="12"/>
    <n v="7.0609999999999999"/>
    <s v="2021_02.xlsx"/>
    <x v="5"/>
    <x v="1"/>
  </r>
  <r>
    <s v="MonthlyTradeStatistics 2021_02.xlsx"/>
    <x v="13"/>
    <n v="76708.516699999993"/>
    <s v="2021_02.xlsx"/>
    <x v="5"/>
    <x v="1"/>
  </r>
  <r>
    <s v="MonthlyTradeStatistics 2021_02.xlsx"/>
    <x v="14"/>
    <n v="65790.533500000005"/>
    <s v="2021_02.xlsx"/>
    <x v="5"/>
    <x v="1"/>
  </r>
  <r>
    <s v="MonthlyTradeStatistics 2021_02.xlsx"/>
    <x v="15"/>
    <n v="2053.4454000000001"/>
    <s v="2021_02.xlsx"/>
    <x v="5"/>
    <x v="1"/>
  </r>
  <r>
    <s v="MonthlyTradeStatistics 2021_02.xlsx"/>
    <x v="16"/>
    <n v="15000"/>
    <s v="2021_02.xlsx"/>
    <x v="5"/>
    <x v="1"/>
  </r>
  <r>
    <s v="MonthlyTradeStatistics 2021_02.xlsx"/>
    <x v="17"/>
    <n v="913.26440000000002"/>
    <s v="2021_02.xlsx"/>
    <x v="5"/>
    <x v="1"/>
  </r>
  <r>
    <s v="MonthlyTradeStatistics 2021_02.xlsx"/>
    <x v="18"/>
    <n v="22822.5101"/>
    <s v="2021_02.xlsx"/>
    <x v="5"/>
    <x v="1"/>
  </r>
  <r>
    <s v="MonthlyTradeStatistics 2021_02.xlsx"/>
    <x v="19"/>
    <n v="45839.754399999998"/>
    <s v="2021_02.xlsx"/>
    <x v="5"/>
    <x v="1"/>
  </r>
  <r>
    <s v="MonthlyTradeStatistics 2021_02.xlsx"/>
    <x v="20"/>
    <n v="0"/>
    <s v="2021_02.xlsx"/>
    <x v="5"/>
    <x v="1"/>
  </r>
  <r>
    <s v="MonthlyTradeStatistics 2021_02.xlsx"/>
    <x v="21"/>
    <n v="163194.03330000001"/>
    <s v="2021_02.xlsx"/>
    <x v="5"/>
    <x v="1"/>
  </r>
  <r>
    <s v="MonthlyTradeStatistics 2021_02.xlsx"/>
    <x v="22"/>
    <n v="0"/>
    <s v="2021_02.xlsx"/>
    <x v="5"/>
    <x v="1"/>
  </r>
  <r>
    <s v="MonthlyTradeStatistics 2021_02.xlsx"/>
    <x v="23"/>
    <n v="436.86070000000001"/>
    <s v="2021_02.xlsx"/>
    <x v="5"/>
    <x v="1"/>
  </r>
  <r>
    <s v="MonthlyTradeStatistics 2021_02.xlsx"/>
    <x v="24"/>
    <n v="283016.16090000002"/>
    <s v="2021_02.xlsx"/>
    <x v="5"/>
    <x v="1"/>
  </r>
  <r>
    <s v="MonthlyTradeStatistics 2021_02.xlsx"/>
    <x v="25"/>
    <n v="0"/>
    <s v="2021_02.xlsx"/>
    <x v="5"/>
    <x v="1"/>
  </r>
  <r>
    <s v="MonthlyTradeStatistics 2021_02.xlsx"/>
    <x v="26"/>
    <n v="4.16"/>
    <s v="2021_02.xlsx"/>
    <x v="5"/>
    <x v="1"/>
  </r>
  <r>
    <s v="MonthlyTradeStatistics 2021_02.xlsx"/>
    <x v="27"/>
    <n v="30"/>
    <s v="2021_02.xlsx"/>
    <x v="5"/>
    <x v="1"/>
  </r>
  <r>
    <s v="MonthlyTradeStatistics 2021_02.xlsx"/>
    <x v="28"/>
    <n v="641748.18500000006"/>
    <s v="2021_02.xlsx"/>
    <x v="5"/>
    <x v="1"/>
  </r>
  <r>
    <s v="MonthlyTradeStatistics 2021_02.xlsx"/>
    <x v="29"/>
    <n v="555853.30550000002"/>
    <s v="2021_02.xlsx"/>
    <x v="5"/>
    <x v="1"/>
  </r>
  <r>
    <s v="MonthlyTradeStatistics 2021_02.xlsx"/>
    <x v="30"/>
    <n v="635466.64099999995"/>
    <s v="2021_02.xlsx"/>
    <x v="5"/>
    <x v="1"/>
  </r>
  <r>
    <s v="MonthlyTradeStatistics 2021_02.xlsx"/>
    <x v="31"/>
    <n v="163.67150000000001"/>
    <s v="2021_02.xlsx"/>
    <x v="5"/>
    <x v="1"/>
  </r>
  <r>
    <s v="MonthlyTradeStatistics 2021_02.xlsx"/>
    <x v="32"/>
    <n v="54755.209300000002"/>
    <s v="2021_02.xlsx"/>
    <x v="5"/>
    <x v="1"/>
  </r>
  <r>
    <s v="MonthlyTradeStatistics 2021_02.xlsx"/>
    <x v="33"/>
    <n v="61700.008600000001"/>
    <s v="2021_02.xlsx"/>
    <x v="5"/>
    <x v="1"/>
  </r>
  <r>
    <s v="MonthlyTradeStatistics 2021_02.xlsx"/>
    <x v="34"/>
    <n v="150"/>
    <s v="2021_02.xlsx"/>
    <x v="5"/>
    <x v="1"/>
  </r>
  <r>
    <s v="MonthlyTradeStatistics 2021_02.xlsx"/>
    <x v="35"/>
    <n v="1947.0166999999999"/>
    <s v="2021_02.xlsx"/>
    <x v="5"/>
    <x v="1"/>
  </r>
  <r>
    <s v="MonthlyTradeStatistics 2021_02.xlsx"/>
    <x v="36"/>
    <n v="82.548900000000003"/>
    <s v="2021_02.xlsx"/>
    <x v="5"/>
    <x v="1"/>
  </r>
  <r>
    <s v="MonthlyTradeStatistics 2021_02.xlsx"/>
    <x v="37"/>
    <n v="243120.84849999999"/>
    <s v="2021_02.xlsx"/>
    <x v="5"/>
    <x v="1"/>
  </r>
  <r>
    <s v="MonthlyTradeStatistics 2021_02.xlsx"/>
    <x v="38"/>
    <n v="111.3"/>
    <s v="2021_02.xlsx"/>
    <x v="5"/>
    <x v="1"/>
  </r>
  <r>
    <s v="MonthlyTradeStatistics 2021_02.xlsx"/>
    <x v="39"/>
    <n v="244919.5834"/>
    <s v="2021_02.xlsx"/>
    <x v="5"/>
    <x v="1"/>
  </r>
  <r>
    <s v="MonthlyTradeStatistics 2021_02.xlsx"/>
    <x v="40"/>
    <n v="0"/>
    <s v="2021_02.xlsx"/>
    <x v="5"/>
    <x v="1"/>
  </r>
  <r>
    <s v="MonthlyTradeStatistics 2021_02.xlsx"/>
    <x v="41"/>
    <n v="1491.8720000000001"/>
    <s v="2021_02.xlsx"/>
    <x v="5"/>
    <x v="1"/>
  </r>
  <r>
    <s v="MonthlyTradeStatistics 2021_02.xlsx"/>
    <x v="42"/>
    <n v="25328"/>
    <s v="2021_02.xlsx"/>
    <x v="5"/>
    <x v="1"/>
  </r>
  <r>
    <s v="MonthlyTradeStatistics 2021_02.xlsx"/>
    <x v="43"/>
    <n v="6.5"/>
    <s v="2021_02.xlsx"/>
    <x v="5"/>
    <x v="1"/>
  </r>
  <r>
    <s v="MonthlyTradeStatistics 2021_02.xlsx"/>
    <x v="44"/>
    <n v="86629.547300000006"/>
    <s v="2021_02.xlsx"/>
    <x v="5"/>
    <x v="1"/>
  </r>
  <r>
    <s v="MonthlyTradeStatistics 2021_02.xlsx"/>
    <x v="45"/>
    <n v="31.2"/>
    <s v="2021_02.xlsx"/>
    <x v="5"/>
    <x v="1"/>
  </r>
  <r>
    <s v="MonthlyTradeStatistics 2021_02.xlsx"/>
    <x v="46"/>
    <n v="18727.201799999999"/>
    <s v="2021_02.xlsx"/>
    <x v="5"/>
    <x v="1"/>
  </r>
  <r>
    <s v="MonthlyTradeStatistics 2021_02.xlsx"/>
    <x v="47"/>
    <n v="2000"/>
    <s v="2021_02.xlsx"/>
    <x v="5"/>
    <x v="1"/>
  </r>
  <r>
    <s v="MonthlyTradeStatistics 2021_02.xlsx"/>
    <x v="48"/>
    <n v="133.04929999999999"/>
    <s v="2021_02.xlsx"/>
    <x v="5"/>
    <x v="1"/>
  </r>
  <r>
    <s v="MonthlyTradeStatistics 2021_02.xlsx"/>
    <x v="49"/>
    <n v="100442.38"/>
    <s v="2021_02.xlsx"/>
    <x v="5"/>
    <x v="1"/>
  </r>
  <r>
    <s v="MonthlyTradeStatistics 2021_02.xlsx"/>
    <x v="50"/>
    <n v="23318.272000000001"/>
    <s v="2021_02.xlsx"/>
    <x v="5"/>
    <x v="1"/>
  </r>
  <r>
    <s v="MonthlyTradeStatistics 2021_02.xlsx"/>
    <x v="51"/>
    <n v="3185.1667000000002"/>
    <s v="2021_02.xlsx"/>
    <x v="5"/>
    <x v="1"/>
  </r>
  <r>
    <s v="MonthlyTradeStatistics 2021_02.xlsx"/>
    <x v="52"/>
    <n v="4816.6666999999998"/>
    <s v="2021_02.xlsx"/>
    <x v="5"/>
    <x v="1"/>
  </r>
  <r>
    <s v="MonthlyTradeStatistics 2021_02.xlsx"/>
    <x v="53"/>
    <n v="513.49950000000001"/>
    <s v="2021_02.xlsx"/>
    <x v="5"/>
    <x v="1"/>
  </r>
  <r>
    <s v="MonthlyTradeStatistics 2021_02.xlsx"/>
    <x v="54"/>
    <n v="562763"/>
    <s v="2021_02.xlsx"/>
    <x v="5"/>
    <x v="1"/>
  </r>
  <r>
    <s v="MonthlyTradeStatistics 2021_02.xlsx"/>
    <x v="55"/>
    <n v="600"/>
    <s v="2021_02.xlsx"/>
    <x v="5"/>
    <x v="1"/>
  </r>
  <r>
    <s v="MonthlyTradeStatistics 2021_02.xlsx"/>
    <x v="56"/>
    <n v="1900000.0086000001"/>
    <s v="2021_02.xlsx"/>
    <x v="5"/>
    <x v="1"/>
  </r>
  <r>
    <s v="MonthlyTradeStatistics 2021_02.xlsx"/>
    <x v="57"/>
    <n v="4979.9993999999997"/>
    <s v="2021_02.xlsx"/>
    <x v="5"/>
    <x v="1"/>
  </r>
  <r>
    <s v="MonthlyTradeStatistics 2021_02.xlsx"/>
    <x v="58"/>
    <n v="10001.8333"/>
    <s v="2021_02.xlsx"/>
    <x v="5"/>
    <x v="1"/>
  </r>
  <r>
    <s v="MonthlyTradeStatistics 2021_02.xlsx"/>
    <x v="59"/>
    <n v="0"/>
    <s v="2021_02.xlsx"/>
    <x v="5"/>
    <x v="1"/>
  </r>
  <r>
    <s v="MonthlyTradeStatistics 2021_03.xlsx"/>
    <x v="0"/>
    <n v="12660050.792300001"/>
    <s v="2021_03.xlsx"/>
    <x v="5"/>
    <x v="2"/>
  </r>
  <r>
    <s v="MonthlyTradeStatistics 2021_03.xlsx"/>
    <x v="1"/>
    <n v="1263681.3404999999"/>
    <s v="2021_03.xlsx"/>
    <x v="5"/>
    <x v="2"/>
  </r>
  <r>
    <s v="MonthlyTradeStatistics 2021_03.xlsx"/>
    <x v="2"/>
    <n v="2742435.8920999998"/>
    <s v="2021_03.xlsx"/>
    <x v="5"/>
    <x v="2"/>
  </r>
  <r>
    <s v="MonthlyTradeStatistics 2021_03.xlsx"/>
    <x v="3"/>
    <n v="3721887.7574"/>
    <s v="2021_03.xlsx"/>
    <x v="5"/>
    <x v="2"/>
  </r>
  <r>
    <s v="MonthlyTradeStatistics 2021_03.xlsx"/>
    <x v="4"/>
    <n v="4932045.8022999996"/>
    <s v="2021_03.xlsx"/>
    <x v="5"/>
    <x v="2"/>
  </r>
  <r>
    <s v="MonthlyTradeStatistics 2021_03.xlsx"/>
    <x v="5"/>
    <n v="1288.9197999999999"/>
    <s v="2021_03.xlsx"/>
    <x v="5"/>
    <x v="2"/>
  </r>
  <r>
    <s v="MonthlyTradeStatistics 2021_03.xlsx"/>
    <x v="6"/>
    <n v="2495.7667000000001"/>
    <s v="2021_03.xlsx"/>
    <x v="5"/>
    <x v="2"/>
  </r>
  <r>
    <s v="MonthlyTradeStatistics 2021_03.xlsx"/>
    <x v="7"/>
    <n v="3833416.5669999998"/>
    <s v="2021_03.xlsx"/>
    <x v="5"/>
    <x v="2"/>
  </r>
  <r>
    <s v="MonthlyTradeStatistics 2021_03.xlsx"/>
    <x v="8"/>
    <n v="23664.473300000001"/>
    <s v="2021_03.xlsx"/>
    <x v="5"/>
    <x v="2"/>
  </r>
  <r>
    <s v="MonthlyTradeStatistics 2021_03.xlsx"/>
    <x v="9"/>
    <n v="20481"/>
    <s v="2021_03.xlsx"/>
    <x v="5"/>
    <x v="2"/>
  </r>
  <r>
    <s v="MonthlyTradeStatistics 2021_03.xlsx"/>
    <x v="10"/>
    <n v="7500"/>
    <s v="2021_03.xlsx"/>
    <x v="5"/>
    <x v="2"/>
  </r>
  <r>
    <s v="MonthlyTradeStatistics 2021_03.xlsx"/>
    <x v="11"/>
    <n v="1119299.4054"/>
    <s v="2021_03.xlsx"/>
    <x v="5"/>
    <x v="2"/>
  </r>
  <r>
    <s v="MonthlyTradeStatistics 2021_03.xlsx"/>
    <x v="12"/>
    <n v="7.0609999999999999"/>
    <s v="2021_03.xlsx"/>
    <x v="5"/>
    <x v="2"/>
  </r>
  <r>
    <s v="MonthlyTradeStatistics 2021_03.xlsx"/>
    <x v="13"/>
    <n v="100632.1344"/>
    <s v="2021_03.xlsx"/>
    <x v="5"/>
    <x v="2"/>
  </r>
  <r>
    <s v="MonthlyTradeStatistics 2021_03.xlsx"/>
    <x v="14"/>
    <n v="141053.8505"/>
    <s v="2021_03.xlsx"/>
    <x v="5"/>
    <x v="2"/>
  </r>
  <r>
    <s v="MonthlyTradeStatistics 2021_03.xlsx"/>
    <x v="15"/>
    <n v="2053.4454000000001"/>
    <s v="2021_03.xlsx"/>
    <x v="5"/>
    <x v="2"/>
  </r>
  <r>
    <s v="MonthlyTradeStatistics 2021_03.xlsx"/>
    <x v="16"/>
    <n v="12000"/>
    <s v="2021_03.xlsx"/>
    <x v="5"/>
    <x v="2"/>
  </r>
  <r>
    <s v="MonthlyTradeStatistics 2021_03.xlsx"/>
    <x v="17"/>
    <n v="1304.7759000000001"/>
    <s v="2021_03.xlsx"/>
    <x v="5"/>
    <x v="2"/>
  </r>
  <r>
    <s v="MonthlyTradeStatistics 2021_03.xlsx"/>
    <x v="18"/>
    <n v="24723.811699999998"/>
    <s v="2021_03.xlsx"/>
    <x v="5"/>
    <x v="2"/>
  </r>
  <r>
    <s v="MonthlyTradeStatistics 2021_03.xlsx"/>
    <x v="19"/>
    <n v="77995.990699999995"/>
    <s v="2021_03.xlsx"/>
    <x v="5"/>
    <x v="2"/>
  </r>
  <r>
    <s v="MonthlyTradeStatistics 2021_03.xlsx"/>
    <x v="20"/>
    <n v="0"/>
    <s v="2021_03.xlsx"/>
    <x v="5"/>
    <x v="2"/>
  </r>
  <r>
    <s v="MonthlyTradeStatistics 2021_03.xlsx"/>
    <x v="21"/>
    <n v="227885.31659999999"/>
    <s v="2021_03.xlsx"/>
    <x v="5"/>
    <x v="2"/>
  </r>
  <r>
    <s v="MonthlyTradeStatistics 2021_03.xlsx"/>
    <x v="22"/>
    <n v="0"/>
    <s v="2021_03.xlsx"/>
    <x v="5"/>
    <x v="2"/>
  </r>
  <r>
    <s v="MonthlyTradeStatistics 2021_03.xlsx"/>
    <x v="23"/>
    <n v="616.74599999999998"/>
    <s v="2021_03.xlsx"/>
    <x v="5"/>
    <x v="2"/>
  </r>
  <r>
    <s v="MonthlyTradeStatistics 2021_03.xlsx"/>
    <x v="24"/>
    <n v="437286.272"/>
    <s v="2021_03.xlsx"/>
    <x v="5"/>
    <x v="2"/>
  </r>
  <r>
    <s v="MonthlyTradeStatistics 2021_03.xlsx"/>
    <x v="25"/>
    <n v="0"/>
    <s v="2021_03.xlsx"/>
    <x v="5"/>
    <x v="2"/>
  </r>
  <r>
    <s v="MonthlyTradeStatistics 2021_03.xlsx"/>
    <x v="26"/>
    <n v="0.71250000000000002"/>
    <s v="2021_03.xlsx"/>
    <x v="5"/>
    <x v="2"/>
  </r>
  <r>
    <s v="MonthlyTradeStatistics 2021_03.xlsx"/>
    <x v="27"/>
    <n v="20"/>
    <s v="2021_03.xlsx"/>
    <x v="5"/>
    <x v="2"/>
  </r>
  <r>
    <s v="MonthlyTradeStatistics 2021_03.xlsx"/>
    <x v="28"/>
    <n v="807505.9497"/>
    <s v="2021_03.xlsx"/>
    <x v="5"/>
    <x v="2"/>
  </r>
  <r>
    <s v="MonthlyTradeStatistics 2021_03.xlsx"/>
    <x v="29"/>
    <n v="678285.07680000004"/>
    <s v="2021_03.xlsx"/>
    <x v="5"/>
    <x v="2"/>
  </r>
  <r>
    <s v="MonthlyTradeStatistics 2021_03.xlsx"/>
    <x v="30"/>
    <n v="646410.30460000003"/>
    <s v="2021_03.xlsx"/>
    <x v="5"/>
    <x v="2"/>
  </r>
  <r>
    <s v="MonthlyTradeStatistics 2021_03.xlsx"/>
    <x v="31"/>
    <n v="486.31540000000001"/>
    <s v="2021_03.xlsx"/>
    <x v="5"/>
    <x v="2"/>
  </r>
  <r>
    <s v="MonthlyTradeStatistics 2021_03.xlsx"/>
    <x v="32"/>
    <n v="90336.205100000006"/>
    <s v="2021_03.xlsx"/>
    <x v="5"/>
    <x v="2"/>
  </r>
  <r>
    <s v="MonthlyTradeStatistics 2021_03.xlsx"/>
    <x v="33"/>
    <n v="74599.995699999999"/>
    <s v="2021_03.xlsx"/>
    <x v="5"/>
    <x v="2"/>
  </r>
  <r>
    <s v="MonthlyTradeStatistics 2021_03.xlsx"/>
    <x v="34"/>
    <n v="0"/>
    <s v="2021_03.xlsx"/>
    <x v="5"/>
    <x v="2"/>
  </r>
  <r>
    <s v="MonthlyTradeStatistics 2021_03.xlsx"/>
    <x v="35"/>
    <n v="2176.7840000000001"/>
    <s v="2021_03.xlsx"/>
    <x v="5"/>
    <x v="2"/>
  </r>
  <r>
    <s v="MonthlyTradeStatistics 2021_03.xlsx"/>
    <x v="36"/>
    <n v="681.11670000000004"/>
    <s v="2021_03.xlsx"/>
    <x v="5"/>
    <x v="2"/>
  </r>
  <r>
    <s v="MonthlyTradeStatistics 2021_03.xlsx"/>
    <x v="37"/>
    <n v="366184.22580000001"/>
    <s v="2021_03.xlsx"/>
    <x v="5"/>
    <x v="2"/>
  </r>
  <r>
    <s v="MonthlyTradeStatistics 2021_03.xlsx"/>
    <x v="38"/>
    <n v="65.816699999999997"/>
    <s v="2021_03.xlsx"/>
    <x v="5"/>
    <x v="2"/>
  </r>
  <r>
    <s v="MonthlyTradeStatistics 2021_03.xlsx"/>
    <x v="39"/>
    <n v="339101.09620000003"/>
    <s v="2021_03.xlsx"/>
    <x v="5"/>
    <x v="2"/>
  </r>
  <r>
    <s v="MonthlyTradeStatistics 2021_03.xlsx"/>
    <x v="40"/>
    <n v="0"/>
    <s v="2021_03.xlsx"/>
    <x v="5"/>
    <x v="2"/>
  </r>
  <r>
    <s v="MonthlyTradeStatistics 2021_03.xlsx"/>
    <x v="41"/>
    <n v="2168.8761"/>
    <s v="2021_03.xlsx"/>
    <x v="5"/>
    <x v="2"/>
  </r>
  <r>
    <s v="MonthlyTradeStatistics 2021_03.xlsx"/>
    <x v="42"/>
    <n v="30574.93"/>
    <s v="2021_03.xlsx"/>
    <x v="5"/>
    <x v="2"/>
  </r>
  <r>
    <s v="MonthlyTradeStatistics 2021_03.xlsx"/>
    <x v="43"/>
    <n v="0.25"/>
    <s v="2021_03.xlsx"/>
    <x v="5"/>
    <x v="2"/>
  </r>
  <r>
    <s v="MonthlyTradeStatistics 2021_03.xlsx"/>
    <x v="44"/>
    <n v="52639.62"/>
    <s v="2021_03.xlsx"/>
    <x v="5"/>
    <x v="2"/>
  </r>
  <r>
    <s v="MonthlyTradeStatistics 2021_03.xlsx"/>
    <x v="45"/>
    <n v="24.91"/>
    <s v="2021_03.xlsx"/>
    <x v="5"/>
    <x v="2"/>
  </r>
  <r>
    <s v="MonthlyTradeStatistics 2021_03.xlsx"/>
    <x v="46"/>
    <n v="14054.1391"/>
    <s v="2021_03.xlsx"/>
    <x v="5"/>
    <x v="2"/>
  </r>
  <r>
    <s v="MonthlyTradeStatistics 2021_03.xlsx"/>
    <x v="47"/>
    <n v="2000"/>
    <s v="2021_03.xlsx"/>
    <x v="5"/>
    <x v="2"/>
  </r>
  <r>
    <s v="MonthlyTradeStatistics 2021_03.xlsx"/>
    <x v="48"/>
    <n v="133.04929999999999"/>
    <s v="2021_03.xlsx"/>
    <x v="5"/>
    <x v="2"/>
  </r>
  <r>
    <s v="MonthlyTradeStatistics 2021_03.xlsx"/>
    <x v="49"/>
    <n v="104426.04"/>
    <s v="2021_03.xlsx"/>
    <x v="5"/>
    <x v="2"/>
  </r>
  <r>
    <s v="MonthlyTradeStatistics 2021_03.xlsx"/>
    <x v="50"/>
    <n v="15899.044599999999"/>
    <s v="2021_03.xlsx"/>
    <x v="5"/>
    <x v="2"/>
  </r>
  <r>
    <s v="MonthlyTradeStatistics 2021_03.xlsx"/>
    <x v="51"/>
    <n v="5808.2833000000001"/>
    <s v="2021_03.xlsx"/>
    <x v="5"/>
    <x v="2"/>
  </r>
  <r>
    <s v="MonthlyTradeStatistics 2021_03.xlsx"/>
    <x v="52"/>
    <n v="5681.3333000000002"/>
    <s v="2021_03.xlsx"/>
    <x v="5"/>
    <x v="2"/>
  </r>
  <r>
    <s v="MonthlyTradeStatistics 2021_03.xlsx"/>
    <x v="53"/>
    <n v="450.00150000000002"/>
    <s v="2021_03.xlsx"/>
    <x v="5"/>
    <x v="2"/>
  </r>
  <r>
    <s v="MonthlyTradeStatistics 2021_03.xlsx"/>
    <x v="54"/>
    <n v="572841"/>
    <s v="2021_03.xlsx"/>
    <x v="5"/>
    <x v="2"/>
  </r>
  <r>
    <s v="MonthlyTradeStatistics 2021_03.xlsx"/>
    <x v="55"/>
    <n v="900"/>
    <s v="2021_03.xlsx"/>
    <x v="5"/>
    <x v="2"/>
  </r>
  <r>
    <s v="MonthlyTradeStatistics 2021_03.xlsx"/>
    <x v="56"/>
    <n v="2800000.0096"/>
    <s v="2021_03.xlsx"/>
    <x v="5"/>
    <x v="2"/>
  </r>
  <r>
    <s v="MonthlyTradeStatistics 2021_03.xlsx"/>
    <x v="57"/>
    <n v="6230.0032000000001"/>
    <s v="2021_03.xlsx"/>
    <x v="5"/>
    <x v="2"/>
  </r>
  <r>
    <s v="MonthlyTradeStatistics 2021_03.xlsx"/>
    <x v="58"/>
    <n v="6660.1666999999998"/>
    <s v="2021_03.xlsx"/>
    <x v="5"/>
    <x v="2"/>
  </r>
  <r>
    <s v="MonthlyTradeStatistics 2021_03.xlsx"/>
    <x v="59"/>
    <n v="0"/>
    <s v="2021_03.xlsx"/>
    <x v="5"/>
    <x v="2"/>
  </r>
  <r>
    <s v="MonthlyTradeStatistics 2021_04.xlsx"/>
    <x v="0"/>
    <n v="11267288.897399999"/>
    <s v="2021_04.xlsx"/>
    <x v="5"/>
    <x v="3"/>
  </r>
  <r>
    <s v="MonthlyTradeStatistics 2021_04.xlsx"/>
    <x v="1"/>
    <n v="1138611.7294000001"/>
    <s v="2021_04.xlsx"/>
    <x v="5"/>
    <x v="3"/>
  </r>
  <r>
    <s v="MonthlyTradeStatistics 2021_04.xlsx"/>
    <x v="2"/>
    <n v="2634487.9923999999"/>
    <s v="2021_04.xlsx"/>
    <x v="5"/>
    <x v="3"/>
  </r>
  <r>
    <s v="MonthlyTradeStatistics 2021_04.xlsx"/>
    <x v="3"/>
    <n v="3543972.2481999998"/>
    <s v="2021_04.xlsx"/>
    <x v="5"/>
    <x v="3"/>
  </r>
  <r>
    <s v="MonthlyTradeStatistics 2021_04.xlsx"/>
    <x v="4"/>
    <n v="3950216.9273999999"/>
    <s v="2021_04.xlsx"/>
    <x v="5"/>
    <x v="3"/>
  </r>
  <r>
    <s v="MonthlyTradeStatistics 2021_04.xlsx"/>
    <x v="5"/>
    <n v="3724.6986999999999"/>
    <s v="2021_04.xlsx"/>
    <x v="5"/>
    <x v="3"/>
  </r>
  <r>
    <s v="MonthlyTradeStatistics 2021_04.xlsx"/>
    <x v="6"/>
    <n v="2573.9495000000002"/>
    <s v="2021_04.xlsx"/>
    <x v="5"/>
    <x v="3"/>
  </r>
  <r>
    <s v="MonthlyTradeStatistics 2021_04.xlsx"/>
    <x v="7"/>
    <n v="3575943.6504000002"/>
    <s v="2021_04.xlsx"/>
    <x v="5"/>
    <x v="3"/>
  </r>
  <r>
    <s v="MonthlyTradeStatistics 2021_04.xlsx"/>
    <x v="8"/>
    <n v="7466.3666999999996"/>
    <s v="2021_04.xlsx"/>
    <x v="5"/>
    <x v="3"/>
  </r>
  <r>
    <s v="MonthlyTradeStatistics 2021_04.xlsx"/>
    <x v="9"/>
    <n v="17174"/>
    <s v="2021_04.xlsx"/>
    <x v="5"/>
    <x v="3"/>
  </r>
  <r>
    <s v="MonthlyTradeStatistics 2021_04.xlsx"/>
    <x v="10"/>
    <n v="10000"/>
    <s v="2021_04.xlsx"/>
    <x v="5"/>
    <x v="3"/>
  </r>
  <r>
    <s v="MonthlyTradeStatistics 2021_04.xlsx"/>
    <x v="11"/>
    <n v="1046639.0438"/>
    <s v="2021_04.xlsx"/>
    <x v="5"/>
    <x v="3"/>
  </r>
  <r>
    <s v="MonthlyTradeStatistics 2021_04.xlsx"/>
    <x v="12"/>
    <n v="7.0609999999999999"/>
    <s v="2021_04.xlsx"/>
    <x v="5"/>
    <x v="3"/>
  </r>
  <r>
    <s v="MonthlyTradeStatistics 2021_04.xlsx"/>
    <x v="13"/>
    <n v="157620.56460000001"/>
    <s v="2021_04.xlsx"/>
    <x v="5"/>
    <x v="3"/>
  </r>
  <r>
    <s v="MonthlyTradeStatistics 2021_04.xlsx"/>
    <x v="14"/>
    <n v="72618.215899999996"/>
    <s v="2021_04.xlsx"/>
    <x v="5"/>
    <x v="3"/>
  </r>
  <r>
    <s v="MonthlyTradeStatistics 2021_04.xlsx"/>
    <x v="15"/>
    <n v="2053.4454000000001"/>
    <s v="2021_04.xlsx"/>
    <x v="5"/>
    <x v="3"/>
  </r>
  <r>
    <s v="MonthlyTradeStatistics 2021_04.xlsx"/>
    <x v="16"/>
    <n v="15000"/>
    <s v="2021_04.xlsx"/>
    <x v="5"/>
    <x v="3"/>
  </r>
  <r>
    <s v="MonthlyTradeStatistics 2021_04.xlsx"/>
    <x v="17"/>
    <n v="3606.5906"/>
    <s v="2021_04.xlsx"/>
    <x v="5"/>
    <x v="3"/>
  </r>
  <r>
    <s v="MonthlyTradeStatistics 2021_04.xlsx"/>
    <x v="18"/>
    <n v="34797.287900000003"/>
    <s v="2021_04.xlsx"/>
    <x v="5"/>
    <x v="3"/>
  </r>
  <r>
    <s v="MonthlyTradeStatistics 2021_04.xlsx"/>
    <x v="19"/>
    <n v="71697.003800000006"/>
    <s v="2021_04.xlsx"/>
    <x v="5"/>
    <x v="3"/>
  </r>
  <r>
    <s v="MonthlyTradeStatistics 2021_04.xlsx"/>
    <x v="20"/>
    <n v="0"/>
    <s v="2021_04.xlsx"/>
    <x v="5"/>
    <x v="3"/>
  </r>
  <r>
    <s v="MonthlyTradeStatistics 2021_04.xlsx"/>
    <x v="21"/>
    <n v="347056.21659999999"/>
    <s v="2021_04.xlsx"/>
    <x v="5"/>
    <x v="3"/>
  </r>
  <r>
    <s v="MonthlyTradeStatistics 2021_04.xlsx"/>
    <x v="22"/>
    <n v="0"/>
    <s v="2021_04.xlsx"/>
    <x v="5"/>
    <x v="3"/>
  </r>
  <r>
    <s v="MonthlyTradeStatistics 2021_04.xlsx"/>
    <x v="23"/>
    <n v="775.49329999999998"/>
    <s v="2021_04.xlsx"/>
    <x v="5"/>
    <x v="3"/>
  </r>
  <r>
    <s v="MonthlyTradeStatistics 2021_04.xlsx"/>
    <x v="24"/>
    <n v="410106.34600000002"/>
    <s v="2021_04.xlsx"/>
    <x v="5"/>
    <x v="3"/>
  </r>
  <r>
    <s v="MonthlyTradeStatistics 2021_04.xlsx"/>
    <x v="25"/>
    <n v="0"/>
    <s v="2021_04.xlsx"/>
    <x v="5"/>
    <x v="3"/>
  </r>
  <r>
    <s v="MonthlyTradeStatistics 2021_04.xlsx"/>
    <x v="26"/>
    <n v="0"/>
    <s v="2021_04.xlsx"/>
    <x v="5"/>
    <x v="3"/>
  </r>
  <r>
    <s v="MonthlyTradeStatistics 2021_04.xlsx"/>
    <x v="27"/>
    <n v="40"/>
    <s v="2021_04.xlsx"/>
    <x v="5"/>
    <x v="3"/>
  </r>
  <r>
    <s v="MonthlyTradeStatistics 2021_04.xlsx"/>
    <x v="28"/>
    <n v="749879.97869999998"/>
    <s v="2021_04.xlsx"/>
    <x v="5"/>
    <x v="3"/>
  </r>
  <r>
    <s v="MonthlyTradeStatistics 2021_04.xlsx"/>
    <x v="29"/>
    <n v="552515.81169999996"/>
    <s v="2021_04.xlsx"/>
    <x v="5"/>
    <x v="3"/>
  </r>
  <r>
    <s v="MonthlyTradeStatistics 2021_04.xlsx"/>
    <x v="30"/>
    <n v="433220.00339999999"/>
    <s v="2021_04.xlsx"/>
    <x v="5"/>
    <x v="3"/>
  </r>
  <r>
    <s v="MonthlyTradeStatistics 2021_04.xlsx"/>
    <x v="31"/>
    <n v="1968.998"/>
    <s v="2021_04.xlsx"/>
    <x v="5"/>
    <x v="3"/>
  </r>
  <r>
    <s v="MonthlyTradeStatistics 2021_04.xlsx"/>
    <x v="32"/>
    <n v="63327.685599999997"/>
    <s v="2021_04.xlsx"/>
    <x v="5"/>
    <x v="3"/>
  </r>
  <r>
    <s v="MonthlyTradeStatistics 2021_04.xlsx"/>
    <x v="33"/>
    <n v="96599.990699999995"/>
    <s v="2021_04.xlsx"/>
    <x v="5"/>
    <x v="3"/>
  </r>
  <r>
    <s v="MonthlyTradeStatistics 2021_04.xlsx"/>
    <x v="34"/>
    <n v="0"/>
    <s v="2021_04.xlsx"/>
    <x v="5"/>
    <x v="3"/>
  </r>
  <r>
    <s v="MonthlyTradeStatistics 2021_04.xlsx"/>
    <x v="35"/>
    <n v="0.81530000000000002"/>
    <s v="2021_04.xlsx"/>
    <x v="5"/>
    <x v="3"/>
  </r>
  <r>
    <s v="MonthlyTradeStatistics 2021_04.xlsx"/>
    <x v="36"/>
    <n v="320"/>
    <s v="2021_04.xlsx"/>
    <x v="5"/>
    <x v="3"/>
  </r>
  <r>
    <s v="MonthlyTradeStatistics 2021_04.xlsx"/>
    <x v="37"/>
    <n v="329658.60340000002"/>
    <s v="2021_04.xlsx"/>
    <x v="5"/>
    <x v="3"/>
  </r>
  <r>
    <s v="MonthlyTradeStatistics 2021_04.xlsx"/>
    <x v="38"/>
    <n v="67"/>
    <s v="2021_04.xlsx"/>
    <x v="5"/>
    <x v="3"/>
  </r>
  <r>
    <s v="MonthlyTradeStatistics 2021_04.xlsx"/>
    <x v="39"/>
    <n v="347015.33590000001"/>
    <s v="2021_04.xlsx"/>
    <x v="5"/>
    <x v="3"/>
  </r>
  <r>
    <s v="MonthlyTradeStatistics 2021_04.xlsx"/>
    <x v="40"/>
    <n v="208.33330000000001"/>
    <s v="2021_04.xlsx"/>
    <x v="5"/>
    <x v="3"/>
  </r>
  <r>
    <s v="MonthlyTradeStatistics 2021_04.xlsx"/>
    <x v="41"/>
    <n v="1647.1502"/>
    <s v="2021_04.xlsx"/>
    <x v="5"/>
    <x v="3"/>
  </r>
  <r>
    <s v="MonthlyTradeStatistics 2021_04.xlsx"/>
    <x v="42"/>
    <n v="24222.666700000002"/>
    <s v="2021_04.xlsx"/>
    <x v="5"/>
    <x v="3"/>
  </r>
  <r>
    <s v="MonthlyTradeStatistics 2021_04.xlsx"/>
    <x v="43"/>
    <n v="0"/>
    <s v="2021_04.xlsx"/>
    <x v="5"/>
    <x v="3"/>
  </r>
  <r>
    <s v="MonthlyTradeStatistics 2021_04.xlsx"/>
    <x v="44"/>
    <n v="48030.686099999999"/>
    <s v="2021_04.xlsx"/>
    <x v="5"/>
    <x v="3"/>
  </r>
  <r>
    <s v="MonthlyTradeStatistics 2021_04.xlsx"/>
    <x v="45"/>
    <n v="0"/>
    <s v="2021_04.xlsx"/>
    <x v="5"/>
    <x v="3"/>
  </r>
  <r>
    <s v="MonthlyTradeStatistics 2021_04.xlsx"/>
    <x v="46"/>
    <n v="13975.002500000001"/>
    <s v="2021_04.xlsx"/>
    <x v="5"/>
    <x v="3"/>
  </r>
  <r>
    <s v="MonthlyTradeStatistics 2021_04.xlsx"/>
    <x v="47"/>
    <n v="2000"/>
    <s v="2021_04.xlsx"/>
    <x v="5"/>
    <x v="3"/>
  </r>
  <r>
    <s v="MonthlyTradeStatistics 2021_04.xlsx"/>
    <x v="48"/>
    <n v="133.04929999999999"/>
    <s v="2021_04.xlsx"/>
    <x v="5"/>
    <x v="3"/>
  </r>
  <r>
    <s v="MonthlyTradeStatistics 2021_04.xlsx"/>
    <x v="49"/>
    <n v="54851.67"/>
    <s v="2021_04.xlsx"/>
    <x v="5"/>
    <x v="3"/>
  </r>
  <r>
    <s v="MonthlyTradeStatistics 2021_04.xlsx"/>
    <x v="50"/>
    <n v="14339.6235"/>
    <s v="2021_04.xlsx"/>
    <x v="5"/>
    <x v="3"/>
  </r>
  <r>
    <s v="MonthlyTradeStatistics 2021_04.xlsx"/>
    <x v="51"/>
    <n v="0"/>
    <s v="2021_04.xlsx"/>
    <x v="5"/>
    <x v="3"/>
  </r>
  <r>
    <s v="MonthlyTradeStatistics 2021_04.xlsx"/>
    <x v="52"/>
    <n v="4235"/>
    <s v="2021_04.xlsx"/>
    <x v="5"/>
    <x v="3"/>
  </r>
  <r>
    <s v="MonthlyTradeStatistics 2021_04.xlsx"/>
    <x v="53"/>
    <n v="218.1317"/>
    <s v="2021_04.xlsx"/>
    <x v="5"/>
    <x v="3"/>
  </r>
  <r>
    <s v="MonthlyTradeStatistics 2021_04.xlsx"/>
    <x v="54"/>
    <n v="537540"/>
    <s v="2021_04.xlsx"/>
    <x v="5"/>
    <x v="3"/>
  </r>
  <r>
    <s v="MonthlyTradeStatistics 2021_04.xlsx"/>
    <x v="55"/>
    <n v="700"/>
    <s v="2021_04.xlsx"/>
    <x v="5"/>
    <x v="3"/>
  </r>
  <r>
    <s v="MonthlyTradeStatistics 2021_04.xlsx"/>
    <x v="56"/>
    <n v="2199999.9955000002"/>
    <s v="2021_04.xlsx"/>
    <x v="5"/>
    <x v="3"/>
  </r>
  <r>
    <s v="MonthlyTradeStatistics 2021_04.xlsx"/>
    <x v="57"/>
    <n v="6639.9992000000002"/>
    <s v="2021_04.xlsx"/>
    <x v="5"/>
    <x v="3"/>
  </r>
  <r>
    <s v="MonthlyTradeStatistics 2021_04.xlsx"/>
    <x v="58"/>
    <n v="5073.4324999999999"/>
    <s v="2021_04.xlsx"/>
    <x v="5"/>
    <x v="3"/>
  </r>
  <r>
    <s v="MonthlyTradeStatistics 2021_04.xlsx"/>
    <x v="59"/>
    <n v="0"/>
    <s v="2021_04.xlsx"/>
    <x v="5"/>
    <x v="3"/>
  </r>
  <r>
    <s v="MonthlyTradeStatistics 2021_05.xlsx"/>
    <x v="0"/>
    <n v="10584169.494200001"/>
    <s v="2021_05.xlsx"/>
    <x v="5"/>
    <x v="4"/>
  </r>
  <r>
    <s v="MonthlyTradeStatistics 2021_05.xlsx"/>
    <x v="1"/>
    <n v="483305.7635"/>
    <s v="2021_05.xlsx"/>
    <x v="5"/>
    <x v="4"/>
  </r>
  <r>
    <s v="MonthlyTradeStatistics 2021_05.xlsx"/>
    <x v="2"/>
    <n v="2779407.9128999999"/>
    <s v="2021_05.xlsx"/>
    <x v="5"/>
    <x v="4"/>
  </r>
  <r>
    <s v="MonthlyTradeStatistics 2021_05.xlsx"/>
    <x v="3"/>
    <n v="3460247.5444999998"/>
    <s v="2021_05.xlsx"/>
    <x v="5"/>
    <x v="4"/>
  </r>
  <r>
    <s v="MonthlyTradeStatistics 2021_05.xlsx"/>
    <x v="4"/>
    <n v="3861208.2733"/>
    <s v="2021_05.xlsx"/>
    <x v="5"/>
    <x v="4"/>
  </r>
  <r>
    <s v="MonthlyTradeStatistics 2021_05.xlsx"/>
    <x v="5"/>
    <n v="875.75"/>
    <s v="2021_05.xlsx"/>
    <x v="5"/>
    <x v="4"/>
  </r>
  <r>
    <s v="MonthlyTradeStatistics 2021_05.xlsx"/>
    <x v="6"/>
    <n v="706.07500000000005"/>
    <s v="2021_05.xlsx"/>
    <x v="5"/>
    <x v="4"/>
  </r>
  <r>
    <s v="MonthlyTradeStatistics 2021_05.xlsx"/>
    <x v="7"/>
    <n v="3443874.4443999999"/>
    <s v="2021_05.xlsx"/>
    <x v="5"/>
    <x v="4"/>
  </r>
  <r>
    <s v="MonthlyTradeStatistics 2021_05.xlsx"/>
    <x v="8"/>
    <n v="5891.1666999999998"/>
    <s v="2021_05.xlsx"/>
    <x v="5"/>
    <x v="4"/>
  </r>
  <r>
    <s v="MonthlyTradeStatistics 2021_05.xlsx"/>
    <x v="9"/>
    <n v="12358.5"/>
    <s v="2021_05.xlsx"/>
    <x v="5"/>
    <x v="4"/>
  </r>
  <r>
    <s v="MonthlyTradeStatistics 2021_05.xlsx"/>
    <x v="10"/>
    <n v="7600"/>
    <s v="2021_05.xlsx"/>
    <x v="5"/>
    <x v="4"/>
  </r>
  <r>
    <s v="MonthlyTradeStatistics 2021_05.xlsx"/>
    <x v="11"/>
    <n v="355670.60139999999"/>
    <s v="2021_05.xlsx"/>
    <x v="5"/>
    <x v="4"/>
  </r>
  <r>
    <s v="MonthlyTradeStatistics 2021_05.xlsx"/>
    <x v="12"/>
    <n v="7.0609999999999999"/>
    <s v="2021_05.xlsx"/>
    <x v="5"/>
    <x v="4"/>
  </r>
  <r>
    <s v="MonthlyTradeStatistics 2021_05.xlsx"/>
    <x v="13"/>
    <n v="112067.4213"/>
    <s v="2021_05.xlsx"/>
    <x v="5"/>
    <x v="4"/>
  </r>
  <r>
    <s v="MonthlyTradeStatistics 2021_05.xlsx"/>
    <x v="14"/>
    <n v="100054.5834"/>
    <s v="2021_05.xlsx"/>
    <x v="5"/>
    <x v="4"/>
  </r>
  <r>
    <s v="MonthlyTradeStatistics 2021_05.xlsx"/>
    <x v="15"/>
    <n v="2053.4454000000001"/>
    <s v="2021_05.xlsx"/>
    <x v="5"/>
    <x v="4"/>
  </r>
  <r>
    <s v="MonthlyTradeStatistics 2021_05.xlsx"/>
    <x v="16"/>
    <n v="19000"/>
    <s v="2021_05.xlsx"/>
    <x v="5"/>
    <x v="4"/>
  </r>
  <r>
    <s v="MonthlyTradeStatistics 2021_05.xlsx"/>
    <x v="17"/>
    <n v="2534.9286000000002"/>
    <s v="2021_05.xlsx"/>
    <x v="5"/>
    <x v="4"/>
  </r>
  <r>
    <s v="MonthlyTradeStatistics 2021_05.xlsx"/>
    <x v="18"/>
    <n v="42905.97"/>
    <s v="2021_05.xlsx"/>
    <x v="5"/>
    <x v="4"/>
  </r>
  <r>
    <s v="MonthlyTradeStatistics 2021_05.xlsx"/>
    <x v="19"/>
    <n v="56421.406499999997"/>
    <s v="2021_05.xlsx"/>
    <x v="5"/>
    <x v="4"/>
  </r>
  <r>
    <s v="MonthlyTradeStatistics 2021_05.xlsx"/>
    <x v="20"/>
    <n v="0"/>
    <s v="2021_05.xlsx"/>
    <x v="5"/>
    <x v="4"/>
  </r>
  <r>
    <s v="MonthlyTradeStatistics 2021_05.xlsx"/>
    <x v="21"/>
    <n v="411996.6667"/>
    <s v="2021_05.xlsx"/>
    <x v="5"/>
    <x v="4"/>
  </r>
  <r>
    <s v="MonthlyTradeStatistics 2021_05.xlsx"/>
    <x v="22"/>
    <n v="0"/>
    <s v="2021_05.xlsx"/>
    <x v="5"/>
    <x v="4"/>
  </r>
  <r>
    <s v="MonthlyTradeStatistics 2021_05.xlsx"/>
    <x v="23"/>
    <n v="543.21370000000002"/>
    <s v="2021_05.xlsx"/>
    <x v="5"/>
    <x v="4"/>
  </r>
  <r>
    <s v="MonthlyTradeStatistics 2021_05.xlsx"/>
    <x v="24"/>
    <n v="546593.91449999996"/>
    <s v="2021_05.xlsx"/>
    <x v="5"/>
    <x v="4"/>
  </r>
  <r>
    <s v="MonthlyTradeStatistics 2021_05.xlsx"/>
    <x v="25"/>
    <n v="0"/>
    <s v="2021_05.xlsx"/>
    <x v="5"/>
    <x v="4"/>
  </r>
  <r>
    <s v="MonthlyTradeStatistics 2021_05.xlsx"/>
    <x v="26"/>
    <n v="29.878299999999999"/>
    <s v="2021_05.xlsx"/>
    <x v="5"/>
    <x v="4"/>
  </r>
  <r>
    <s v="MonthlyTradeStatistics 2021_05.xlsx"/>
    <x v="27"/>
    <n v="300.00389999999999"/>
    <s v="2021_05.xlsx"/>
    <x v="5"/>
    <x v="4"/>
  </r>
  <r>
    <s v="MonthlyTradeStatistics 2021_05.xlsx"/>
    <x v="28"/>
    <n v="833453.39199999999"/>
    <s v="2021_05.xlsx"/>
    <x v="5"/>
    <x v="4"/>
  </r>
  <r>
    <s v="MonthlyTradeStatistics 2021_05.xlsx"/>
    <x v="29"/>
    <n v="494515.60979999998"/>
    <s v="2021_05.xlsx"/>
    <x v="5"/>
    <x v="4"/>
  </r>
  <r>
    <s v="MonthlyTradeStatistics 2021_05.xlsx"/>
    <x v="30"/>
    <n v="482612.41700000002"/>
    <s v="2021_05.xlsx"/>
    <x v="5"/>
    <x v="4"/>
  </r>
  <r>
    <s v="MonthlyTradeStatistics 2021_05.xlsx"/>
    <x v="31"/>
    <n v="1588.6503"/>
    <s v="2021_05.xlsx"/>
    <x v="5"/>
    <x v="4"/>
  </r>
  <r>
    <s v="MonthlyTradeStatistics 2021_05.xlsx"/>
    <x v="32"/>
    <n v="74967.2788"/>
    <s v="2021_05.xlsx"/>
    <x v="5"/>
    <x v="4"/>
  </r>
  <r>
    <s v="MonthlyTradeStatistics 2021_05.xlsx"/>
    <x v="33"/>
    <n v="88400.001099999994"/>
    <s v="2021_05.xlsx"/>
    <x v="5"/>
    <x v="4"/>
  </r>
  <r>
    <s v="MonthlyTradeStatistics 2021_05.xlsx"/>
    <x v="34"/>
    <n v="0"/>
    <s v="2021_05.xlsx"/>
    <x v="5"/>
    <x v="4"/>
  </r>
  <r>
    <s v="MonthlyTradeStatistics 2021_05.xlsx"/>
    <x v="35"/>
    <n v="1.9800000000000002E-2"/>
    <s v="2021_05.xlsx"/>
    <x v="5"/>
    <x v="4"/>
  </r>
  <r>
    <s v="MonthlyTradeStatistics 2021_05.xlsx"/>
    <x v="36"/>
    <n v="193.60830000000001"/>
    <s v="2021_05.xlsx"/>
    <x v="5"/>
    <x v="4"/>
  </r>
  <r>
    <s v="MonthlyTradeStatistics 2021_05.xlsx"/>
    <x v="37"/>
    <n v="294641.57380000001"/>
    <s v="2021_05.xlsx"/>
    <x v="5"/>
    <x v="4"/>
  </r>
  <r>
    <s v="MonthlyTradeStatistics 2021_05.xlsx"/>
    <x v="38"/>
    <n v="78.0167"/>
    <s v="2021_05.xlsx"/>
    <x v="5"/>
    <x v="4"/>
  </r>
  <r>
    <s v="MonthlyTradeStatistics 2021_05.xlsx"/>
    <x v="39"/>
    <n v="343770.0465"/>
    <s v="2021_05.xlsx"/>
    <x v="5"/>
    <x v="4"/>
  </r>
  <r>
    <s v="MonthlyTradeStatistics 2021_05.xlsx"/>
    <x v="40"/>
    <n v="1022.5"/>
    <s v="2021_05.xlsx"/>
    <x v="5"/>
    <x v="4"/>
  </r>
  <r>
    <s v="MonthlyTradeStatistics 2021_05.xlsx"/>
    <x v="41"/>
    <n v="2524.6257999999998"/>
    <s v="2021_05.xlsx"/>
    <x v="5"/>
    <x v="4"/>
  </r>
  <r>
    <s v="MonthlyTradeStatistics 2021_05.xlsx"/>
    <x v="42"/>
    <n v="42530.33"/>
    <s v="2021_05.xlsx"/>
    <x v="5"/>
    <x v="4"/>
  </r>
  <r>
    <s v="MonthlyTradeStatistics 2021_05.xlsx"/>
    <x v="43"/>
    <n v="5.4166999999999996"/>
    <s v="2021_05.xlsx"/>
    <x v="5"/>
    <x v="4"/>
  </r>
  <r>
    <s v="MonthlyTradeStatistics 2021_05.xlsx"/>
    <x v="44"/>
    <n v="89188.743199999997"/>
    <s v="2021_05.xlsx"/>
    <x v="5"/>
    <x v="4"/>
  </r>
  <r>
    <s v="MonthlyTradeStatistics 2021_05.xlsx"/>
    <x v="45"/>
    <n v="0"/>
    <s v="2021_05.xlsx"/>
    <x v="5"/>
    <x v="4"/>
  </r>
  <r>
    <s v="MonthlyTradeStatistics 2021_05.xlsx"/>
    <x v="46"/>
    <n v="4467.6491999999998"/>
    <s v="2021_05.xlsx"/>
    <x v="5"/>
    <x v="4"/>
  </r>
  <r>
    <s v="MonthlyTradeStatistics 2021_05.xlsx"/>
    <x v="47"/>
    <n v="3300"/>
    <s v="2021_05.xlsx"/>
    <x v="5"/>
    <x v="4"/>
  </r>
  <r>
    <s v="MonthlyTradeStatistics 2021_05.xlsx"/>
    <x v="48"/>
    <n v="133.04929999999999"/>
    <s v="2021_05.xlsx"/>
    <x v="5"/>
    <x v="4"/>
  </r>
  <r>
    <s v="MonthlyTradeStatistics 2021_05.xlsx"/>
    <x v="49"/>
    <n v="86520.95"/>
    <s v="2021_05.xlsx"/>
    <x v="5"/>
    <x v="4"/>
  </r>
  <r>
    <s v="MonthlyTradeStatistics 2021_05.xlsx"/>
    <x v="50"/>
    <n v="11724.4702"/>
    <s v="2021_05.xlsx"/>
    <x v="5"/>
    <x v="4"/>
  </r>
  <r>
    <s v="MonthlyTradeStatistics 2021_05.xlsx"/>
    <x v="51"/>
    <n v="0"/>
    <s v="2021_05.xlsx"/>
    <x v="5"/>
    <x v="4"/>
  </r>
  <r>
    <s v="MonthlyTradeStatistics 2021_05.xlsx"/>
    <x v="52"/>
    <n v="666.66669999999999"/>
    <s v="2021_05.xlsx"/>
    <x v="5"/>
    <x v="4"/>
  </r>
  <r>
    <s v="MonthlyTradeStatistics 2021_05.xlsx"/>
    <x v="53"/>
    <n v="371.45330000000001"/>
    <s v="2021_05.xlsx"/>
    <x v="5"/>
    <x v="4"/>
  </r>
  <r>
    <s v="MonthlyTradeStatistics 2021_05.xlsx"/>
    <x v="54"/>
    <n v="494050"/>
    <s v="2021_05.xlsx"/>
    <x v="5"/>
    <x v="4"/>
  </r>
  <r>
    <s v="MonthlyTradeStatistics 2021_05.xlsx"/>
    <x v="55"/>
    <n v="600"/>
    <s v="2021_05.xlsx"/>
    <x v="5"/>
    <x v="4"/>
  </r>
  <r>
    <s v="MonthlyTradeStatistics 2021_05.xlsx"/>
    <x v="56"/>
    <n v="2099999.9912"/>
    <s v="2021_05.xlsx"/>
    <x v="5"/>
    <x v="4"/>
  </r>
  <r>
    <s v="MonthlyTradeStatistics 2021_05.xlsx"/>
    <x v="57"/>
    <n v="2180.0037000000002"/>
    <s v="2021_05.xlsx"/>
    <x v="5"/>
    <x v="4"/>
  </r>
  <r>
    <s v="MonthlyTradeStatistics 2021_05.xlsx"/>
    <x v="58"/>
    <n v="9178"/>
    <s v="2021_05.xlsx"/>
    <x v="5"/>
    <x v="4"/>
  </r>
  <r>
    <s v="MonthlyTradeStatistics 2021_05.xlsx"/>
    <x v="59"/>
    <n v="0"/>
    <s v="2021_05.xlsx"/>
    <x v="5"/>
    <x v="4"/>
  </r>
  <r>
    <s v="MonthlyTradeStatistics 2021_06.xlsx"/>
    <x v="0"/>
    <n v="11212163.7918"/>
    <s v="2021_06.xlsx"/>
    <x v="5"/>
    <x v="5"/>
  </r>
  <r>
    <s v="MonthlyTradeStatistics 2021_06.xlsx"/>
    <x v="1"/>
    <n v="1000666.0244"/>
    <s v="2021_06.xlsx"/>
    <x v="5"/>
    <x v="5"/>
  </r>
  <r>
    <s v="MonthlyTradeStatistics 2021_06.xlsx"/>
    <x v="2"/>
    <n v="2897420.3457999998"/>
    <s v="2021_06.xlsx"/>
    <x v="5"/>
    <x v="5"/>
  </r>
  <r>
    <s v="MonthlyTradeStatistics 2021_06.xlsx"/>
    <x v="3"/>
    <n v="3217014.1834"/>
    <s v="2021_06.xlsx"/>
    <x v="5"/>
    <x v="5"/>
  </r>
  <r>
    <s v="MonthlyTradeStatistics 2021_06.xlsx"/>
    <x v="4"/>
    <n v="4097063.2382"/>
    <s v="2021_06.xlsx"/>
    <x v="5"/>
    <x v="5"/>
  </r>
  <r>
    <s v="MonthlyTradeStatistics 2021_06.xlsx"/>
    <x v="5"/>
    <n v="610.19590000000005"/>
    <s v="2021_06.xlsx"/>
    <x v="5"/>
    <x v="5"/>
  </r>
  <r>
    <s v="MonthlyTradeStatistics 2021_06.xlsx"/>
    <x v="6"/>
    <n v="1321.2559000000001"/>
    <s v="2021_06.xlsx"/>
    <x v="5"/>
    <x v="5"/>
  </r>
  <r>
    <s v="MonthlyTradeStatistics 2021_06.xlsx"/>
    <x v="7"/>
    <n v="3210269.5298000001"/>
    <s v="2021_06.xlsx"/>
    <x v="5"/>
    <x v="5"/>
  </r>
  <r>
    <s v="MonthlyTradeStatistics 2021_06.xlsx"/>
    <x v="8"/>
    <n v="1290.1832999999999"/>
    <s v="2021_06.xlsx"/>
    <x v="5"/>
    <x v="5"/>
  </r>
  <r>
    <s v="MonthlyTradeStatistics 2021_06.xlsx"/>
    <x v="9"/>
    <n v="17413.7667"/>
    <s v="2021_06.xlsx"/>
    <x v="5"/>
    <x v="5"/>
  </r>
  <r>
    <s v="MonthlyTradeStatistics 2021_06.xlsx"/>
    <x v="10"/>
    <n v="1000"/>
    <s v="2021_06.xlsx"/>
    <x v="5"/>
    <x v="5"/>
  </r>
  <r>
    <s v="MonthlyTradeStatistics 2021_06.xlsx"/>
    <x v="11"/>
    <n v="903357.57319999998"/>
    <s v="2021_06.xlsx"/>
    <x v="5"/>
    <x v="5"/>
  </r>
  <r>
    <s v="MonthlyTradeStatistics 2021_06.xlsx"/>
    <x v="12"/>
    <n v="7.0609999999999999"/>
    <s v="2021_06.xlsx"/>
    <x v="5"/>
    <x v="5"/>
  </r>
  <r>
    <s v="MonthlyTradeStatistics 2021_06.xlsx"/>
    <x v="13"/>
    <n v="160411.61670000001"/>
    <s v="2021_06.xlsx"/>
    <x v="5"/>
    <x v="5"/>
  </r>
  <r>
    <s v="MonthlyTradeStatistics 2021_06.xlsx"/>
    <x v="14"/>
    <n v="44540.199699999997"/>
    <s v="2021_06.xlsx"/>
    <x v="5"/>
    <x v="5"/>
  </r>
  <r>
    <s v="MonthlyTradeStatistics 2021_06.xlsx"/>
    <x v="15"/>
    <n v="2053.4454000000001"/>
    <s v="2021_06.xlsx"/>
    <x v="5"/>
    <x v="5"/>
  </r>
  <r>
    <s v="MonthlyTradeStatistics 2021_06.xlsx"/>
    <x v="16"/>
    <n v="19600"/>
    <s v="2021_06.xlsx"/>
    <x v="5"/>
    <x v="5"/>
  </r>
  <r>
    <s v="MonthlyTradeStatistics 2021_06.xlsx"/>
    <x v="17"/>
    <n v="2837.2136999999998"/>
    <s v="2021_06.xlsx"/>
    <x v="5"/>
    <x v="5"/>
  </r>
  <r>
    <s v="MonthlyTradeStatistics 2021_06.xlsx"/>
    <x v="18"/>
    <n v="43179.835599999999"/>
    <s v="2021_06.xlsx"/>
    <x v="5"/>
    <x v="5"/>
  </r>
  <r>
    <s v="MonthlyTradeStatistics 2021_06.xlsx"/>
    <x v="19"/>
    <n v="86271.403699999995"/>
    <s v="2021_06.xlsx"/>
    <x v="5"/>
    <x v="5"/>
  </r>
  <r>
    <s v="MonthlyTradeStatistics 2021_06.xlsx"/>
    <x v="20"/>
    <n v="0"/>
    <s v="2021_06.xlsx"/>
    <x v="5"/>
    <x v="5"/>
  </r>
  <r>
    <s v="MonthlyTradeStatistics 2021_06.xlsx"/>
    <x v="21"/>
    <n v="488901.21659999999"/>
    <s v="2021_06.xlsx"/>
    <x v="5"/>
    <x v="5"/>
  </r>
  <r>
    <s v="MonthlyTradeStatistics 2021_06.xlsx"/>
    <x v="22"/>
    <n v="0"/>
    <s v="2021_06.xlsx"/>
    <x v="5"/>
    <x v="5"/>
  </r>
  <r>
    <s v="MonthlyTradeStatistics 2021_06.xlsx"/>
    <x v="23"/>
    <n v="528.57770000000005"/>
    <s v="2021_06.xlsx"/>
    <x v="5"/>
    <x v="5"/>
  </r>
  <r>
    <s v="MonthlyTradeStatistics 2021_06.xlsx"/>
    <x v="24"/>
    <n v="497289.57299999997"/>
    <s v="2021_06.xlsx"/>
    <x v="5"/>
    <x v="5"/>
  </r>
  <r>
    <s v="MonthlyTradeStatistics 2021_06.xlsx"/>
    <x v="25"/>
    <n v="0"/>
    <s v="2021_06.xlsx"/>
    <x v="5"/>
    <x v="5"/>
  </r>
  <r>
    <s v="MonthlyTradeStatistics 2021_06.xlsx"/>
    <x v="26"/>
    <n v="0"/>
    <s v="2021_06.xlsx"/>
    <x v="5"/>
    <x v="5"/>
  </r>
  <r>
    <s v="MonthlyTradeStatistics 2021_06.xlsx"/>
    <x v="27"/>
    <n v="50"/>
    <s v="2021_06.xlsx"/>
    <x v="5"/>
    <x v="5"/>
  </r>
  <r>
    <s v="MonthlyTradeStatistics 2021_06.xlsx"/>
    <x v="28"/>
    <n v="782150.35100000002"/>
    <s v="2021_06.xlsx"/>
    <x v="5"/>
    <x v="5"/>
  </r>
  <r>
    <s v="MonthlyTradeStatistics 2021_06.xlsx"/>
    <x v="29"/>
    <n v="636099.78079999995"/>
    <s v="2021_06.xlsx"/>
    <x v="5"/>
    <x v="5"/>
  </r>
  <r>
    <s v="MonthlyTradeStatistics 2021_06.xlsx"/>
    <x v="30"/>
    <n v="448069.22269999998"/>
    <s v="2021_06.xlsx"/>
    <x v="5"/>
    <x v="5"/>
  </r>
  <r>
    <s v="MonthlyTradeStatistics 2021_06.xlsx"/>
    <x v="31"/>
    <n v="1339.1771000000001"/>
    <s v="2021_06.xlsx"/>
    <x v="5"/>
    <x v="5"/>
  </r>
  <r>
    <s v="MonthlyTradeStatistics 2021_06.xlsx"/>
    <x v="32"/>
    <n v="83701.499500000005"/>
    <s v="2021_06.xlsx"/>
    <x v="5"/>
    <x v="5"/>
  </r>
  <r>
    <s v="MonthlyTradeStatistics 2021_06.xlsx"/>
    <x v="33"/>
    <n v="93100.010699999999"/>
    <s v="2021_06.xlsx"/>
    <x v="5"/>
    <x v="5"/>
  </r>
  <r>
    <s v="MonthlyTradeStatistics 2021_06.xlsx"/>
    <x v="34"/>
    <n v="0"/>
    <s v="2021_06.xlsx"/>
    <x v="5"/>
    <x v="5"/>
  </r>
  <r>
    <s v="MonthlyTradeStatistics 2021_06.xlsx"/>
    <x v="35"/>
    <n v="973.75"/>
    <s v="2021_06.xlsx"/>
    <x v="5"/>
    <x v="5"/>
  </r>
  <r>
    <s v="MonthlyTradeStatistics 2021_06.xlsx"/>
    <x v="36"/>
    <n v="0"/>
    <s v="2021_06.xlsx"/>
    <x v="5"/>
    <x v="5"/>
  </r>
  <r>
    <s v="MonthlyTradeStatistics 2021_06.xlsx"/>
    <x v="37"/>
    <n v="332747.84080000001"/>
    <s v="2021_06.xlsx"/>
    <x v="5"/>
    <x v="5"/>
  </r>
  <r>
    <s v="MonthlyTradeStatistics 2021_06.xlsx"/>
    <x v="38"/>
    <n v="117.83329999999999"/>
    <s v="2021_06.xlsx"/>
    <x v="5"/>
    <x v="5"/>
  </r>
  <r>
    <s v="MonthlyTradeStatistics 2021_06.xlsx"/>
    <x v="39"/>
    <n v="335750.5073"/>
    <s v="2021_06.xlsx"/>
    <x v="5"/>
    <x v="5"/>
  </r>
  <r>
    <s v="MonthlyTradeStatistics 2021_06.xlsx"/>
    <x v="40"/>
    <n v="0"/>
    <s v="2021_06.xlsx"/>
    <x v="5"/>
    <x v="5"/>
  </r>
  <r>
    <s v="MonthlyTradeStatistics 2021_06.xlsx"/>
    <x v="41"/>
    <n v="2724.2076000000002"/>
    <s v="2021_06.xlsx"/>
    <x v="5"/>
    <x v="5"/>
  </r>
  <r>
    <s v="MonthlyTradeStatistics 2021_06.xlsx"/>
    <x v="42"/>
    <n v="59758.366699999999"/>
    <s v="2021_06.xlsx"/>
    <x v="5"/>
    <x v="5"/>
  </r>
  <r>
    <s v="MonthlyTradeStatistics 2021_06.xlsx"/>
    <x v="43"/>
    <n v="0.41670000000000001"/>
    <s v="2021_06.xlsx"/>
    <x v="5"/>
    <x v="5"/>
  </r>
  <r>
    <s v="MonthlyTradeStatistics 2021_06.xlsx"/>
    <x v="44"/>
    <n v="146814.9068"/>
    <s v="2021_06.xlsx"/>
    <x v="5"/>
    <x v="5"/>
  </r>
  <r>
    <s v="MonthlyTradeStatistics 2021_06.xlsx"/>
    <x v="45"/>
    <n v="187.786"/>
    <s v="2021_06.xlsx"/>
    <x v="5"/>
    <x v="5"/>
  </r>
  <r>
    <s v="MonthlyTradeStatistics 2021_06.xlsx"/>
    <x v="46"/>
    <n v="18749.7965"/>
    <s v="2021_06.xlsx"/>
    <x v="5"/>
    <x v="5"/>
  </r>
  <r>
    <s v="MonthlyTradeStatistics 2021_06.xlsx"/>
    <x v="47"/>
    <n v="4000"/>
    <s v="2021_06.xlsx"/>
    <x v="5"/>
    <x v="5"/>
  </r>
  <r>
    <s v="MonthlyTradeStatistics 2021_06.xlsx"/>
    <x v="48"/>
    <n v="133.04929999999999"/>
    <s v="2021_06.xlsx"/>
    <x v="5"/>
    <x v="5"/>
  </r>
  <r>
    <s v="MonthlyTradeStatistics 2021_06.xlsx"/>
    <x v="49"/>
    <n v="45751.035000000003"/>
    <s v="2021_06.xlsx"/>
    <x v="5"/>
    <x v="5"/>
  </r>
  <r>
    <s v="MonthlyTradeStatistics 2021_06.xlsx"/>
    <x v="50"/>
    <n v="13084.770399999999"/>
    <s v="2021_06.xlsx"/>
    <x v="5"/>
    <x v="5"/>
  </r>
  <r>
    <s v="MonthlyTradeStatistics 2021_06.xlsx"/>
    <x v="51"/>
    <n v="2403.3332999999998"/>
    <s v="2021_06.xlsx"/>
    <x v="5"/>
    <x v="5"/>
  </r>
  <r>
    <s v="MonthlyTradeStatistics 2021_06.xlsx"/>
    <x v="52"/>
    <n v="2240"/>
    <s v="2021_06.xlsx"/>
    <x v="5"/>
    <x v="5"/>
  </r>
  <r>
    <s v="MonthlyTradeStatistics 2021_06.xlsx"/>
    <x v="53"/>
    <n v="212.81700000000001"/>
    <s v="2021_06.xlsx"/>
    <x v="5"/>
    <x v="5"/>
  </r>
  <r>
    <s v="MonthlyTradeStatistics 2021_06.xlsx"/>
    <x v="54"/>
    <n v="621390.01"/>
    <s v="2021_06.xlsx"/>
    <x v="5"/>
    <x v="5"/>
  </r>
  <r>
    <s v="MonthlyTradeStatistics 2021_06.xlsx"/>
    <x v="55"/>
    <n v="1000"/>
    <s v="2021_06.xlsx"/>
    <x v="5"/>
    <x v="5"/>
  </r>
  <r>
    <s v="MonthlyTradeStatistics 2021_06.xlsx"/>
    <x v="56"/>
    <n v="2090030.0009999999"/>
    <s v="2021_06.xlsx"/>
    <x v="5"/>
    <x v="5"/>
  </r>
  <r>
    <s v="MonthlyTradeStatistics 2021_06.xlsx"/>
    <x v="57"/>
    <n v="4779.9993999999997"/>
    <s v="2021_06.xlsx"/>
    <x v="5"/>
    <x v="5"/>
  </r>
  <r>
    <s v="MonthlyTradeStatistics 2021_06.xlsx"/>
    <x v="58"/>
    <n v="3920.6750000000002"/>
    <s v="2021_06.xlsx"/>
    <x v="5"/>
    <x v="5"/>
  </r>
  <r>
    <s v="MonthlyTradeStatistics 2021_06.xlsx"/>
    <x v="59"/>
    <n v="0"/>
    <s v="2021_06.xlsx"/>
    <x v="5"/>
    <x v="5"/>
  </r>
  <r>
    <s v="MonthlyTradeStatistics 2021_07.xlsx"/>
    <x v="0"/>
    <n v="10823068.403899999"/>
    <s v="2021_07.xlsx"/>
    <x v="5"/>
    <x v="6"/>
  </r>
  <r>
    <s v="MonthlyTradeStatistics 2021_07.xlsx"/>
    <x v="1"/>
    <n v="1264116.2986000001"/>
    <s v="2021_07.xlsx"/>
    <x v="5"/>
    <x v="6"/>
  </r>
  <r>
    <s v="MonthlyTradeStatistics 2021_07.xlsx"/>
    <x v="2"/>
    <n v="2618405.4879000001"/>
    <s v="2021_07.xlsx"/>
    <x v="5"/>
    <x v="6"/>
  </r>
  <r>
    <s v="MonthlyTradeStatistics 2021_07.xlsx"/>
    <x v="3"/>
    <n v="2872794.3689999999"/>
    <s v="2021_07.xlsx"/>
    <x v="5"/>
    <x v="6"/>
  </r>
  <r>
    <s v="MonthlyTradeStatistics 2021_07.xlsx"/>
    <x v="4"/>
    <n v="4067752.2483999999"/>
    <s v="2021_07.xlsx"/>
    <x v="5"/>
    <x v="6"/>
  </r>
  <r>
    <s v="MonthlyTradeStatistics 2021_07.xlsx"/>
    <x v="5"/>
    <n v="685.06529999999998"/>
    <s v="2021_07.xlsx"/>
    <x v="5"/>
    <x v="6"/>
  </r>
  <r>
    <s v="MonthlyTradeStatistics 2021_07.xlsx"/>
    <x v="6"/>
    <n v="506.83330000000001"/>
    <s v="2021_07.xlsx"/>
    <x v="5"/>
    <x v="6"/>
  </r>
  <r>
    <s v="MonthlyTradeStatistics 2021_07.xlsx"/>
    <x v="7"/>
    <n v="2813525.1768999998"/>
    <s v="2021_07.xlsx"/>
    <x v="5"/>
    <x v="6"/>
  </r>
  <r>
    <s v="MonthlyTradeStatistics 2021_07.xlsx"/>
    <x v="8"/>
    <n v="554.66669999999999"/>
    <s v="2021_07.xlsx"/>
    <x v="5"/>
    <x v="6"/>
  </r>
  <r>
    <s v="MonthlyTradeStatistics 2021_07.xlsx"/>
    <x v="9"/>
    <n v="15783.783299999999"/>
    <s v="2021_07.xlsx"/>
    <x v="5"/>
    <x v="6"/>
  </r>
  <r>
    <s v="MonthlyTradeStatistics 2021_07.xlsx"/>
    <x v="10"/>
    <n v="1000"/>
    <s v="2021_07.xlsx"/>
    <x v="5"/>
    <x v="6"/>
  </r>
  <r>
    <s v="MonthlyTradeStatistics 2021_07.xlsx"/>
    <x v="11"/>
    <n v="1195350.0290999999"/>
    <s v="2021_07.xlsx"/>
    <x v="5"/>
    <x v="6"/>
  </r>
  <r>
    <s v="MonthlyTradeStatistics 2021_07.xlsx"/>
    <x v="12"/>
    <n v="7.0609999999999999"/>
    <s v="2021_07.xlsx"/>
    <x v="5"/>
    <x v="6"/>
  </r>
  <r>
    <s v="MonthlyTradeStatistics 2021_07.xlsx"/>
    <x v="13"/>
    <n v="156627.9252"/>
    <s v="2021_07.xlsx"/>
    <x v="5"/>
    <x v="6"/>
  </r>
  <r>
    <s v="MonthlyTradeStatistics 2021_07.xlsx"/>
    <x v="14"/>
    <n v="90799.733699999997"/>
    <s v="2021_07.xlsx"/>
    <x v="5"/>
    <x v="6"/>
  </r>
  <r>
    <s v="MonthlyTradeStatistics 2021_07.xlsx"/>
    <x v="15"/>
    <n v="2053.4454000000001"/>
    <s v="2021_07.xlsx"/>
    <x v="5"/>
    <x v="6"/>
  </r>
  <r>
    <s v="MonthlyTradeStatistics 2021_07.xlsx"/>
    <x v="16"/>
    <n v="21100"/>
    <s v="2021_07.xlsx"/>
    <x v="5"/>
    <x v="6"/>
  </r>
  <r>
    <s v="MonthlyTradeStatistics 2021_07.xlsx"/>
    <x v="17"/>
    <n v="4574.9034000000001"/>
    <s v="2021_07.xlsx"/>
    <x v="5"/>
    <x v="6"/>
  </r>
  <r>
    <s v="MonthlyTradeStatistics 2021_07.xlsx"/>
    <x v="18"/>
    <n v="41291.029900000001"/>
    <s v="2021_07.xlsx"/>
    <x v="5"/>
    <x v="6"/>
  </r>
  <r>
    <s v="MonthlyTradeStatistics 2021_07.xlsx"/>
    <x v="19"/>
    <n v="46799.199399999998"/>
    <s v="2021_07.xlsx"/>
    <x v="5"/>
    <x v="6"/>
  </r>
  <r>
    <s v="MonthlyTradeStatistics 2021_07.xlsx"/>
    <x v="20"/>
    <n v="0"/>
    <s v="2021_07.xlsx"/>
    <x v="5"/>
    <x v="6"/>
  </r>
  <r>
    <s v="MonthlyTradeStatistics 2021_07.xlsx"/>
    <x v="21"/>
    <n v="653813.88329999999"/>
    <s v="2021_07.xlsx"/>
    <x v="5"/>
    <x v="6"/>
  </r>
  <r>
    <s v="MonthlyTradeStatistics 2021_07.xlsx"/>
    <x v="22"/>
    <n v="0"/>
    <s v="2021_07.xlsx"/>
    <x v="5"/>
    <x v="6"/>
  </r>
  <r>
    <s v="MonthlyTradeStatistics 2021_07.xlsx"/>
    <x v="23"/>
    <n v="301.3605"/>
    <s v="2021_07.xlsx"/>
    <x v="5"/>
    <x v="6"/>
  </r>
  <r>
    <s v="MonthlyTradeStatistics 2021_07.xlsx"/>
    <x v="24"/>
    <n v="461922.56719999999"/>
    <s v="2021_07.xlsx"/>
    <x v="5"/>
    <x v="6"/>
  </r>
  <r>
    <s v="MonthlyTradeStatistics 2021_07.xlsx"/>
    <x v="25"/>
    <n v="0"/>
    <s v="2021_07.xlsx"/>
    <x v="5"/>
    <x v="6"/>
  </r>
  <r>
    <s v="MonthlyTradeStatistics 2021_07.xlsx"/>
    <x v="26"/>
    <n v="109.63330000000001"/>
    <s v="2021_07.xlsx"/>
    <x v="5"/>
    <x v="6"/>
  </r>
  <r>
    <s v="MonthlyTradeStatistics 2021_07.xlsx"/>
    <x v="27"/>
    <n v="50"/>
    <s v="2021_07.xlsx"/>
    <x v="5"/>
    <x v="6"/>
  </r>
  <r>
    <s v="MonthlyTradeStatistics 2021_07.xlsx"/>
    <x v="28"/>
    <n v="661437.15870000003"/>
    <s v="2021_07.xlsx"/>
    <x v="5"/>
    <x v="6"/>
  </r>
  <r>
    <s v="MonthlyTradeStatistics 2021_07.xlsx"/>
    <x v="29"/>
    <n v="477124.2525"/>
    <s v="2021_07.xlsx"/>
    <x v="5"/>
    <x v="6"/>
  </r>
  <r>
    <s v="MonthlyTradeStatistics 2021_07.xlsx"/>
    <x v="30"/>
    <n v="439861.00390000001"/>
    <s v="2021_07.xlsx"/>
    <x v="5"/>
    <x v="6"/>
  </r>
  <r>
    <s v="MonthlyTradeStatistics 2021_07.xlsx"/>
    <x v="31"/>
    <n v="565.76959999999997"/>
    <s v="2021_07.xlsx"/>
    <x v="5"/>
    <x v="6"/>
  </r>
  <r>
    <s v="MonthlyTradeStatistics 2021_07.xlsx"/>
    <x v="32"/>
    <n v="44666.2696"/>
    <s v="2021_07.xlsx"/>
    <x v="5"/>
    <x v="6"/>
  </r>
  <r>
    <s v="MonthlyTradeStatistics 2021_07.xlsx"/>
    <x v="33"/>
    <n v="55800.006999999998"/>
    <s v="2021_07.xlsx"/>
    <x v="5"/>
    <x v="6"/>
  </r>
  <r>
    <s v="MonthlyTradeStatistics 2021_07.xlsx"/>
    <x v="34"/>
    <n v="0"/>
    <s v="2021_07.xlsx"/>
    <x v="5"/>
    <x v="6"/>
  </r>
  <r>
    <s v="MonthlyTradeStatistics 2021_07.xlsx"/>
    <x v="35"/>
    <n v="0.3967"/>
    <s v="2021_07.xlsx"/>
    <x v="5"/>
    <x v="6"/>
  </r>
  <r>
    <s v="MonthlyTradeStatistics 2021_07.xlsx"/>
    <x v="36"/>
    <n v="82.558300000000003"/>
    <s v="2021_07.xlsx"/>
    <x v="5"/>
    <x v="6"/>
  </r>
  <r>
    <s v="MonthlyTradeStatistics 2021_07.xlsx"/>
    <x v="37"/>
    <n v="250531.75150000001"/>
    <s v="2021_07.xlsx"/>
    <x v="5"/>
    <x v="6"/>
  </r>
  <r>
    <s v="MonthlyTradeStatistics 2021_07.xlsx"/>
    <x v="38"/>
    <n v="214.2833"/>
    <s v="2021_07.xlsx"/>
    <x v="5"/>
    <x v="6"/>
  </r>
  <r>
    <s v="MonthlyTradeStatistics 2021_07.xlsx"/>
    <x v="39"/>
    <n v="249152.1574"/>
    <s v="2021_07.xlsx"/>
    <x v="5"/>
    <x v="6"/>
  </r>
  <r>
    <s v="MonthlyTradeStatistics 2021_07.xlsx"/>
    <x v="40"/>
    <n v="0"/>
    <s v="2021_07.xlsx"/>
    <x v="5"/>
    <x v="6"/>
  </r>
  <r>
    <s v="MonthlyTradeStatistics 2021_07.xlsx"/>
    <x v="41"/>
    <n v="4560.6229999999996"/>
    <s v="2021_07.xlsx"/>
    <x v="5"/>
    <x v="6"/>
  </r>
  <r>
    <s v="MonthlyTradeStatistics 2021_07.xlsx"/>
    <x v="42"/>
    <n v="96844.47"/>
    <s v="2021_07.xlsx"/>
    <x v="5"/>
    <x v="6"/>
  </r>
  <r>
    <s v="MonthlyTradeStatistics 2021_07.xlsx"/>
    <x v="43"/>
    <n v="0"/>
    <s v="2021_07.xlsx"/>
    <x v="5"/>
    <x v="6"/>
  </r>
  <r>
    <s v="MonthlyTradeStatistics 2021_07.xlsx"/>
    <x v="44"/>
    <n v="243716.0392"/>
    <s v="2021_07.xlsx"/>
    <x v="5"/>
    <x v="6"/>
  </r>
  <r>
    <s v="MonthlyTradeStatistics 2021_07.xlsx"/>
    <x v="45"/>
    <n v="93.727999999999994"/>
    <s v="2021_07.xlsx"/>
    <x v="5"/>
    <x v="6"/>
  </r>
  <r>
    <s v="MonthlyTradeStatistics 2021_07.xlsx"/>
    <x v="46"/>
    <n v="30676.2382"/>
    <s v="2021_07.xlsx"/>
    <x v="5"/>
    <x v="6"/>
  </r>
  <r>
    <s v="MonthlyTradeStatistics 2021_07.xlsx"/>
    <x v="47"/>
    <n v="4000"/>
    <s v="2021_07.xlsx"/>
    <x v="5"/>
    <x v="6"/>
  </r>
  <r>
    <s v="MonthlyTradeStatistics 2021_07.xlsx"/>
    <x v="48"/>
    <n v="133.04929999999999"/>
    <s v="2021_07.xlsx"/>
    <x v="5"/>
    <x v="6"/>
  </r>
  <r>
    <s v="MonthlyTradeStatistics 2021_07.xlsx"/>
    <x v="49"/>
    <n v="35199.999799999998"/>
    <s v="2021_07.xlsx"/>
    <x v="5"/>
    <x v="6"/>
  </r>
  <r>
    <s v="MonthlyTradeStatistics 2021_07.xlsx"/>
    <x v="50"/>
    <n v="13759.2942"/>
    <s v="2021_07.xlsx"/>
    <x v="5"/>
    <x v="6"/>
  </r>
  <r>
    <s v="MonthlyTradeStatistics 2021_07.xlsx"/>
    <x v="51"/>
    <n v="4861.0667000000003"/>
    <s v="2021_07.xlsx"/>
    <x v="5"/>
    <x v="6"/>
  </r>
  <r>
    <s v="MonthlyTradeStatistics 2021_07.xlsx"/>
    <x v="52"/>
    <n v="4874.3333000000002"/>
    <s v="2021_07.xlsx"/>
    <x v="5"/>
    <x v="6"/>
  </r>
  <r>
    <s v="MonthlyTradeStatistics 2021_07.xlsx"/>
    <x v="53"/>
    <n v="264.65649999999999"/>
    <s v="2021_07.xlsx"/>
    <x v="5"/>
    <x v="6"/>
  </r>
  <r>
    <s v="MonthlyTradeStatistics 2021_07.xlsx"/>
    <x v="54"/>
    <n v="700037"/>
    <s v="2021_07.xlsx"/>
    <x v="5"/>
    <x v="6"/>
  </r>
  <r>
    <s v="MonthlyTradeStatistics 2021_07.xlsx"/>
    <x v="55"/>
    <n v="600"/>
    <s v="2021_07.xlsx"/>
    <x v="5"/>
    <x v="6"/>
  </r>
  <r>
    <s v="MonthlyTradeStatistics 2021_07.xlsx"/>
    <x v="56"/>
    <n v="1988640.0009000001"/>
    <s v="2021_07.xlsx"/>
    <x v="5"/>
    <x v="6"/>
  </r>
  <r>
    <s v="MonthlyTradeStatistics 2021_07.xlsx"/>
    <x v="57"/>
    <n v="4779.9993999999997"/>
    <s v="2021_07.xlsx"/>
    <x v="5"/>
    <x v="6"/>
  </r>
  <r>
    <s v="MonthlyTradeStatistics 2021_07.xlsx"/>
    <x v="58"/>
    <n v="3486"/>
    <s v="2021_07.xlsx"/>
    <x v="5"/>
    <x v="6"/>
  </r>
  <r>
    <s v="MonthlyTradeStatistics 2021_07.xlsx"/>
    <x v="59"/>
    <n v="250"/>
    <s v="2021_07.xlsx"/>
    <x v="5"/>
    <x v="6"/>
  </r>
  <r>
    <s v="MonthlyTradeStatistics 2021_08.xlsx"/>
    <x v="0"/>
    <n v="10264368.976199999"/>
    <s v="2021_08.xlsx"/>
    <x v="5"/>
    <x v="7"/>
  </r>
  <r>
    <s v="MonthlyTradeStatistics 2021_08.xlsx"/>
    <x v="1"/>
    <n v="1198528.446"/>
    <s v="2021_08.xlsx"/>
    <x v="5"/>
    <x v="7"/>
  </r>
  <r>
    <s v="MonthlyTradeStatistics 2021_08.xlsx"/>
    <x v="2"/>
    <n v="2199446.6151000001"/>
    <s v="2021_08.xlsx"/>
    <x v="5"/>
    <x v="7"/>
  </r>
  <r>
    <s v="MonthlyTradeStatistics 2021_08.xlsx"/>
    <x v="3"/>
    <n v="2911478.0515999999"/>
    <s v="2021_08.xlsx"/>
    <x v="5"/>
    <x v="7"/>
  </r>
  <r>
    <s v="MonthlyTradeStatistics 2021_08.xlsx"/>
    <x v="4"/>
    <n v="3954915.8635"/>
    <s v="2021_08.xlsx"/>
    <x v="5"/>
    <x v="7"/>
  </r>
  <r>
    <s v="MonthlyTradeStatistics 2021_08.xlsx"/>
    <x v="5"/>
    <n v="1035.2617"/>
    <s v="2021_08.xlsx"/>
    <x v="5"/>
    <x v="7"/>
  </r>
  <r>
    <s v="MonthlyTradeStatistics 2021_08.xlsx"/>
    <x v="6"/>
    <n v="338.01670000000001"/>
    <s v="2021_08.xlsx"/>
    <x v="5"/>
    <x v="7"/>
  </r>
  <r>
    <s v="MonthlyTradeStatistics 2021_08.xlsx"/>
    <x v="7"/>
    <n v="2859143.2895999998"/>
    <s v="2021_08.xlsx"/>
    <x v="5"/>
    <x v="7"/>
  </r>
  <r>
    <s v="MonthlyTradeStatistics 2021_08.xlsx"/>
    <x v="8"/>
    <n v="5081"/>
    <s v="2021_08.xlsx"/>
    <x v="5"/>
    <x v="7"/>
  </r>
  <r>
    <s v="MonthlyTradeStatistics 2021_08.xlsx"/>
    <x v="9"/>
    <n v="17366.616699999999"/>
    <s v="2021_08.xlsx"/>
    <x v="5"/>
    <x v="7"/>
  </r>
  <r>
    <s v="MonthlyTradeStatistics 2021_08.xlsx"/>
    <x v="10"/>
    <n v="900"/>
    <s v="2021_08.xlsx"/>
    <x v="5"/>
    <x v="7"/>
  </r>
  <r>
    <s v="MonthlyTradeStatistics 2021_08.xlsx"/>
    <x v="11"/>
    <n v="1139853.4357"/>
    <s v="2021_08.xlsx"/>
    <x v="5"/>
    <x v="7"/>
  </r>
  <r>
    <s v="MonthlyTradeStatistics 2021_08.xlsx"/>
    <x v="12"/>
    <n v="7.0609999999999999"/>
    <s v="2021_08.xlsx"/>
    <x v="5"/>
    <x v="7"/>
  </r>
  <r>
    <s v="MonthlyTradeStatistics 2021_08.xlsx"/>
    <x v="13"/>
    <n v="118326.63"/>
    <s v="2021_08.xlsx"/>
    <x v="5"/>
    <x v="7"/>
  </r>
  <r>
    <s v="MonthlyTradeStatistics 2021_08.xlsx"/>
    <x v="14"/>
    <n v="35512.097999999998"/>
    <s v="2021_08.xlsx"/>
    <x v="5"/>
    <x v="7"/>
  </r>
  <r>
    <s v="MonthlyTradeStatistics 2021_08.xlsx"/>
    <x v="15"/>
    <n v="2053.4454000000001"/>
    <s v="2021_08.xlsx"/>
    <x v="5"/>
    <x v="7"/>
  </r>
  <r>
    <s v="MonthlyTradeStatistics 2021_08.xlsx"/>
    <x v="16"/>
    <n v="18300"/>
    <s v="2021_08.xlsx"/>
    <x v="5"/>
    <x v="7"/>
  </r>
  <r>
    <s v="MonthlyTradeStatistics 2021_08.xlsx"/>
    <x v="17"/>
    <n v="1267.7304999999999"/>
    <s v="2021_08.xlsx"/>
    <x v="5"/>
    <x v="7"/>
  </r>
  <r>
    <s v="MonthlyTradeStatistics 2021_08.xlsx"/>
    <x v="18"/>
    <n v="41357.436600000001"/>
    <s v="2021_08.xlsx"/>
    <x v="5"/>
    <x v="7"/>
  </r>
  <r>
    <s v="MonthlyTradeStatistics 2021_08.xlsx"/>
    <x v="19"/>
    <n v="30632.172500000001"/>
    <s v="2021_08.xlsx"/>
    <x v="5"/>
    <x v="7"/>
  </r>
  <r>
    <s v="MonthlyTradeStatistics 2021_08.xlsx"/>
    <x v="20"/>
    <n v="0"/>
    <s v="2021_08.xlsx"/>
    <x v="5"/>
    <x v="7"/>
  </r>
  <r>
    <s v="MonthlyTradeStatistics 2021_08.xlsx"/>
    <x v="21"/>
    <n v="511776.76010000001"/>
    <s v="2021_08.xlsx"/>
    <x v="5"/>
    <x v="7"/>
  </r>
  <r>
    <s v="MonthlyTradeStatistics 2021_08.xlsx"/>
    <x v="22"/>
    <n v="0"/>
    <s v="2021_08.xlsx"/>
    <x v="5"/>
    <x v="7"/>
  </r>
  <r>
    <s v="MonthlyTradeStatistics 2021_08.xlsx"/>
    <x v="23"/>
    <n v="329.33890000000002"/>
    <s v="2021_08.xlsx"/>
    <x v="5"/>
    <x v="7"/>
  </r>
  <r>
    <s v="MonthlyTradeStatistics 2021_08.xlsx"/>
    <x v="24"/>
    <n v="331909.89230000001"/>
    <s v="2021_08.xlsx"/>
    <x v="5"/>
    <x v="7"/>
  </r>
  <r>
    <s v="MonthlyTradeStatistics 2021_08.xlsx"/>
    <x v="25"/>
    <n v="0"/>
    <s v="2021_08.xlsx"/>
    <x v="5"/>
    <x v="7"/>
  </r>
  <r>
    <s v="MonthlyTradeStatistics 2021_08.xlsx"/>
    <x v="26"/>
    <n v="46.41"/>
    <s v="2021_08.xlsx"/>
    <x v="5"/>
    <x v="7"/>
  </r>
  <r>
    <s v="MonthlyTradeStatistics 2021_08.xlsx"/>
    <x v="27"/>
    <n v="1519.9996000000001"/>
    <s v="2021_08.xlsx"/>
    <x v="5"/>
    <x v="7"/>
  </r>
  <r>
    <s v="MonthlyTradeStatistics 2021_08.xlsx"/>
    <x v="28"/>
    <n v="418075.2243"/>
    <s v="2021_08.xlsx"/>
    <x v="5"/>
    <x v="7"/>
  </r>
  <r>
    <s v="MonthlyTradeStatistics 2021_08.xlsx"/>
    <x v="29"/>
    <n v="605706.28040000005"/>
    <s v="2021_08.xlsx"/>
    <x v="5"/>
    <x v="7"/>
  </r>
  <r>
    <s v="MonthlyTradeStatistics 2021_08.xlsx"/>
    <x v="30"/>
    <n v="537731.29489999998"/>
    <s v="2021_08.xlsx"/>
    <x v="5"/>
    <x v="7"/>
  </r>
  <r>
    <s v="MonthlyTradeStatistics 2021_08.xlsx"/>
    <x v="31"/>
    <n v="1195.4485"/>
    <s v="2021_08.xlsx"/>
    <x v="5"/>
    <x v="7"/>
  </r>
  <r>
    <s v="MonthlyTradeStatistics 2021_08.xlsx"/>
    <x v="32"/>
    <n v="54888.010300000002"/>
    <s v="2021_08.xlsx"/>
    <x v="5"/>
    <x v="7"/>
  </r>
  <r>
    <s v="MonthlyTradeStatistics 2021_08.xlsx"/>
    <x v="33"/>
    <n v="23199.986700000001"/>
    <s v="2021_08.xlsx"/>
    <x v="5"/>
    <x v="7"/>
  </r>
  <r>
    <s v="MonthlyTradeStatistics 2021_08.xlsx"/>
    <x v="34"/>
    <n v="0"/>
    <s v="2021_08.xlsx"/>
    <x v="5"/>
    <x v="7"/>
  </r>
  <r>
    <s v="MonthlyTradeStatistics 2021_08.xlsx"/>
    <x v="35"/>
    <n v="0"/>
    <s v="2021_08.xlsx"/>
    <x v="5"/>
    <x v="7"/>
  </r>
  <r>
    <s v="MonthlyTradeStatistics 2021_08.xlsx"/>
    <x v="36"/>
    <n v="0"/>
    <s v="2021_08.xlsx"/>
    <x v="5"/>
    <x v="7"/>
  </r>
  <r>
    <s v="MonthlyTradeStatistics 2021_08.xlsx"/>
    <x v="37"/>
    <n v="235381.74909999999"/>
    <s v="2021_08.xlsx"/>
    <x v="5"/>
    <x v="7"/>
  </r>
  <r>
    <s v="MonthlyTradeStatistics 2021_08.xlsx"/>
    <x v="38"/>
    <n v="69.995800000000003"/>
    <s v="2021_08.xlsx"/>
    <x v="5"/>
    <x v="7"/>
  </r>
  <r>
    <s v="MonthlyTradeStatistics 2021_08.xlsx"/>
    <x v="39"/>
    <n v="141994.413"/>
    <s v="2021_08.xlsx"/>
    <x v="5"/>
    <x v="7"/>
  </r>
  <r>
    <s v="MonthlyTradeStatistics 2021_08.xlsx"/>
    <x v="40"/>
    <n v="0"/>
    <s v="2021_08.xlsx"/>
    <x v="5"/>
    <x v="7"/>
  </r>
  <r>
    <s v="MonthlyTradeStatistics 2021_08.xlsx"/>
    <x v="41"/>
    <n v="6578.3868000000002"/>
    <s v="2021_08.xlsx"/>
    <x v="5"/>
    <x v="7"/>
  </r>
  <r>
    <s v="MonthlyTradeStatistics 2021_08.xlsx"/>
    <x v="42"/>
    <n v="64584"/>
    <s v="2021_08.xlsx"/>
    <x v="5"/>
    <x v="7"/>
  </r>
  <r>
    <s v="MonthlyTradeStatistics 2021_08.xlsx"/>
    <x v="43"/>
    <n v="0"/>
    <s v="2021_08.xlsx"/>
    <x v="5"/>
    <x v="7"/>
  </r>
  <r>
    <s v="MonthlyTradeStatistics 2021_08.xlsx"/>
    <x v="44"/>
    <n v="385010.6519"/>
    <s v="2021_08.xlsx"/>
    <x v="5"/>
    <x v="7"/>
  </r>
  <r>
    <s v="MonthlyTradeStatistics 2021_08.xlsx"/>
    <x v="45"/>
    <n v="171.51929999999999"/>
    <s v="2021_08.xlsx"/>
    <x v="5"/>
    <x v="7"/>
  </r>
  <r>
    <s v="MonthlyTradeStatistics 2021_08.xlsx"/>
    <x v="46"/>
    <n v="26178.599399999999"/>
    <s v="2021_08.xlsx"/>
    <x v="5"/>
    <x v="7"/>
  </r>
  <r>
    <s v="MonthlyTradeStatistics 2021_08.xlsx"/>
    <x v="47"/>
    <n v="3000"/>
    <s v="2021_08.xlsx"/>
    <x v="5"/>
    <x v="7"/>
  </r>
  <r>
    <s v="MonthlyTradeStatistics 2021_08.xlsx"/>
    <x v="48"/>
    <n v="133.04929999999999"/>
    <s v="2021_08.xlsx"/>
    <x v="5"/>
    <x v="7"/>
  </r>
  <r>
    <s v="MonthlyTradeStatistics 2021_08.xlsx"/>
    <x v="49"/>
    <n v="11032.9467"/>
    <s v="2021_08.xlsx"/>
    <x v="5"/>
    <x v="7"/>
  </r>
  <r>
    <s v="MonthlyTradeStatistics 2021_08.xlsx"/>
    <x v="50"/>
    <n v="17026.493200000001"/>
    <s v="2021_08.xlsx"/>
    <x v="5"/>
    <x v="7"/>
  </r>
  <r>
    <s v="MonthlyTradeStatistics 2021_08.xlsx"/>
    <x v="51"/>
    <n v="19751.666700000002"/>
    <s v="2021_08.xlsx"/>
    <x v="5"/>
    <x v="7"/>
  </r>
  <r>
    <s v="MonthlyTradeStatistics 2021_08.xlsx"/>
    <x v="52"/>
    <n v="666.66669999999999"/>
    <s v="2021_08.xlsx"/>
    <x v="5"/>
    <x v="7"/>
  </r>
  <r>
    <s v="MonthlyTradeStatistics 2021_08.xlsx"/>
    <x v="53"/>
    <n v="228.6045"/>
    <s v="2021_08.xlsx"/>
    <x v="5"/>
    <x v="7"/>
  </r>
  <r>
    <s v="MonthlyTradeStatistics 2021_08.xlsx"/>
    <x v="54"/>
    <n v="700992"/>
    <s v="2021_08.xlsx"/>
    <x v="5"/>
    <x v="7"/>
  </r>
  <r>
    <s v="MonthlyTradeStatistics 2021_08.xlsx"/>
    <x v="55"/>
    <n v="1000"/>
    <s v="2021_08.xlsx"/>
    <x v="5"/>
    <x v="7"/>
  </r>
  <r>
    <s v="MonthlyTradeStatistics 2021_08.xlsx"/>
    <x v="56"/>
    <n v="1886700.0105000001"/>
    <s v="2021_08.xlsx"/>
    <x v="5"/>
    <x v="7"/>
  </r>
  <r>
    <s v="MonthlyTradeStatistics 2021_08.xlsx"/>
    <x v="57"/>
    <n v="4359.9955"/>
    <s v="2021_08.xlsx"/>
    <x v="5"/>
    <x v="7"/>
  </r>
  <r>
    <s v="MonthlyTradeStatistics 2021_08.xlsx"/>
    <x v="58"/>
    <n v="1955.3874000000001"/>
    <s v="2021_08.xlsx"/>
    <x v="5"/>
    <x v="7"/>
  </r>
  <r>
    <s v="MonthlyTradeStatistics 2021_08.xlsx"/>
    <x v="59"/>
    <n v="0"/>
    <s v="2021_08.xlsx"/>
    <x v="5"/>
    <x v="7"/>
  </r>
  <r>
    <s v="MonthlyTradeStatistics 2021_09.xlsx"/>
    <x v="0"/>
    <n v="10387135.0372"/>
    <s v="2021_09.xlsx"/>
    <x v="5"/>
    <x v="8"/>
  </r>
  <r>
    <s v="MonthlyTradeStatistics 2021_09.xlsx"/>
    <x v="1"/>
    <n v="1168126.3966999999"/>
    <s v="2021_09.xlsx"/>
    <x v="5"/>
    <x v="8"/>
  </r>
  <r>
    <s v="MonthlyTradeStatistics 2021_09.xlsx"/>
    <x v="2"/>
    <n v="1968435.4310000001"/>
    <s v="2021_09.xlsx"/>
    <x v="5"/>
    <x v="8"/>
  </r>
  <r>
    <s v="MonthlyTradeStatistics 2021_09.xlsx"/>
    <x v="3"/>
    <n v="3293494.9190000002"/>
    <s v="2021_09.xlsx"/>
    <x v="5"/>
    <x v="8"/>
  </r>
  <r>
    <s v="MonthlyTradeStatistics 2021_09.xlsx"/>
    <x v="4"/>
    <n v="3957078.2905000001"/>
    <s v="2021_09.xlsx"/>
    <x v="5"/>
    <x v="8"/>
  </r>
  <r>
    <s v="MonthlyTradeStatistics 2021_09.xlsx"/>
    <x v="5"/>
    <n v="2781.1637999999998"/>
    <s v="2021_09.xlsx"/>
    <x v="5"/>
    <x v="8"/>
  </r>
  <r>
    <s v="MonthlyTradeStatistics 2021_09.xlsx"/>
    <x v="6"/>
    <n v="3008.3667"/>
    <s v="2021_09.xlsx"/>
    <x v="5"/>
    <x v="8"/>
  </r>
  <r>
    <s v="MonthlyTradeStatistics 2021_09.xlsx"/>
    <x v="7"/>
    <n v="3291463.0134999999"/>
    <s v="2021_09.xlsx"/>
    <x v="5"/>
    <x v="8"/>
  </r>
  <r>
    <s v="MonthlyTradeStatistics 2021_09.xlsx"/>
    <x v="8"/>
    <n v="4152"/>
    <s v="2021_09.xlsx"/>
    <x v="5"/>
    <x v="8"/>
  </r>
  <r>
    <s v="MonthlyTradeStatistics 2021_09.xlsx"/>
    <x v="9"/>
    <n v="17235.216700000001"/>
    <s v="2021_09.xlsx"/>
    <x v="5"/>
    <x v="8"/>
  </r>
  <r>
    <s v="MonthlyTradeStatistics 2021_09.xlsx"/>
    <x v="10"/>
    <n v="900"/>
    <s v="2021_09.xlsx"/>
    <x v="5"/>
    <x v="8"/>
  </r>
  <r>
    <s v="MonthlyTradeStatistics 2021_09.xlsx"/>
    <x v="11"/>
    <n v="1096716.4743999999"/>
    <s v="2021_09.xlsx"/>
    <x v="5"/>
    <x v="8"/>
  </r>
  <r>
    <s v="MonthlyTradeStatistics 2021_09.xlsx"/>
    <x v="12"/>
    <n v="7.0609999999999999"/>
    <s v="2021_09.xlsx"/>
    <x v="5"/>
    <x v="8"/>
  </r>
  <r>
    <s v="MonthlyTradeStatistics 2021_09.xlsx"/>
    <x v="13"/>
    <n v="87635.164099999995"/>
    <s v="2021_09.xlsx"/>
    <x v="5"/>
    <x v="8"/>
  </r>
  <r>
    <s v="MonthlyTradeStatistics 2021_09.xlsx"/>
    <x v="14"/>
    <n v="52530.002"/>
    <s v="2021_09.xlsx"/>
    <x v="5"/>
    <x v="8"/>
  </r>
  <r>
    <s v="MonthlyTradeStatistics 2021_09.xlsx"/>
    <x v="15"/>
    <n v="2053.4454000000001"/>
    <s v="2021_09.xlsx"/>
    <x v="5"/>
    <x v="8"/>
  </r>
  <r>
    <s v="MonthlyTradeStatistics 2021_09.xlsx"/>
    <x v="16"/>
    <n v="16000"/>
    <s v="2021_09.xlsx"/>
    <x v="5"/>
    <x v="8"/>
  </r>
  <r>
    <s v="MonthlyTradeStatistics 2021_09.xlsx"/>
    <x v="17"/>
    <n v="3554.5841"/>
    <s v="2021_09.xlsx"/>
    <x v="5"/>
    <x v="8"/>
  </r>
  <r>
    <s v="MonthlyTradeStatistics 2021_09.xlsx"/>
    <x v="18"/>
    <n v="34494.5942"/>
    <s v="2021_09.xlsx"/>
    <x v="5"/>
    <x v="8"/>
  </r>
  <r>
    <s v="MonthlyTradeStatistics 2021_09.xlsx"/>
    <x v="19"/>
    <n v="20780.571499999998"/>
    <s v="2021_09.xlsx"/>
    <x v="5"/>
    <x v="8"/>
  </r>
  <r>
    <s v="MonthlyTradeStatistics 2021_09.xlsx"/>
    <x v="20"/>
    <n v="0"/>
    <s v="2021_09.xlsx"/>
    <x v="5"/>
    <x v="8"/>
  </r>
  <r>
    <s v="MonthlyTradeStatistics 2021_09.xlsx"/>
    <x v="21"/>
    <n v="415359.71669999999"/>
    <s v="2021_09.xlsx"/>
    <x v="5"/>
    <x v="8"/>
  </r>
  <r>
    <s v="MonthlyTradeStatistics 2021_09.xlsx"/>
    <x v="22"/>
    <n v="0"/>
    <s v="2021_09.xlsx"/>
    <x v="5"/>
    <x v="8"/>
  </r>
  <r>
    <s v="MonthlyTradeStatistics 2021_09.xlsx"/>
    <x v="23"/>
    <n v="465.7987"/>
    <s v="2021_09.xlsx"/>
    <x v="5"/>
    <x v="8"/>
  </r>
  <r>
    <s v="MonthlyTradeStatistics 2021_09.xlsx"/>
    <x v="24"/>
    <n v="295833.88370000001"/>
    <s v="2021_09.xlsx"/>
    <x v="5"/>
    <x v="8"/>
  </r>
  <r>
    <s v="MonthlyTradeStatistics 2021_09.xlsx"/>
    <x v="25"/>
    <n v="0"/>
    <s v="2021_09.xlsx"/>
    <x v="5"/>
    <x v="8"/>
  </r>
  <r>
    <s v="MonthlyTradeStatistics 2021_09.xlsx"/>
    <x v="26"/>
    <n v="0"/>
    <s v="2021_09.xlsx"/>
    <x v="5"/>
    <x v="8"/>
  </r>
  <r>
    <s v="MonthlyTradeStatistics 2021_09.xlsx"/>
    <x v="27"/>
    <n v="40"/>
    <s v="2021_09.xlsx"/>
    <x v="5"/>
    <x v="8"/>
  </r>
  <r>
    <s v="MonthlyTradeStatistics 2021_09.xlsx"/>
    <x v="28"/>
    <n v="235050.15599999999"/>
    <s v="2021_09.xlsx"/>
    <x v="5"/>
    <x v="8"/>
  </r>
  <r>
    <s v="MonthlyTradeStatistics 2021_09.xlsx"/>
    <x v="29"/>
    <n v="637563.6997"/>
    <s v="2021_09.xlsx"/>
    <x v="5"/>
    <x v="8"/>
  </r>
  <r>
    <s v="MonthlyTradeStatistics 2021_09.xlsx"/>
    <x v="30"/>
    <n v="726229.77529999998"/>
    <s v="2021_09.xlsx"/>
    <x v="5"/>
    <x v="8"/>
  </r>
  <r>
    <s v="MonthlyTradeStatistics 2021_09.xlsx"/>
    <x v="31"/>
    <n v="2030.1532"/>
    <s v="2021_09.xlsx"/>
    <x v="5"/>
    <x v="8"/>
  </r>
  <r>
    <s v="MonthlyTradeStatistics 2021_09.xlsx"/>
    <x v="32"/>
    <n v="51544.092299999997"/>
    <s v="2021_09.xlsx"/>
    <x v="5"/>
    <x v="8"/>
  </r>
  <r>
    <s v="MonthlyTradeStatistics 2021_09.xlsx"/>
    <x v="33"/>
    <n v="25599.9967"/>
    <s v="2021_09.xlsx"/>
    <x v="5"/>
    <x v="8"/>
  </r>
  <r>
    <s v="MonthlyTradeStatistics 2021_09.xlsx"/>
    <x v="34"/>
    <n v="0"/>
    <s v="2021_09.xlsx"/>
    <x v="5"/>
    <x v="8"/>
  </r>
  <r>
    <s v="MonthlyTradeStatistics 2021_09.xlsx"/>
    <x v="35"/>
    <n v="0"/>
    <s v="2021_09.xlsx"/>
    <x v="5"/>
    <x v="8"/>
  </r>
  <r>
    <s v="MonthlyTradeStatistics 2021_09.xlsx"/>
    <x v="36"/>
    <n v="2181.9917999999998"/>
    <s v="2021_09.xlsx"/>
    <x v="5"/>
    <x v="8"/>
  </r>
  <r>
    <s v="MonthlyTradeStatistics 2021_09.xlsx"/>
    <x v="37"/>
    <n v="189919.93979999999"/>
    <s v="2021_09.xlsx"/>
    <x v="5"/>
    <x v="8"/>
  </r>
  <r>
    <s v="MonthlyTradeStatistics 2021_09.xlsx"/>
    <x v="38"/>
    <n v="217.6397"/>
    <s v="2021_09.xlsx"/>
    <x v="5"/>
    <x v="8"/>
  </r>
  <r>
    <s v="MonthlyTradeStatistics 2021_09.xlsx"/>
    <x v="39"/>
    <n v="86683.889200000005"/>
    <s v="2021_09.xlsx"/>
    <x v="5"/>
    <x v="8"/>
  </r>
  <r>
    <s v="MonthlyTradeStatistics 2021_09.xlsx"/>
    <x v="40"/>
    <n v="0"/>
    <s v="2021_09.xlsx"/>
    <x v="5"/>
    <x v="8"/>
  </r>
  <r>
    <s v="MonthlyTradeStatistics 2021_09.xlsx"/>
    <x v="41"/>
    <n v="3551.9751999999999"/>
    <s v="2021_09.xlsx"/>
    <x v="5"/>
    <x v="8"/>
  </r>
  <r>
    <s v="MonthlyTradeStatistics 2021_09.xlsx"/>
    <x v="42"/>
    <n v="143801.071"/>
    <s v="2021_09.xlsx"/>
    <x v="5"/>
    <x v="8"/>
  </r>
  <r>
    <s v="MonthlyTradeStatistics 2021_09.xlsx"/>
    <x v="43"/>
    <n v="0"/>
    <s v="2021_09.xlsx"/>
    <x v="5"/>
    <x v="8"/>
  </r>
  <r>
    <s v="MonthlyTradeStatistics 2021_09.xlsx"/>
    <x v="44"/>
    <n v="497486.69620000001"/>
    <s v="2021_09.xlsx"/>
    <x v="5"/>
    <x v="8"/>
  </r>
  <r>
    <s v="MonthlyTradeStatistics 2021_09.xlsx"/>
    <x v="45"/>
    <n v="147.59200000000001"/>
    <s v="2021_09.xlsx"/>
    <x v="5"/>
    <x v="8"/>
  </r>
  <r>
    <s v="MonthlyTradeStatistics 2021_09.xlsx"/>
    <x v="46"/>
    <n v="21838.688300000002"/>
    <s v="2021_09.xlsx"/>
    <x v="5"/>
    <x v="8"/>
  </r>
  <r>
    <s v="MonthlyTradeStatistics 2021_09.xlsx"/>
    <x v="47"/>
    <n v="3000"/>
    <s v="2021_09.xlsx"/>
    <x v="5"/>
    <x v="8"/>
  </r>
  <r>
    <s v="MonthlyTradeStatistics 2021_09.xlsx"/>
    <x v="48"/>
    <n v="133.04929999999999"/>
    <s v="2021_09.xlsx"/>
    <x v="5"/>
    <x v="8"/>
  </r>
  <r>
    <s v="MonthlyTradeStatistics 2021_09.xlsx"/>
    <x v="49"/>
    <n v="58618.16"/>
    <s v="2021_09.xlsx"/>
    <x v="5"/>
    <x v="8"/>
  </r>
  <r>
    <s v="MonthlyTradeStatistics 2021_09.xlsx"/>
    <x v="50"/>
    <n v="22835.314600000002"/>
    <s v="2021_09.xlsx"/>
    <x v="5"/>
    <x v="8"/>
  </r>
  <r>
    <s v="MonthlyTradeStatistics 2021_09.xlsx"/>
    <x v="51"/>
    <n v="17528"/>
    <s v="2021_09.xlsx"/>
    <x v="5"/>
    <x v="8"/>
  </r>
  <r>
    <s v="MonthlyTradeStatistics 2021_09.xlsx"/>
    <x v="52"/>
    <n v="1666.6667"/>
    <s v="2021_09.xlsx"/>
    <x v="5"/>
    <x v="8"/>
  </r>
  <r>
    <s v="MonthlyTradeStatistics 2021_09.xlsx"/>
    <x v="53"/>
    <n v="264.54590000000002"/>
    <s v="2021_09.xlsx"/>
    <x v="5"/>
    <x v="8"/>
  </r>
  <r>
    <s v="MonthlyTradeStatistics 2021_09.xlsx"/>
    <x v="54"/>
    <n v="585578"/>
    <s v="2021_09.xlsx"/>
    <x v="5"/>
    <x v="8"/>
  </r>
  <r>
    <s v="MonthlyTradeStatistics 2021_09.xlsx"/>
    <x v="55"/>
    <n v="700"/>
    <s v="2021_09.xlsx"/>
    <x v="5"/>
    <x v="8"/>
  </r>
  <r>
    <s v="MonthlyTradeStatistics 2021_09.xlsx"/>
    <x v="56"/>
    <n v="1717648.9405"/>
    <s v="2021_09.xlsx"/>
    <x v="5"/>
    <x v="8"/>
  </r>
  <r>
    <s v="MonthlyTradeStatistics 2021_09.xlsx"/>
    <x v="57"/>
    <n v="5919.9952999999996"/>
    <s v="2021_09.xlsx"/>
    <x v="5"/>
    <x v="8"/>
  </r>
  <r>
    <s v="MonthlyTradeStatistics 2021_09.xlsx"/>
    <x v="58"/>
    <n v="4383"/>
    <s v="2021_09.xlsx"/>
    <x v="5"/>
    <x v="8"/>
  </r>
  <r>
    <s v="MonthlyTradeStatistics 2021_09.xlsx"/>
    <x v="59"/>
    <n v="0.95199999999999996"/>
    <s v="2021_09.xlsx"/>
    <x v="5"/>
    <x v="8"/>
  </r>
  <r>
    <s v="MonthlyTradeStatistics 2021_10.xlsx"/>
    <x v="0"/>
    <n v="9741322.9992999993"/>
    <s v="2021_10.xlsx"/>
    <x v="5"/>
    <x v="9"/>
  </r>
  <r>
    <s v="MonthlyTradeStatistics 2021_10.xlsx"/>
    <x v="1"/>
    <n v="1060885.3356999999"/>
    <s v="2021_10.xlsx"/>
    <x v="5"/>
    <x v="9"/>
  </r>
  <r>
    <s v="MonthlyTradeStatistics 2021_10.xlsx"/>
    <x v="2"/>
    <n v="1580714.5089"/>
    <s v="2021_10.xlsx"/>
    <x v="5"/>
    <x v="9"/>
  </r>
  <r>
    <s v="MonthlyTradeStatistics 2021_10.xlsx"/>
    <x v="3"/>
    <n v="3533600.1883"/>
    <s v="2021_10.xlsx"/>
    <x v="5"/>
    <x v="9"/>
  </r>
  <r>
    <s v="MonthlyTradeStatistics 2021_10.xlsx"/>
    <x v="4"/>
    <n v="3566122.9663999998"/>
    <s v="2021_10.xlsx"/>
    <x v="5"/>
    <x v="9"/>
  </r>
  <r>
    <s v="MonthlyTradeStatistics 2021_10.xlsx"/>
    <x v="5"/>
    <n v="3056.5509000000002"/>
    <s v="2021_10.xlsx"/>
    <x v="5"/>
    <x v="9"/>
  </r>
  <r>
    <s v="MonthlyTradeStatistics 2021_10.xlsx"/>
    <x v="6"/>
    <n v="1833.85"/>
    <s v="2021_10.xlsx"/>
    <x v="5"/>
    <x v="9"/>
  </r>
  <r>
    <s v="MonthlyTradeStatistics 2021_10.xlsx"/>
    <x v="7"/>
    <n v="3289593.2513000001"/>
    <s v="2021_10.xlsx"/>
    <x v="5"/>
    <x v="9"/>
  </r>
  <r>
    <s v="MonthlyTradeStatistics 2021_10.xlsx"/>
    <x v="8"/>
    <n v="15398.9167"/>
    <s v="2021_10.xlsx"/>
    <x v="5"/>
    <x v="9"/>
  </r>
  <r>
    <s v="MonthlyTradeStatistics 2021_10.xlsx"/>
    <x v="9"/>
    <n v="14100"/>
    <s v="2021_10.xlsx"/>
    <x v="5"/>
    <x v="9"/>
  </r>
  <r>
    <s v="MonthlyTradeStatistics 2021_10.xlsx"/>
    <x v="10"/>
    <n v="900"/>
    <s v="2021_10.xlsx"/>
    <x v="5"/>
    <x v="9"/>
  </r>
  <r>
    <s v="MonthlyTradeStatistics 2021_10.xlsx"/>
    <x v="11"/>
    <n v="987364.82059999998"/>
    <s v="2021_10.xlsx"/>
    <x v="5"/>
    <x v="9"/>
  </r>
  <r>
    <s v="MonthlyTradeStatistics 2021_10.xlsx"/>
    <x v="12"/>
    <n v="7.0609999999999999"/>
    <s v="2021_10.xlsx"/>
    <x v="5"/>
    <x v="9"/>
  </r>
  <r>
    <s v="MonthlyTradeStatistics 2021_10.xlsx"/>
    <x v="13"/>
    <n v="29626.155900000002"/>
    <s v="2021_10.xlsx"/>
    <x v="5"/>
    <x v="9"/>
  </r>
  <r>
    <s v="MonthlyTradeStatistics 2021_10.xlsx"/>
    <x v="14"/>
    <n v="15925.6999"/>
    <s v="2021_10.xlsx"/>
    <x v="5"/>
    <x v="9"/>
  </r>
  <r>
    <s v="MonthlyTradeStatistics 2021_10.xlsx"/>
    <x v="15"/>
    <n v="2053.4454000000001"/>
    <s v="2021_10.xlsx"/>
    <x v="5"/>
    <x v="9"/>
  </r>
  <r>
    <s v="MonthlyTradeStatistics 2021_10.xlsx"/>
    <x v="16"/>
    <n v="9000"/>
    <s v="2021_10.xlsx"/>
    <x v="5"/>
    <x v="9"/>
  </r>
  <r>
    <s v="MonthlyTradeStatistics 2021_10.xlsx"/>
    <x v="17"/>
    <n v="9984.8040000000001"/>
    <s v="2021_10.xlsx"/>
    <x v="5"/>
    <x v="9"/>
  </r>
  <r>
    <s v="MonthlyTradeStatistics 2021_10.xlsx"/>
    <x v="18"/>
    <n v="47478.66"/>
    <s v="2021_10.xlsx"/>
    <x v="5"/>
    <x v="9"/>
  </r>
  <r>
    <s v="MonthlyTradeStatistics 2021_10.xlsx"/>
    <x v="19"/>
    <n v="16201.4169"/>
    <s v="2021_10.xlsx"/>
    <x v="5"/>
    <x v="9"/>
  </r>
  <r>
    <s v="MonthlyTradeStatistics 2021_10.xlsx"/>
    <x v="20"/>
    <n v="0"/>
    <s v="2021_10.xlsx"/>
    <x v="5"/>
    <x v="9"/>
  </r>
  <r>
    <s v="MonthlyTradeStatistics 2021_10.xlsx"/>
    <x v="21"/>
    <n v="415359.70409999997"/>
    <s v="2021_10.xlsx"/>
    <x v="5"/>
    <x v="9"/>
  </r>
  <r>
    <s v="MonthlyTradeStatistics 2021_10.xlsx"/>
    <x v="22"/>
    <n v="0"/>
    <s v="2021_10.xlsx"/>
    <x v="5"/>
    <x v="9"/>
  </r>
  <r>
    <s v="MonthlyTradeStatistics 2021_10.xlsx"/>
    <x v="23"/>
    <n v="50.613300000000002"/>
    <s v="2021_10.xlsx"/>
    <x v="5"/>
    <x v="9"/>
  </r>
  <r>
    <s v="MonthlyTradeStatistics 2021_10.xlsx"/>
    <x v="24"/>
    <n v="129518.0949"/>
    <s v="2021_10.xlsx"/>
    <x v="5"/>
    <x v="9"/>
  </r>
  <r>
    <s v="MonthlyTradeStatistics 2021_10.xlsx"/>
    <x v="25"/>
    <n v="0"/>
    <s v="2021_10.xlsx"/>
    <x v="5"/>
    <x v="9"/>
  </r>
  <r>
    <s v="MonthlyTradeStatistics 2021_10.xlsx"/>
    <x v="26"/>
    <n v="191.5583"/>
    <s v="2021_10.xlsx"/>
    <x v="5"/>
    <x v="9"/>
  </r>
  <r>
    <s v="MonthlyTradeStatistics 2021_10.xlsx"/>
    <x v="27"/>
    <n v="399.99990000000003"/>
    <s v="2021_10.xlsx"/>
    <x v="5"/>
    <x v="9"/>
  </r>
  <r>
    <s v="MonthlyTradeStatistics 2021_10.xlsx"/>
    <x v="28"/>
    <n v="80328.259999999995"/>
    <s v="2021_10.xlsx"/>
    <x v="5"/>
    <x v="9"/>
  </r>
  <r>
    <s v="MonthlyTradeStatistics 2021_10.xlsx"/>
    <x v="29"/>
    <n v="473047.63380000001"/>
    <s v="2021_10.xlsx"/>
    <x v="5"/>
    <x v="9"/>
  </r>
  <r>
    <s v="MonthlyTradeStatistics 2021_10.xlsx"/>
    <x v="30"/>
    <n v="836143.2"/>
    <s v="2021_10.xlsx"/>
    <x v="5"/>
    <x v="9"/>
  </r>
  <r>
    <s v="MonthlyTradeStatistics 2021_10.xlsx"/>
    <x v="31"/>
    <n v="1542.7044000000001"/>
    <s v="2021_10.xlsx"/>
    <x v="5"/>
    <x v="9"/>
  </r>
  <r>
    <s v="MonthlyTradeStatistics 2021_10.xlsx"/>
    <x v="32"/>
    <n v="47432.185100000002"/>
    <s v="2021_10.xlsx"/>
    <x v="5"/>
    <x v="9"/>
  </r>
  <r>
    <s v="MonthlyTradeStatistics 2021_10.xlsx"/>
    <x v="33"/>
    <n v="27999.992300000002"/>
    <s v="2021_10.xlsx"/>
    <x v="5"/>
    <x v="9"/>
  </r>
  <r>
    <s v="MonthlyTradeStatistics 2021_10.xlsx"/>
    <x v="34"/>
    <n v="0"/>
    <s v="2021_10.xlsx"/>
    <x v="5"/>
    <x v="9"/>
  </r>
  <r>
    <s v="MonthlyTradeStatistics 2021_10.xlsx"/>
    <x v="35"/>
    <n v="2.9762"/>
    <s v="2021_10.xlsx"/>
    <x v="5"/>
    <x v="9"/>
  </r>
  <r>
    <s v="MonthlyTradeStatistics 2021_10.xlsx"/>
    <x v="36"/>
    <n v="1402.55"/>
    <s v="2021_10.xlsx"/>
    <x v="5"/>
    <x v="9"/>
  </r>
  <r>
    <s v="MonthlyTradeStatistics 2021_10.xlsx"/>
    <x v="37"/>
    <n v="227852.68669999999"/>
    <s v="2021_10.xlsx"/>
    <x v="5"/>
    <x v="9"/>
  </r>
  <r>
    <s v="MonthlyTradeStatistics 2021_10.xlsx"/>
    <x v="38"/>
    <n v="28"/>
    <s v="2021_10.xlsx"/>
    <x v="5"/>
    <x v="9"/>
  </r>
  <r>
    <s v="MonthlyTradeStatistics 2021_10.xlsx"/>
    <x v="39"/>
    <n v="74488.598199999993"/>
    <s v="2021_10.xlsx"/>
    <x v="5"/>
    <x v="9"/>
  </r>
  <r>
    <s v="MonthlyTradeStatistics 2021_10.xlsx"/>
    <x v="40"/>
    <n v="0"/>
    <s v="2021_10.xlsx"/>
    <x v="5"/>
    <x v="9"/>
  </r>
  <r>
    <s v="MonthlyTradeStatistics 2021_10.xlsx"/>
    <x v="41"/>
    <n v="3131.7712999999999"/>
    <s v="2021_10.xlsx"/>
    <x v="5"/>
    <x v="9"/>
  </r>
  <r>
    <s v="MonthlyTradeStatistics 2021_10.xlsx"/>
    <x v="42"/>
    <n v="81159.666700000002"/>
    <s v="2021_10.xlsx"/>
    <x v="5"/>
    <x v="9"/>
  </r>
  <r>
    <s v="MonthlyTradeStatistics 2021_10.xlsx"/>
    <x v="43"/>
    <n v="0.41670000000000001"/>
    <s v="2021_10.xlsx"/>
    <x v="5"/>
    <x v="9"/>
  </r>
  <r>
    <s v="MonthlyTradeStatistics 2021_10.xlsx"/>
    <x v="44"/>
    <n v="529995.72439999995"/>
    <s v="2021_10.xlsx"/>
    <x v="5"/>
    <x v="9"/>
  </r>
  <r>
    <s v="MonthlyTradeStatistics 2021_10.xlsx"/>
    <x v="45"/>
    <n v="2.4108999999999998"/>
    <s v="2021_10.xlsx"/>
    <x v="5"/>
    <x v="9"/>
  </r>
  <r>
    <s v="MonthlyTradeStatistics 2021_10.xlsx"/>
    <x v="46"/>
    <n v="41666.815199999997"/>
    <s v="2021_10.xlsx"/>
    <x v="5"/>
    <x v="9"/>
  </r>
  <r>
    <s v="MonthlyTradeStatistics 2021_10.xlsx"/>
    <x v="47"/>
    <n v="3100"/>
    <s v="2021_10.xlsx"/>
    <x v="5"/>
    <x v="9"/>
  </r>
  <r>
    <s v="MonthlyTradeStatistics 2021_10.xlsx"/>
    <x v="48"/>
    <n v="133.04929999999999"/>
    <s v="2021_10.xlsx"/>
    <x v="5"/>
    <x v="9"/>
  </r>
  <r>
    <s v="MonthlyTradeStatistics 2021_10.xlsx"/>
    <x v="49"/>
    <n v="73991.25"/>
    <s v="2021_10.xlsx"/>
    <x v="5"/>
    <x v="9"/>
  </r>
  <r>
    <s v="MonthlyTradeStatistics 2021_10.xlsx"/>
    <x v="50"/>
    <n v="18206.183099999998"/>
    <s v="2021_10.xlsx"/>
    <x v="5"/>
    <x v="9"/>
  </r>
  <r>
    <s v="MonthlyTradeStatistics 2021_10.xlsx"/>
    <x v="51"/>
    <n v="21419.0167"/>
    <s v="2021_10.xlsx"/>
    <x v="5"/>
    <x v="9"/>
  </r>
  <r>
    <s v="MonthlyTradeStatistics 2021_10.xlsx"/>
    <x v="52"/>
    <n v="83.333299999999994"/>
    <s v="2021_10.xlsx"/>
    <x v="5"/>
    <x v="9"/>
  </r>
  <r>
    <s v="MonthlyTradeStatistics 2021_10.xlsx"/>
    <x v="53"/>
    <n v="108.55589999999999"/>
    <s v="2021_10.xlsx"/>
    <x v="5"/>
    <x v="9"/>
  </r>
  <r>
    <s v="MonthlyTradeStatistics 2021_10.xlsx"/>
    <x v="54"/>
    <n v="486534"/>
    <s v="2021_10.xlsx"/>
    <x v="5"/>
    <x v="9"/>
  </r>
  <r>
    <s v="MonthlyTradeStatistics 2021_10.xlsx"/>
    <x v="55"/>
    <n v="11100"/>
    <s v="2021_10.xlsx"/>
    <x v="5"/>
    <x v="9"/>
  </r>
  <r>
    <s v="MonthlyTradeStatistics 2021_10.xlsx"/>
    <x v="56"/>
    <n v="1705717.4205"/>
    <s v="2021_10.xlsx"/>
    <x v="5"/>
    <x v="9"/>
  </r>
  <r>
    <s v="MonthlyTradeStatistics 2021_10.xlsx"/>
    <x v="57"/>
    <n v="4259.9955"/>
    <s v="2021_10.xlsx"/>
    <x v="5"/>
    <x v="9"/>
  </r>
  <r>
    <s v="MonthlyTradeStatistics 2021_10.xlsx"/>
    <x v="58"/>
    <n v="2400"/>
    <s v="2021_10.xlsx"/>
    <x v="5"/>
    <x v="9"/>
  </r>
  <r>
    <s v="MonthlyTradeStatistics 2021_10.xlsx"/>
    <x v="59"/>
    <n v="0"/>
    <s v="2021_10.xlsx"/>
    <x v="5"/>
    <x v="9"/>
  </r>
  <r>
    <s v="MonthlyTradeStatistics 2021_11.xlsx"/>
    <x v="0"/>
    <n v="9756505.9453999996"/>
    <s v="2021_11.xlsx"/>
    <x v="5"/>
    <x v="10"/>
  </r>
  <r>
    <s v="MonthlyTradeStatistics 2021_11.xlsx"/>
    <x v="1"/>
    <n v="1222751.057"/>
    <s v="2021_11.xlsx"/>
    <x v="5"/>
    <x v="10"/>
  </r>
  <r>
    <s v="MonthlyTradeStatistics 2021_11.xlsx"/>
    <x v="2"/>
    <n v="1550303.2988"/>
    <s v="2021_11.xlsx"/>
    <x v="5"/>
    <x v="10"/>
  </r>
  <r>
    <s v="MonthlyTradeStatistics 2021_11.xlsx"/>
    <x v="3"/>
    <n v="3233907.8791"/>
    <s v="2021_11.xlsx"/>
    <x v="5"/>
    <x v="10"/>
  </r>
  <r>
    <s v="MonthlyTradeStatistics 2021_11.xlsx"/>
    <x v="4"/>
    <n v="3749543.7105"/>
    <s v="2021_11.xlsx"/>
    <x v="5"/>
    <x v="10"/>
  </r>
  <r>
    <s v="MonthlyTradeStatistics 2021_11.xlsx"/>
    <x v="5"/>
    <n v="2568.6799999999998"/>
    <s v="2021_11.xlsx"/>
    <x v="5"/>
    <x v="10"/>
  </r>
  <r>
    <s v="MonthlyTradeStatistics 2021_11.xlsx"/>
    <x v="6"/>
    <n v="4560.5333000000001"/>
    <s v="2021_11.xlsx"/>
    <x v="5"/>
    <x v="10"/>
  </r>
  <r>
    <s v="MonthlyTradeStatistics 2021_11.xlsx"/>
    <x v="7"/>
    <n v="3257808.9846000001"/>
    <s v="2021_11.xlsx"/>
    <x v="5"/>
    <x v="10"/>
  </r>
  <r>
    <s v="MonthlyTradeStatistics 2021_11.xlsx"/>
    <x v="8"/>
    <n v="23320.916700000002"/>
    <s v="2021_11.xlsx"/>
    <x v="5"/>
    <x v="10"/>
  </r>
  <r>
    <s v="MonthlyTradeStatistics 2021_11.xlsx"/>
    <x v="9"/>
    <n v="10900"/>
    <s v="2021_11.xlsx"/>
    <x v="5"/>
    <x v="10"/>
  </r>
  <r>
    <s v="MonthlyTradeStatistics 2021_11.xlsx"/>
    <x v="10"/>
    <n v="400"/>
    <s v="2021_11.xlsx"/>
    <x v="5"/>
    <x v="10"/>
  </r>
  <r>
    <s v="MonthlyTradeStatistics 2021_11.xlsx"/>
    <x v="11"/>
    <n v="1145130.4284000001"/>
    <s v="2021_11.xlsx"/>
    <x v="5"/>
    <x v="10"/>
  </r>
  <r>
    <s v="MonthlyTradeStatistics 2021_11.xlsx"/>
    <x v="12"/>
    <n v="7.0609999999999999"/>
    <s v="2021_11.xlsx"/>
    <x v="5"/>
    <x v="10"/>
  </r>
  <r>
    <s v="MonthlyTradeStatistics 2021_11.xlsx"/>
    <x v="13"/>
    <n v="13051.636"/>
    <s v="2021_11.xlsx"/>
    <x v="5"/>
    <x v="10"/>
  </r>
  <r>
    <s v="MonthlyTradeStatistics 2021_11.xlsx"/>
    <x v="14"/>
    <n v="64309.682000000001"/>
    <s v="2021_11.xlsx"/>
    <x v="5"/>
    <x v="10"/>
  </r>
  <r>
    <s v="MonthlyTradeStatistics 2021_11.xlsx"/>
    <x v="15"/>
    <n v="2053.4454000000001"/>
    <s v="2021_11.xlsx"/>
    <x v="5"/>
    <x v="10"/>
  </r>
  <r>
    <s v="MonthlyTradeStatistics 2021_11.xlsx"/>
    <x v="16"/>
    <n v="14000"/>
    <s v="2021_11.xlsx"/>
    <x v="5"/>
    <x v="10"/>
  </r>
  <r>
    <s v="MonthlyTradeStatistics 2021_11.xlsx"/>
    <x v="17"/>
    <n v="7015.0541000000003"/>
    <s v="2021_11.xlsx"/>
    <x v="5"/>
    <x v="10"/>
  </r>
  <r>
    <s v="MonthlyTradeStatistics 2021_11.xlsx"/>
    <x v="18"/>
    <n v="50070.785799999998"/>
    <s v="2021_11.xlsx"/>
    <x v="5"/>
    <x v="10"/>
  </r>
  <r>
    <s v="MonthlyTradeStatistics 2021_11.xlsx"/>
    <x v="19"/>
    <n v="5342.9816000000001"/>
    <s v="2021_11.xlsx"/>
    <x v="5"/>
    <x v="10"/>
  </r>
  <r>
    <s v="MonthlyTradeStatistics 2021_11.xlsx"/>
    <x v="20"/>
    <n v="0"/>
    <s v="2021_11.xlsx"/>
    <x v="5"/>
    <x v="10"/>
  </r>
  <r>
    <s v="MonthlyTradeStatistics 2021_11.xlsx"/>
    <x v="21"/>
    <n v="216646.36670000001"/>
    <s v="2021_11.xlsx"/>
    <x v="5"/>
    <x v="10"/>
  </r>
  <r>
    <s v="MonthlyTradeStatistics 2021_11.xlsx"/>
    <x v="22"/>
    <n v="0"/>
    <s v="2021_11.xlsx"/>
    <x v="5"/>
    <x v="10"/>
  </r>
  <r>
    <s v="MonthlyTradeStatistics 2021_11.xlsx"/>
    <x v="23"/>
    <n v="355.86"/>
    <s v="2021_11.xlsx"/>
    <x v="5"/>
    <x v="10"/>
  </r>
  <r>
    <s v="MonthlyTradeStatistics 2021_11.xlsx"/>
    <x v="24"/>
    <n v="58804.662300000004"/>
    <s v="2021_11.xlsx"/>
    <x v="5"/>
    <x v="10"/>
  </r>
  <r>
    <s v="MonthlyTradeStatistics 2021_11.xlsx"/>
    <x v="25"/>
    <n v="0"/>
    <s v="2021_11.xlsx"/>
    <x v="5"/>
    <x v="10"/>
  </r>
  <r>
    <s v="MonthlyTradeStatistics 2021_11.xlsx"/>
    <x v="26"/>
    <n v="78.13"/>
    <s v="2021_11.xlsx"/>
    <x v="5"/>
    <x v="10"/>
  </r>
  <r>
    <s v="MonthlyTradeStatistics 2021_11.xlsx"/>
    <x v="27"/>
    <n v="8"/>
    <s v="2021_11.xlsx"/>
    <x v="5"/>
    <x v="10"/>
  </r>
  <r>
    <s v="MonthlyTradeStatistics 2021_11.xlsx"/>
    <x v="28"/>
    <n v="103948.39"/>
    <s v="2021_11.xlsx"/>
    <x v="5"/>
    <x v="10"/>
  </r>
  <r>
    <s v="MonthlyTradeStatistics 2021_11.xlsx"/>
    <x v="29"/>
    <n v="586304.94839999999"/>
    <s v="2021_11.xlsx"/>
    <x v="5"/>
    <x v="10"/>
  </r>
  <r>
    <s v="MonthlyTradeStatistics 2021_11.xlsx"/>
    <x v="30"/>
    <n v="595428.8358"/>
    <s v="2021_11.xlsx"/>
    <x v="5"/>
    <x v="10"/>
  </r>
  <r>
    <s v="MonthlyTradeStatistics 2021_11.xlsx"/>
    <x v="31"/>
    <n v="657.06579999999997"/>
    <s v="2021_11.xlsx"/>
    <x v="5"/>
    <x v="10"/>
  </r>
  <r>
    <s v="MonthlyTradeStatistics 2021_11.xlsx"/>
    <x v="32"/>
    <n v="38695.911899999999"/>
    <s v="2021_11.xlsx"/>
    <x v="5"/>
    <x v="10"/>
  </r>
  <r>
    <s v="MonthlyTradeStatistics 2021_11.xlsx"/>
    <x v="33"/>
    <n v="67500.002399999998"/>
    <s v="2021_11.xlsx"/>
    <x v="5"/>
    <x v="10"/>
  </r>
  <r>
    <s v="MonthlyTradeStatistics 2021_11.xlsx"/>
    <x v="34"/>
    <n v="0"/>
    <s v="2021_11.xlsx"/>
    <x v="5"/>
    <x v="10"/>
  </r>
  <r>
    <s v="MonthlyTradeStatistics 2021_11.xlsx"/>
    <x v="35"/>
    <n v="30.601500000000001"/>
    <s v="2021_11.xlsx"/>
    <x v="5"/>
    <x v="10"/>
  </r>
  <r>
    <s v="MonthlyTradeStatistics 2021_11.xlsx"/>
    <x v="36"/>
    <n v="3802.5571"/>
    <s v="2021_11.xlsx"/>
    <x v="5"/>
    <x v="10"/>
  </r>
  <r>
    <s v="MonthlyTradeStatistics 2021_11.xlsx"/>
    <x v="37"/>
    <n v="190903.5147"/>
    <s v="2021_11.xlsx"/>
    <x v="5"/>
    <x v="10"/>
  </r>
  <r>
    <s v="MonthlyTradeStatistics 2021_11.xlsx"/>
    <x v="38"/>
    <n v="18.966699999999999"/>
    <s v="2021_11.xlsx"/>
    <x v="5"/>
    <x v="10"/>
  </r>
  <r>
    <s v="MonthlyTradeStatistics 2021_11.xlsx"/>
    <x v="39"/>
    <n v="63754.339800000002"/>
    <s v="2021_11.xlsx"/>
    <x v="5"/>
    <x v="10"/>
  </r>
  <r>
    <s v="MonthlyTradeStatistics 2021_11.xlsx"/>
    <x v="40"/>
    <n v="0"/>
    <s v="2021_11.xlsx"/>
    <x v="5"/>
    <x v="10"/>
  </r>
  <r>
    <s v="MonthlyTradeStatistics 2021_11.xlsx"/>
    <x v="41"/>
    <n v="1952.8207"/>
    <s v="2021_11.xlsx"/>
    <x v="5"/>
    <x v="10"/>
  </r>
  <r>
    <s v="MonthlyTradeStatistics 2021_11.xlsx"/>
    <x v="42"/>
    <n v="83000"/>
    <s v="2021_11.xlsx"/>
    <x v="5"/>
    <x v="10"/>
  </r>
  <r>
    <s v="MonthlyTradeStatistics 2021_11.xlsx"/>
    <x v="43"/>
    <n v="0.5"/>
    <s v="2021_11.xlsx"/>
    <x v="5"/>
    <x v="10"/>
  </r>
  <r>
    <s v="MonthlyTradeStatistics 2021_11.xlsx"/>
    <x v="44"/>
    <n v="603833.29350000003"/>
    <s v="2021_11.xlsx"/>
    <x v="5"/>
    <x v="10"/>
  </r>
  <r>
    <s v="MonthlyTradeStatistics 2021_11.xlsx"/>
    <x v="45"/>
    <n v="1065.1247000000001"/>
    <s v="2021_11.xlsx"/>
    <x v="5"/>
    <x v="10"/>
  </r>
  <r>
    <s v="MonthlyTradeStatistics 2021_11.xlsx"/>
    <x v="46"/>
    <n v="20857.3361"/>
    <s v="2021_11.xlsx"/>
    <x v="5"/>
    <x v="10"/>
  </r>
  <r>
    <s v="MonthlyTradeStatistics 2021_11.xlsx"/>
    <x v="47"/>
    <n v="1800"/>
    <s v="2021_11.xlsx"/>
    <x v="5"/>
    <x v="10"/>
  </r>
  <r>
    <s v="MonthlyTradeStatistics 2021_11.xlsx"/>
    <x v="48"/>
    <n v="133.04929999999999"/>
    <s v="2021_11.xlsx"/>
    <x v="5"/>
    <x v="10"/>
  </r>
  <r>
    <s v="MonthlyTradeStatistics 2021_11.xlsx"/>
    <x v="49"/>
    <n v="97961.246700000003"/>
    <s v="2021_11.xlsx"/>
    <x v="5"/>
    <x v="10"/>
  </r>
  <r>
    <s v="MonthlyTradeStatistics 2021_11.xlsx"/>
    <x v="50"/>
    <n v="18717.0507"/>
    <s v="2021_11.xlsx"/>
    <x v="5"/>
    <x v="10"/>
  </r>
  <r>
    <s v="MonthlyTradeStatistics 2021_11.xlsx"/>
    <x v="51"/>
    <n v="23571.333299999998"/>
    <s v="2021_11.xlsx"/>
    <x v="5"/>
    <x v="10"/>
  </r>
  <r>
    <s v="MonthlyTradeStatistics 2021_11.xlsx"/>
    <x v="52"/>
    <n v="320"/>
    <s v="2021_11.xlsx"/>
    <x v="5"/>
    <x v="10"/>
  </r>
  <r>
    <s v="MonthlyTradeStatistics 2021_11.xlsx"/>
    <x v="53"/>
    <n v="692.16330000000005"/>
    <s v="2021_11.xlsx"/>
    <x v="5"/>
    <x v="10"/>
  </r>
  <r>
    <s v="MonthlyTradeStatistics 2021_11.xlsx"/>
    <x v="54"/>
    <n v="524902.01"/>
    <s v="2021_11.xlsx"/>
    <x v="5"/>
    <x v="10"/>
  </r>
  <r>
    <s v="MonthlyTradeStatistics 2021_11.xlsx"/>
    <x v="55"/>
    <n v="700"/>
    <s v="2021_11.xlsx"/>
    <x v="5"/>
    <x v="10"/>
  </r>
  <r>
    <s v="MonthlyTradeStatistics 2021_11.xlsx"/>
    <x v="56"/>
    <n v="1839000.0089"/>
    <s v="2021_11.xlsx"/>
    <x v="5"/>
    <x v="10"/>
  </r>
  <r>
    <s v="MonthlyTradeStatistics 2021_11.xlsx"/>
    <x v="57"/>
    <n v="4249.9994999999999"/>
    <s v="2021_11.xlsx"/>
    <x v="5"/>
    <x v="10"/>
  </r>
  <r>
    <s v="MonthlyTradeStatistics 2021_11.xlsx"/>
    <x v="58"/>
    <n v="5311.6666999999998"/>
    <s v="2021_11.xlsx"/>
    <x v="5"/>
    <x v="10"/>
  </r>
  <r>
    <s v="MonthlyTradeStatistics 2021_11.xlsx"/>
    <x v="59"/>
    <n v="960"/>
    <s v="2021_11.xlsx"/>
    <x v="5"/>
    <x v="10"/>
  </r>
  <r>
    <s v="MonthlyTradeStatistics 2021_12.xlsx"/>
    <x v="0"/>
    <n v="12156255.9998"/>
    <s v="2021_12.xlsx"/>
    <x v="5"/>
    <x v="11"/>
  </r>
  <r>
    <s v="MonthlyTradeStatistics 2021_12.xlsx"/>
    <x v="1"/>
    <n v="1268549.6721999999"/>
    <s v="2021_12.xlsx"/>
    <x v="5"/>
    <x v="11"/>
  </r>
  <r>
    <s v="MonthlyTradeStatistics 2021_12.xlsx"/>
    <x v="2"/>
    <n v="2004883.8033"/>
    <s v="2021_12.xlsx"/>
    <x v="5"/>
    <x v="11"/>
  </r>
  <r>
    <s v="MonthlyTradeStatistics 2021_12.xlsx"/>
    <x v="3"/>
    <n v="3957020.3196"/>
    <s v="2021_12.xlsx"/>
    <x v="5"/>
    <x v="11"/>
  </r>
  <r>
    <s v="MonthlyTradeStatistics 2021_12.xlsx"/>
    <x v="4"/>
    <n v="4925802.2046999997"/>
    <s v="2021_12.xlsx"/>
    <x v="5"/>
    <x v="11"/>
  </r>
  <r>
    <s v="MonthlyTradeStatistics 2021_12.xlsx"/>
    <x v="5"/>
    <n v="1270.9332999999999"/>
    <s v="2021_12.xlsx"/>
    <x v="5"/>
    <x v="11"/>
  </r>
  <r>
    <s v="MonthlyTradeStatistics 2021_12.xlsx"/>
    <x v="6"/>
    <n v="4085.2"/>
    <s v="2021_12.xlsx"/>
    <x v="5"/>
    <x v="11"/>
  </r>
  <r>
    <s v="MonthlyTradeStatistics 2021_12.xlsx"/>
    <x v="7"/>
    <n v="3944334.0693000001"/>
    <s v="2021_12.xlsx"/>
    <x v="5"/>
    <x v="11"/>
  </r>
  <r>
    <s v="MonthlyTradeStatistics 2021_12.xlsx"/>
    <x v="8"/>
    <n v="16324.0833"/>
    <s v="2021_12.xlsx"/>
    <x v="5"/>
    <x v="11"/>
  </r>
  <r>
    <s v="MonthlyTradeStatistics 2021_12.xlsx"/>
    <x v="9"/>
    <n v="8000"/>
    <s v="2021_12.xlsx"/>
    <x v="5"/>
    <x v="11"/>
  </r>
  <r>
    <s v="MonthlyTradeStatistics 2021_12.xlsx"/>
    <x v="10"/>
    <n v="700"/>
    <s v="2021_12.xlsx"/>
    <x v="5"/>
    <x v="11"/>
  </r>
  <r>
    <s v="MonthlyTradeStatistics 2021_12.xlsx"/>
    <x v="11"/>
    <n v="1175946.2982000001"/>
    <s v="2021_12.xlsx"/>
    <x v="5"/>
    <x v="11"/>
  </r>
  <r>
    <s v="MonthlyTradeStatistics 2021_12.xlsx"/>
    <x v="12"/>
    <n v="7.0609999999999999"/>
    <s v="2021_12.xlsx"/>
    <x v="5"/>
    <x v="11"/>
  </r>
  <r>
    <s v="MonthlyTradeStatistics 2021_12.xlsx"/>
    <x v="13"/>
    <n v="41521.8462"/>
    <s v="2021_12.xlsx"/>
    <x v="5"/>
    <x v="11"/>
  </r>
  <r>
    <s v="MonthlyTradeStatistics 2021_12.xlsx"/>
    <x v="14"/>
    <n v="33035.5504"/>
    <s v="2021_12.xlsx"/>
    <x v="5"/>
    <x v="11"/>
  </r>
  <r>
    <s v="MonthlyTradeStatistics 2021_12.xlsx"/>
    <x v="15"/>
    <n v="2053.4454000000001"/>
    <s v="2021_12.xlsx"/>
    <x v="5"/>
    <x v="11"/>
  </r>
  <r>
    <s v="MonthlyTradeStatistics 2021_12.xlsx"/>
    <x v="16"/>
    <n v="9500"/>
    <s v="2021_12.xlsx"/>
    <x v="5"/>
    <x v="11"/>
  </r>
  <r>
    <s v="MonthlyTradeStatistics 2021_12.xlsx"/>
    <x v="17"/>
    <n v="5186.2335999999996"/>
    <s v="2021_12.xlsx"/>
    <x v="5"/>
    <x v="11"/>
  </r>
  <r>
    <s v="MonthlyTradeStatistics 2021_12.xlsx"/>
    <x v="18"/>
    <n v="105091.79580000001"/>
    <s v="2021_12.xlsx"/>
    <x v="5"/>
    <x v="11"/>
  </r>
  <r>
    <s v="MonthlyTradeStatistics 2021_12.xlsx"/>
    <x v="19"/>
    <n v="6905.3033999999998"/>
    <s v="2021_12.xlsx"/>
    <x v="5"/>
    <x v="11"/>
  </r>
  <r>
    <s v="MonthlyTradeStatistics 2021_12.xlsx"/>
    <x v="20"/>
    <n v="0"/>
    <s v="2021_12.xlsx"/>
    <x v="5"/>
    <x v="11"/>
  </r>
  <r>
    <s v="MonthlyTradeStatistics 2021_12.xlsx"/>
    <x v="21"/>
    <n v="260000"/>
    <s v="2021_12.xlsx"/>
    <x v="5"/>
    <x v="11"/>
  </r>
  <r>
    <s v="MonthlyTradeStatistics 2021_12.xlsx"/>
    <x v="22"/>
    <n v="0"/>
    <s v="2021_12.xlsx"/>
    <x v="5"/>
    <x v="11"/>
  </r>
  <r>
    <s v="MonthlyTradeStatistics 2021_12.xlsx"/>
    <x v="23"/>
    <n v="838.5"/>
    <s v="2021_12.xlsx"/>
    <x v="5"/>
    <x v="11"/>
  </r>
  <r>
    <s v="MonthlyTradeStatistics 2021_12.xlsx"/>
    <x v="24"/>
    <n v="109598.3692"/>
    <s v="2021_12.xlsx"/>
    <x v="5"/>
    <x v="11"/>
  </r>
  <r>
    <s v="MonthlyTradeStatistics 2021_12.xlsx"/>
    <x v="25"/>
    <n v="82591.103199999998"/>
    <s v="2021_12.xlsx"/>
    <x v="5"/>
    <x v="11"/>
  </r>
  <r>
    <s v="MonthlyTradeStatistics 2021_12.xlsx"/>
    <x v="26"/>
    <n v="0"/>
    <s v="2021_12.xlsx"/>
    <x v="5"/>
    <x v="11"/>
  </r>
  <r>
    <s v="MonthlyTradeStatistics 2021_12.xlsx"/>
    <x v="27"/>
    <n v="30"/>
    <s v="2021_12.xlsx"/>
    <x v="5"/>
    <x v="11"/>
  </r>
  <r>
    <s v="MonthlyTradeStatistics 2021_12.xlsx"/>
    <x v="28"/>
    <n v="296222.6887"/>
    <s v="2021_12.xlsx"/>
    <x v="5"/>
    <x v="11"/>
  </r>
  <r>
    <s v="MonthlyTradeStatistics 2021_12.xlsx"/>
    <x v="29"/>
    <n v="683550.78319999995"/>
    <s v="2021_12.xlsx"/>
    <x v="5"/>
    <x v="11"/>
  </r>
  <r>
    <s v="MonthlyTradeStatistics 2021_12.xlsx"/>
    <x v="30"/>
    <n v="685764.97840000002"/>
    <s v="2021_12.xlsx"/>
    <x v="5"/>
    <x v="11"/>
  </r>
  <r>
    <s v="MonthlyTradeStatistics 2021_12.xlsx"/>
    <x v="31"/>
    <n v="610.00369999999998"/>
    <s v="2021_12.xlsx"/>
    <x v="5"/>
    <x v="11"/>
  </r>
  <r>
    <s v="MonthlyTradeStatistics 2021_12.xlsx"/>
    <x v="32"/>
    <n v="6163.2740000000003"/>
    <s v="2021_12.xlsx"/>
    <x v="5"/>
    <x v="11"/>
  </r>
  <r>
    <s v="MonthlyTradeStatistics 2021_12.xlsx"/>
    <x v="33"/>
    <n v="29100.014299999999"/>
    <s v="2021_12.xlsx"/>
    <x v="5"/>
    <x v="11"/>
  </r>
  <r>
    <s v="MonthlyTradeStatistics 2021_12.xlsx"/>
    <x v="34"/>
    <n v="0"/>
    <s v="2021_12.xlsx"/>
    <x v="5"/>
    <x v="11"/>
  </r>
  <r>
    <s v="MonthlyTradeStatistics 2021_12.xlsx"/>
    <x v="35"/>
    <n v="4.6699999999999998E-2"/>
    <s v="2021_12.xlsx"/>
    <x v="5"/>
    <x v="11"/>
  </r>
  <r>
    <s v="MonthlyTradeStatistics 2021_12.xlsx"/>
    <x v="36"/>
    <n v="1649.7722000000001"/>
    <s v="2021_12.xlsx"/>
    <x v="5"/>
    <x v="11"/>
  </r>
  <r>
    <s v="MonthlyTradeStatistics 2021_12.xlsx"/>
    <x v="37"/>
    <n v="189000.00700000001"/>
    <s v="2021_12.xlsx"/>
    <x v="5"/>
    <x v="11"/>
  </r>
  <r>
    <s v="MonthlyTradeStatistics 2021_12.xlsx"/>
    <x v="38"/>
    <n v="37.392600000000002"/>
    <s v="2021_12.xlsx"/>
    <x v="5"/>
    <x v="11"/>
  </r>
  <r>
    <s v="MonthlyTradeStatistics 2021_12.xlsx"/>
    <x v="39"/>
    <n v="159034.02600000001"/>
    <s v="2021_12.xlsx"/>
    <x v="5"/>
    <x v="11"/>
  </r>
  <r>
    <s v="MonthlyTradeStatistics 2021_12.xlsx"/>
    <x v="40"/>
    <n v="0"/>
    <s v="2021_12.xlsx"/>
    <x v="5"/>
    <x v="11"/>
  </r>
  <r>
    <s v="MonthlyTradeStatistics 2021_12.xlsx"/>
    <x v="41"/>
    <n v="1885.6433"/>
    <s v="2021_12.xlsx"/>
    <x v="5"/>
    <x v="11"/>
  </r>
  <r>
    <s v="MonthlyTradeStatistics 2021_12.xlsx"/>
    <x v="42"/>
    <n v="68000"/>
    <s v="2021_12.xlsx"/>
    <x v="5"/>
    <x v="11"/>
  </r>
  <r>
    <s v="MonthlyTradeStatistics 2021_12.xlsx"/>
    <x v="43"/>
    <n v="0"/>
    <s v="2021_12.xlsx"/>
    <x v="5"/>
    <x v="11"/>
  </r>
  <r>
    <s v="MonthlyTradeStatistics 2021_12.xlsx"/>
    <x v="44"/>
    <n v="536391.69620000001"/>
    <s v="2021_12.xlsx"/>
    <x v="5"/>
    <x v="11"/>
  </r>
  <r>
    <s v="MonthlyTradeStatistics 2021_12.xlsx"/>
    <x v="45"/>
    <n v="319.8"/>
    <s v="2021_12.xlsx"/>
    <x v="5"/>
    <x v="11"/>
  </r>
  <r>
    <s v="MonthlyTradeStatistics 2021_12.xlsx"/>
    <x v="46"/>
    <n v="71398.249599999996"/>
    <s v="2021_12.xlsx"/>
    <x v="5"/>
    <x v="11"/>
  </r>
  <r>
    <s v="MonthlyTradeStatistics 2021_12.xlsx"/>
    <x v="47"/>
    <n v="1900"/>
    <s v="2021_12.xlsx"/>
    <x v="5"/>
    <x v="11"/>
  </r>
  <r>
    <s v="MonthlyTradeStatistics 2021_12.xlsx"/>
    <x v="48"/>
    <n v="133.04929999999999"/>
    <s v="2021_12.xlsx"/>
    <x v="5"/>
    <x v="11"/>
  </r>
  <r>
    <s v="MonthlyTradeStatistics 2021_12.xlsx"/>
    <x v="49"/>
    <n v="111552.5333"/>
    <s v="2021_12.xlsx"/>
    <x v="5"/>
    <x v="11"/>
  </r>
  <r>
    <s v="MonthlyTradeStatistics 2021_12.xlsx"/>
    <x v="50"/>
    <n v="19718.718099999998"/>
    <s v="2021_12.xlsx"/>
    <x v="5"/>
    <x v="11"/>
  </r>
  <r>
    <s v="MonthlyTradeStatistics 2021_12.xlsx"/>
    <x v="51"/>
    <n v="15747"/>
    <s v="2021_12.xlsx"/>
    <x v="5"/>
    <x v="11"/>
  </r>
  <r>
    <s v="MonthlyTradeStatistics 2021_12.xlsx"/>
    <x v="52"/>
    <n v="2.0667"/>
    <s v="2021_12.xlsx"/>
    <x v="5"/>
    <x v="11"/>
  </r>
  <r>
    <s v="MonthlyTradeStatistics 2021_12.xlsx"/>
    <x v="53"/>
    <n v="200.9973"/>
    <s v="2021_12.xlsx"/>
    <x v="5"/>
    <x v="11"/>
  </r>
  <r>
    <s v="MonthlyTradeStatistics 2021_12.xlsx"/>
    <x v="54"/>
    <n v="536569"/>
    <s v="2021_12.xlsx"/>
    <x v="5"/>
    <x v="11"/>
  </r>
  <r>
    <s v="MonthlyTradeStatistics 2021_12.xlsx"/>
    <x v="55"/>
    <n v="20600"/>
    <s v="2021_12.xlsx"/>
    <x v="5"/>
    <x v="11"/>
  </r>
  <r>
    <s v="MonthlyTradeStatistics 2021_12.xlsx"/>
    <x v="56"/>
    <n v="2902556.4635000001"/>
    <s v="2021_12.xlsx"/>
    <x v="5"/>
    <x v="11"/>
  </r>
  <r>
    <s v="MonthlyTradeStatistics 2021_12.xlsx"/>
    <x v="57"/>
    <n v="4270.0033999999996"/>
    <s v="2021_12.xlsx"/>
    <x v="5"/>
    <x v="11"/>
  </r>
  <r>
    <s v="MonthlyTradeStatistics 2021_12.xlsx"/>
    <x v="58"/>
    <n v="6858"/>
    <s v="2021_12.xlsx"/>
    <x v="5"/>
    <x v="11"/>
  </r>
  <r>
    <s v="MonthlyTradeStatistics 2021_12.xlsx"/>
    <x v="59"/>
    <n v="0"/>
    <s v="2021_12.xlsx"/>
    <x v="5"/>
    <x v="11"/>
  </r>
  <r>
    <s v="MonthlyTradeStatistics 2022_01.xlsx"/>
    <x v="0"/>
    <n v="11384353.9892"/>
    <s v="2022_01.xlsx"/>
    <x v="6"/>
    <x v="0"/>
  </r>
  <r>
    <s v="MonthlyTradeStatistics 2022_01.xlsx"/>
    <x v="1"/>
    <n v="1192387.3814000001"/>
    <s v="2022_01.xlsx"/>
    <x v="6"/>
    <x v="0"/>
  </r>
  <r>
    <s v="MonthlyTradeStatistics 2022_01.xlsx"/>
    <x v="2"/>
    <n v="2114672.0287000001"/>
    <s v="2022_01.xlsx"/>
    <x v="6"/>
    <x v="0"/>
  </r>
  <r>
    <s v="MonthlyTradeStatistics 2022_01.xlsx"/>
    <x v="3"/>
    <n v="3648697.963"/>
    <s v="2022_01.xlsx"/>
    <x v="6"/>
    <x v="0"/>
  </r>
  <r>
    <s v="MonthlyTradeStatistics 2022_01.xlsx"/>
    <x v="4"/>
    <n v="4428596.6161000002"/>
    <s v="2022_01.xlsx"/>
    <x v="6"/>
    <x v="0"/>
  </r>
  <r>
    <s v="MonthlyTradeStatistics 2022_01.xlsx"/>
    <x v="5"/>
    <n v="2061.3332999999998"/>
    <s v="2022_01.xlsx"/>
    <x v="6"/>
    <x v="0"/>
  </r>
  <r>
    <s v="MonthlyTradeStatistics 2022_01.xlsx"/>
    <x v="6"/>
    <n v="4563.4832999999999"/>
    <s v="2022_01.xlsx"/>
    <x v="6"/>
    <x v="0"/>
  </r>
  <r>
    <s v="MonthlyTradeStatistics 2022_01.xlsx"/>
    <x v="7"/>
    <n v="3468385.6348999999"/>
    <s v="2022_01.xlsx"/>
    <x v="6"/>
    <x v="0"/>
  </r>
  <r>
    <s v="MonthlyTradeStatistics 2022_01.xlsx"/>
    <x v="8"/>
    <n v="6000.5433000000003"/>
    <s v="2022_01.xlsx"/>
    <x v="6"/>
    <x v="0"/>
  </r>
  <r>
    <s v="MonthlyTradeStatistics 2022_01.xlsx"/>
    <x v="9"/>
    <n v="10900"/>
    <s v="2022_01.xlsx"/>
    <x v="6"/>
    <x v="0"/>
  </r>
  <r>
    <s v="MonthlyTradeStatistics 2022_01.xlsx"/>
    <x v="10"/>
    <n v="1200"/>
    <s v="2022_01.xlsx"/>
    <x v="6"/>
    <x v="0"/>
  </r>
  <r>
    <s v="MonthlyTradeStatistics 2022_01.xlsx"/>
    <x v="11"/>
    <n v="1045119.4758"/>
    <s v="2022_01.xlsx"/>
    <x v="6"/>
    <x v="0"/>
  </r>
  <r>
    <s v="MonthlyTradeStatistics 2022_01.xlsx"/>
    <x v="12"/>
    <n v="0.82650000000000001"/>
    <s v="2022_01.xlsx"/>
    <x v="6"/>
    <x v="0"/>
  </r>
  <r>
    <s v="MonthlyTradeStatistics 2022_01.xlsx"/>
    <x v="13"/>
    <n v="63646.703600000001"/>
    <s v="2022_01.xlsx"/>
    <x v="6"/>
    <x v="0"/>
  </r>
  <r>
    <s v="MonthlyTradeStatistics 2022_01.xlsx"/>
    <x v="14"/>
    <n v="44176.150099999999"/>
    <s v="2022_01.xlsx"/>
    <x v="6"/>
    <x v="0"/>
  </r>
  <r>
    <s v="MonthlyTradeStatistics 2022_01.xlsx"/>
    <x v="15"/>
    <n v="1385.5616"/>
    <s v="2022_01.xlsx"/>
    <x v="6"/>
    <x v="0"/>
  </r>
  <r>
    <s v="MonthlyTradeStatistics 2022_01.xlsx"/>
    <x v="16"/>
    <n v="10000"/>
    <s v="2022_01.xlsx"/>
    <x v="6"/>
    <x v="0"/>
  </r>
  <r>
    <s v="MonthlyTradeStatistics 2022_01.xlsx"/>
    <x v="17"/>
    <n v="2492.6062999999999"/>
    <s v="2022_01.xlsx"/>
    <x v="6"/>
    <x v="0"/>
  </r>
  <r>
    <s v="MonthlyTradeStatistics 2022_01.xlsx"/>
    <x v="18"/>
    <n v="17380.144"/>
    <s v="2022_01.xlsx"/>
    <x v="6"/>
    <x v="0"/>
  </r>
  <r>
    <s v="MonthlyTradeStatistics 2022_01.xlsx"/>
    <x v="19"/>
    <n v="22370.584699999999"/>
    <s v="2022_01.xlsx"/>
    <x v="6"/>
    <x v="0"/>
  </r>
  <r>
    <s v="MonthlyTradeStatistics 2022_01.xlsx"/>
    <x v="20"/>
    <n v="0"/>
    <s v="2022_01.xlsx"/>
    <x v="6"/>
    <x v="0"/>
  </r>
  <r>
    <s v="MonthlyTradeStatistics 2022_01.xlsx"/>
    <x v="21"/>
    <n v="240000"/>
    <s v="2022_01.xlsx"/>
    <x v="6"/>
    <x v="0"/>
  </r>
  <r>
    <s v="MonthlyTradeStatistics 2022_01.xlsx"/>
    <x v="22"/>
    <n v="0"/>
    <s v="2022_01.xlsx"/>
    <x v="6"/>
    <x v="0"/>
  </r>
  <r>
    <s v="MonthlyTradeStatistics 2022_01.xlsx"/>
    <x v="23"/>
    <n v="295.69139999999999"/>
    <s v="2022_01.xlsx"/>
    <x v="6"/>
    <x v="0"/>
  </r>
  <r>
    <s v="MonthlyTradeStatistics 2022_01.xlsx"/>
    <x v="24"/>
    <n v="226107.40100000001"/>
    <s v="2022_01.xlsx"/>
    <x v="6"/>
    <x v="0"/>
  </r>
  <r>
    <s v="MonthlyTradeStatistics 2022_01.xlsx"/>
    <x v="25"/>
    <n v="46542.853999999999"/>
    <s v="2022_01.xlsx"/>
    <x v="6"/>
    <x v="0"/>
  </r>
  <r>
    <s v="MonthlyTradeStatistics 2022_01.xlsx"/>
    <x v="26"/>
    <n v="0.39"/>
    <s v="2022_01.xlsx"/>
    <x v="6"/>
    <x v="0"/>
  </r>
  <r>
    <s v="MonthlyTradeStatistics 2022_01.xlsx"/>
    <x v="27"/>
    <n v="10"/>
    <s v="2022_01.xlsx"/>
    <x v="6"/>
    <x v="0"/>
  </r>
  <r>
    <s v="MonthlyTradeStatistics 2022_01.xlsx"/>
    <x v="28"/>
    <n v="506462.58"/>
    <s v="2022_01.xlsx"/>
    <x v="6"/>
    <x v="0"/>
  </r>
  <r>
    <s v="MonthlyTradeStatistics 2022_01.xlsx"/>
    <x v="29"/>
    <n v="559145.97649999999"/>
    <s v="2022_01.xlsx"/>
    <x v="6"/>
    <x v="0"/>
  </r>
  <r>
    <s v="MonthlyTradeStatistics 2022_01.xlsx"/>
    <x v="30"/>
    <n v="719261.63309999998"/>
    <s v="2022_01.xlsx"/>
    <x v="6"/>
    <x v="0"/>
  </r>
  <r>
    <s v="MonthlyTradeStatistics 2022_01.xlsx"/>
    <x v="31"/>
    <n v="536.42219999999998"/>
    <s v="2022_01.xlsx"/>
    <x v="6"/>
    <x v="0"/>
  </r>
  <r>
    <s v="MonthlyTradeStatistics 2022_01.xlsx"/>
    <x v="32"/>
    <n v="43594.8056"/>
    <s v="2022_01.xlsx"/>
    <x v="6"/>
    <x v="0"/>
  </r>
  <r>
    <s v="MonthlyTradeStatistics 2022_01.xlsx"/>
    <x v="33"/>
    <n v="28299.997299999999"/>
    <s v="2022_01.xlsx"/>
    <x v="6"/>
    <x v="0"/>
  </r>
  <r>
    <s v="MonthlyTradeStatistics 2022_01.xlsx"/>
    <x v="34"/>
    <n v="0"/>
    <s v="2022_01.xlsx"/>
    <x v="6"/>
    <x v="0"/>
  </r>
  <r>
    <s v="MonthlyTradeStatistics 2022_01.xlsx"/>
    <x v="35"/>
    <n v="0.33329999999999999"/>
    <s v="2022_01.xlsx"/>
    <x v="6"/>
    <x v="0"/>
  </r>
  <r>
    <s v="MonthlyTradeStatistics 2022_01.xlsx"/>
    <x v="36"/>
    <n v="768.19870000000003"/>
    <s v="2022_01.xlsx"/>
    <x v="6"/>
    <x v="0"/>
  </r>
  <r>
    <s v="MonthlyTradeStatistics 2022_01.xlsx"/>
    <x v="37"/>
    <n v="156000.003"/>
    <s v="2022_01.xlsx"/>
    <x v="6"/>
    <x v="0"/>
  </r>
  <r>
    <s v="MonthlyTradeStatistics 2022_01.xlsx"/>
    <x v="38"/>
    <n v="13.903"/>
    <s v="2022_01.xlsx"/>
    <x v="6"/>
    <x v="0"/>
  </r>
  <r>
    <s v="MonthlyTradeStatistics 2022_01.xlsx"/>
    <x v="39"/>
    <n v="253265.2427"/>
    <s v="2022_01.xlsx"/>
    <x v="6"/>
    <x v="0"/>
  </r>
  <r>
    <s v="MonthlyTradeStatistics 2022_01.xlsx"/>
    <x v="40"/>
    <n v="0"/>
    <s v="2022_01.xlsx"/>
    <x v="6"/>
    <x v="0"/>
  </r>
  <r>
    <s v="MonthlyTradeStatistics 2022_01.xlsx"/>
    <x v="41"/>
    <n v="684.68640000000005"/>
    <s v="2022_01.xlsx"/>
    <x v="6"/>
    <x v="0"/>
  </r>
  <r>
    <s v="MonthlyTradeStatistics 2022_01.xlsx"/>
    <x v="42"/>
    <n v="43000"/>
    <s v="2022_01.xlsx"/>
    <x v="6"/>
    <x v="0"/>
  </r>
  <r>
    <s v="MonthlyTradeStatistics 2022_01.xlsx"/>
    <x v="43"/>
    <n v="9.9199999999999997E-2"/>
    <s v="2022_01.xlsx"/>
    <x v="6"/>
    <x v="0"/>
  </r>
  <r>
    <s v="MonthlyTradeStatistics 2022_01.xlsx"/>
    <x v="44"/>
    <n v="435961.0246"/>
    <s v="2022_01.xlsx"/>
    <x v="6"/>
    <x v="0"/>
  </r>
  <r>
    <s v="MonthlyTradeStatistics 2022_01.xlsx"/>
    <x v="45"/>
    <n v="2097.5367999999999"/>
    <s v="2022_01.xlsx"/>
    <x v="6"/>
    <x v="0"/>
  </r>
  <r>
    <s v="MonthlyTradeStatistics 2022_01.xlsx"/>
    <x v="46"/>
    <n v="9169.5717000000004"/>
    <s v="2022_01.xlsx"/>
    <x v="6"/>
    <x v="0"/>
  </r>
  <r>
    <s v="MonthlyTradeStatistics 2022_01.xlsx"/>
    <x v="47"/>
    <n v="100"/>
    <s v="2022_01.xlsx"/>
    <x v="6"/>
    <x v="0"/>
  </r>
  <r>
    <s v="MonthlyTradeStatistics 2022_01.xlsx"/>
    <x v="48"/>
    <n v="46.8919"/>
    <s v="2022_01.xlsx"/>
    <x v="6"/>
    <x v="0"/>
  </r>
  <r>
    <s v="MonthlyTradeStatistics 2022_01.xlsx"/>
    <x v="49"/>
    <n v="130275.76669999999"/>
    <s v="2022_01.xlsx"/>
    <x v="6"/>
    <x v="0"/>
  </r>
  <r>
    <s v="MonthlyTradeStatistics 2022_01.xlsx"/>
    <x v="50"/>
    <n v="14972.2299"/>
    <s v="2022_01.xlsx"/>
    <x v="6"/>
    <x v="0"/>
  </r>
  <r>
    <s v="MonthlyTradeStatistics 2022_01.xlsx"/>
    <x v="51"/>
    <n v="7262.2332999999999"/>
    <s v="2022_01.xlsx"/>
    <x v="6"/>
    <x v="0"/>
  </r>
  <r>
    <s v="MonthlyTradeStatistics 2022_01.xlsx"/>
    <x v="52"/>
    <n v="9154.8333000000002"/>
    <s v="2022_01.xlsx"/>
    <x v="6"/>
    <x v="0"/>
  </r>
  <r>
    <s v="MonthlyTradeStatistics 2022_01.xlsx"/>
    <x v="53"/>
    <n v="154.3861"/>
    <s v="2022_01.xlsx"/>
    <x v="6"/>
    <x v="0"/>
  </r>
  <r>
    <s v="MonthlyTradeStatistics 2022_01.xlsx"/>
    <x v="54"/>
    <n v="402212"/>
    <s v="2022_01.xlsx"/>
    <x v="6"/>
    <x v="0"/>
  </r>
  <r>
    <s v="MonthlyTradeStatistics 2022_01.xlsx"/>
    <x v="55"/>
    <n v="33500"/>
    <s v="2022_01.xlsx"/>
    <x v="6"/>
    <x v="0"/>
  </r>
  <r>
    <s v="MonthlyTradeStatistics 2022_01.xlsx"/>
    <x v="56"/>
    <n v="2802413.5269999998"/>
    <s v="2022_01.xlsx"/>
    <x v="6"/>
    <x v="0"/>
  </r>
  <r>
    <s v="MonthlyTradeStatistics 2022_01.xlsx"/>
    <x v="57"/>
    <n v="3740.0034999999998"/>
    <s v="2022_01.xlsx"/>
    <x v="6"/>
    <x v="0"/>
  </r>
  <r>
    <s v="MonthlyTradeStatistics 2022_01.xlsx"/>
    <x v="58"/>
    <n v="8980.7196000000004"/>
    <s v="2022_01.xlsx"/>
    <x v="6"/>
    <x v="0"/>
  </r>
  <r>
    <s v="MonthlyTradeStatistics 2022_01.xlsx"/>
    <x v="59"/>
    <n v="640"/>
    <s v="2022_01.xlsx"/>
    <x v="6"/>
    <x v="0"/>
  </r>
  <r>
    <s v="MonthlyTradeStatistics 2022_02.xlsx"/>
    <x v="0"/>
    <n v="10875161.5551"/>
    <s v="2022_02.xlsx"/>
    <x v="6"/>
    <x v="1"/>
  </r>
  <r>
    <s v="MonthlyTradeStatistics 2022_02.xlsx"/>
    <x v="1"/>
    <n v="1149034.0027999999"/>
    <s v="2022_02.xlsx"/>
    <x v="6"/>
    <x v="1"/>
  </r>
  <r>
    <s v="MonthlyTradeStatistics 2022_02.xlsx"/>
    <x v="2"/>
    <n v="2265864.5761000002"/>
    <s v="2022_02.xlsx"/>
    <x v="6"/>
    <x v="1"/>
  </r>
  <r>
    <s v="MonthlyTradeStatistics 2022_02.xlsx"/>
    <x v="3"/>
    <n v="3603022.5367999999"/>
    <s v="2022_02.xlsx"/>
    <x v="6"/>
    <x v="1"/>
  </r>
  <r>
    <s v="MonthlyTradeStatistics 2022_02.xlsx"/>
    <x v="4"/>
    <n v="3857240.4394"/>
    <s v="2022_02.xlsx"/>
    <x v="6"/>
    <x v="1"/>
  </r>
  <r>
    <s v="MonthlyTradeStatistics 2022_02.xlsx"/>
    <x v="5"/>
    <n v="1176.04"/>
    <s v="2022_02.xlsx"/>
    <x v="6"/>
    <x v="1"/>
  </r>
  <r>
    <s v="MonthlyTradeStatistics 2022_02.xlsx"/>
    <x v="6"/>
    <n v="4177.2332999999999"/>
    <s v="2022_02.xlsx"/>
    <x v="6"/>
    <x v="1"/>
  </r>
  <r>
    <s v="MonthlyTradeStatistics 2022_02.xlsx"/>
    <x v="7"/>
    <n v="3536274.5621000002"/>
    <s v="2022_02.xlsx"/>
    <x v="6"/>
    <x v="1"/>
  </r>
  <r>
    <s v="MonthlyTradeStatistics 2022_02.xlsx"/>
    <x v="8"/>
    <n v="12418.283299999999"/>
    <s v="2022_02.xlsx"/>
    <x v="6"/>
    <x v="1"/>
  </r>
  <r>
    <s v="MonthlyTradeStatistics 2022_02.xlsx"/>
    <x v="9"/>
    <n v="7600"/>
    <s v="2022_02.xlsx"/>
    <x v="6"/>
    <x v="1"/>
  </r>
  <r>
    <s v="MonthlyTradeStatistics 2022_02.xlsx"/>
    <x v="10"/>
    <n v="3000"/>
    <s v="2022_02.xlsx"/>
    <x v="6"/>
    <x v="1"/>
  </r>
  <r>
    <s v="MonthlyTradeStatistics 2022_02.xlsx"/>
    <x v="11"/>
    <n v="991120.58880000003"/>
    <s v="2022_02.xlsx"/>
    <x v="6"/>
    <x v="1"/>
  </r>
  <r>
    <s v="MonthlyTradeStatistics 2022_02.xlsx"/>
    <x v="12"/>
    <n v="0.82650000000000001"/>
    <s v="2022_02.xlsx"/>
    <x v="6"/>
    <x v="1"/>
  </r>
  <r>
    <s v="MonthlyTradeStatistics 2022_02.xlsx"/>
    <x v="13"/>
    <n v="73477.295599999998"/>
    <s v="2022_02.xlsx"/>
    <x v="6"/>
    <x v="1"/>
  </r>
  <r>
    <s v="MonthlyTradeStatistics 2022_02.xlsx"/>
    <x v="14"/>
    <n v="45359.866000000002"/>
    <s v="2022_02.xlsx"/>
    <x v="6"/>
    <x v="1"/>
  </r>
  <r>
    <s v="MonthlyTradeStatistics 2022_02.xlsx"/>
    <x v="15"/>
    <n v="1385.5616"/>
    <s v="2022_02.xlsx"/>
    <x v="6"/>
    <x v="1"/>
  </r>
  <r>
    <s v="MonthlyTradeStatistics 2022_02.xlsx"/>
    <x v="16"/>
    <n v="13000"/>
    <s v="2022_02.xlsx"/>
    <x v="6"/>
    <x v="1"/>
  </r>
  <r>
    <s v="MonthlyTradeStatistics 2022_02.xlsx"/>
    <x v="17"/>
    <n v="1792.3895"/>
    <s v="2022_02.xlsx"/>
    <x v="6"/>
    <x v="1"/>
  </r>
  <r>
    <s v="MonthlyTradeStatistics 2022_02.xlsx"/>
    <x v="18"/>
    <n v="18459.765299999999"/>
    <s v="2022_02.xlsx"/>
    <x v="6"/>
    <x v="1"/>
  </r>
  <r>
    <s v="MonthlyTradeStatistics 2022_02.xlsx"/>
    <x v="19"/>
    <n v="55492.850400000003"/>
    <s v="2022_02.xlsx"/>
    <x v="6"/>
    <x v="1"/>
  </r>
  <r>
    <s v="MonthlyTradeStatistics 2022_02.xlsx"/>
    <x v="20"/>
    <n v="0"/>
    <s v="2022_02.xlsx"/>
    <x v="6"/>
    <x v="1"/>
  </r>
  <r>
    <s v="MonthlyTradeStatistics 2022_02.xlsx"/>
    <x v="21"/>
    <n v="210000"/>
    <s v="2022_02.xlsx"/>
    <x v="6"/>
    <x v="1"/>
  </r>
  <r>
    <s v="MonthlyTradeStatistics 2022_02.xlsx"/>
    <x v="22"/>
    <n v="0"/>
    <s v="2022_02.xlsx"/>
    <x v="6"/>
    <x v="1"/>
  </r>
  <r>
    <s v="MonthlyTradeStatistics 2022_02.xlsx"/>
    <x v="23"/>
    <n v="11.641299999999999"/>
    <s v="2022_02.xlsx"/>
    <x v="6"/>
    <x v="1"/>
  </r>
  <r>
    <s v="MonthlyTradeStatistics 2022_02.xlsx"/>
    <x v="24"/>
    <n v="334009.60859999998"/>
    <s v="2022_02.xlsx"/>
    <x v="6"/>
    <x v="1"/>
  </r>
  <r>
    <s v="MonthlyTradeStatistics 2022_02.xlsx"/>
    <x v="25"/>
    <n v="37727.407500000001"/>
    <s v="2022_02.xlsx"/>
    <x v="6"/>
    <x v="1"/>
  </r>
  <r>
    <s v="MonthlyTradeStatistics 2022_02.xlsx"/>
    <x v="26"/>
    <n v="0"/>
    <s v="2022_02.xlsx"/>
    <x v="6"/>
    <x v="1"/>
  </r>
  <r>
    <s v="MonthlyTradeStatistics 2022_02.xlsx"/>
    <x v="27"/>
    <n v="89.995999999999995"/>
    <s v="2022_02.xlsx"/>
    <x v="6"/>
    <x v="1"/>
  </r>
  <r>
    <s v="MonthlyTradeStatistics 2022_02.xlsx"/>
    <x v="28"/>
    <n v="502521.00469999999"/>
    <s v="2022_02.xlsx"/>
    <x v="6"/>
    <x v="1"/>
  </r>
  <r>
    <s v="MonthlyTradeStatistics 2022_02.xlsx"/>
    <x v="29"/>
    <n v="544253.91480000003"/>
    <s v="2022_02.xlsx"/>
    <x v="6"/>
    <x v="1"/>
  </r>
  <r>
    <s v="MonthlyTradeStatistics 2022_02.xlsx"/>
    <x v="30"/>
    <n v="485016.48509999999"/>
    <s v="2022_02.xlsx"/>
    <x v="6"/>
    <x v="1"/>
  </r>
  <r>
    <s v="MonthlyTradeStatistics 2022_02.xlsx"/>
    <x v="31"/>
    <n v="650.00789999999995"/>
    <s v="2022_02.xlsx"/>
    <x v="6"/>
    <x v="1"/>
  </r>
  <r>
    <s v="MonthlyTradeStatistics 2022_02.xlsx"/>
    <x v="32"/>
    <n v="85459.723299999998"/>
    <s v="2022_02.xlsx"/>
    <x v="6"/>
    <x v="1"/>
  </r>
  <r>
    <s v="MonthlyTradeStatistics 2022_02.xlsx"/>
    <x v="33"/>
    <n v="37099.991000000002"/>
    <s v="2022_02.xlsx"/>
    <x v="6"/>
    <x v="1"/>
  </r>
  <r>
    <s v="MonthlyTradeStatistics 2022_02.xlsx"/>
    <x v="34"/>
    <n v="0"/>
    <s v="2022_02.xlsx"/>
    <x v="6"/>
    <x v="1"/>
  </r>
  <r>
    <s v="MonthlyTradeStatistics 2022_02.xlsx"/>
    <x v="35"/>
    <n v="1.7659"/>
    <s v="2022_02.xlsx"/>
    <x v="6"/>
    <x v="1"/>
  </r>
  <r>
    <s v="MonthlyTradeStatistics 2022_02.xlsx"/>
    <x v="36"/>
    <n v="768.19870000000003"/>
    <s v="2022_02.xlsx"/>
    <x v="6"/>
    <x v="1"/>
  </r>
  <r>
    <s v="MonthlyTradeStatistics 2022_02.xlsx"/>
    <x v="37"/>
    <n v="206999.99609999999"/>
    <s v="2022_02.xlsx"/>
    <x v="6"/>
    <x v="1"/>
  </r>
  <r>
    <s v="MonthlyTradeStatistics 2022_02.xlsx"/>
    <x v="38"/>
    <n v="97.3"/>
    <s v="2022_02.xlsx"/>
    <x v="6"/>
    <x v="1"/>
  </r>
  <r>
    <s v="MonthlyTradeStatistics 2022_02.xlsx"/>
    <x v="39"/>
    <n v="206309.98759999999"/>
    <s v="2022_02.xlsx"/>
    <x v="6"/>
    <x v="1"/>
  </r>
  <r>
    <s v="MonthlyTradeStatistics 2022_02.xlsx"/>
    <x v="40"/>
    <n v="0"/>
    <s v="2022_02.xlsx"/>
    <x v="6"/>
    <x v="1"/>
  </r>
  <r>
    <s v="MonthlyTradeStatistics 2022_02.xlsx"/>
    <x v="41"/>
    <n v="2681.3249000000001"/>
    <s v="2022_02.xlsx"/>
    <x v="6"/>
    <x v="1"/>
  </r>
  <r>
    <s v="MonthlyTradeStatistics 2022_02.xlsx"/>
    <x v="42"/>
    <n v="43000"/>
    <s v="2022_02.xlsx"/>
    <x v="6"/>
    <x v="1"/>
  </r>
  <r>
    <s v="MonthlyTradeStatistics 2022_02.xlsx"/>
    <x v="43"/>
    <n v="0.41670000000000001"/>
    <s v="2022_02.xlsx"/>
    <x v="6"/>
    <x v="1"/>
  </r>
  <r>
    <s v="MonthlyTradeStatistics 2022_02.xlsx"/>
    <x v="44"/>
    <n v="369631.49219999998"/>
    <s v="2022_02.xlsx"/>
    <x v="6"/>
    <x v="1"/>
  </r>
  <r>
    <s v="MonthlyTradeStatistics 2022_02.xlsx"/>
    <x v="45"/>
    <n v="77.272000000000006"/>
    <s v="2022_02.xlsx"/>
    <x v="6"/>
    <x v="1"/>
  </r>
  <r>
    <s v="MonthlyTradeStatistics 2022_02.xlsx"/>
    <x v="46"/>
    <n v="10677.8015"/>
    <s v="2022_02.xlsx"/>
    <x v="6"/>
    <x v="1"/>
  </r>
  <r>
    <s v="MonthlyTradeStatistics 2022_02.xlsx"/>
    <x v="47"/>
    <n v="400"/>
    <s v="2022_02.xlsx"/>
    <x v="6"/>
    <x v="1"/>
  </r>
  <r>
    <s v="MonthlyTradeStatistics 2022_02.xlsx"/>
    <x v="48"/>
    <n v="46.8919"/>
    <s v="2022_02.xlsx"/>
    <x v="6"/>
    <x v="1"/>
  </r>
  <r>
    <s v="MonthlyTradeStatistics 2022_02.xlsx"/>
    <x v="49"/>
    <n v="126836.35739999999"/>
    <s v="2022_02.xlsx"/>
    <x v="6"/>
    <x v="1"/>
  </r>
  <r>
    <s v="MonthlyTradeStatistics 2022_02.xlsx"/>
    <x v="50"/>
    <n v="16762.917399999998"/>
    <s v="2022_02.xlsx"/>
    <x v="6"/>
    <x v="1"/>
  </r>
  <r>
    <s v="MonthlyTradeStatistics 2022_02.xlsx"/>
    <x v="51"/>
    <n v="10513.8333"/>
    <s v="2022_02.xlsx"/>
    <x v="6"/>
    <x v="1"/>
  </r>
  <r>
    <s v="MonthlyTradeStatistics 2022_02.xlsx"/>
    <x v="52"/>
    <n v="8636.6666999999998"/>
    <s v="2022_02.xlsx"/>
    <x v="6"/>
    <x v="1"/>
  </r>
  <r>
    <s v="MonthlyTradeStatistics 2022_02.xlsx"/>
    <x v="53"/>
    <n v="154.3861"/>
    <s v="2022_02.xlsx"/>
    <x v="6"/>
    <x v="1"/>
  </r>
  <r>
    <s v="MonthlyTradeStatistics 2022_02.xlsx"/>
    <x v="54"/>
    <n v="448957.01"/>
    <s v="2022_02.xlsx"/>
    <x v="6"/>
    <x v="1"/>
  </r>
  <r>
    <s v="MonthlyTradeStatistics 2022_02.xlsx"/>
    <x v="55"/>
    <n v="14200"/>
    <s v="2022_02.xlsx"/>
    <x v="6"/>
    <x v="1"/>
  </r>
  <r>
    <s v="MonthlyTradeStatistics 2022_02.xlsx"/>
    <x v="56"/>
    <n v="2392967.2239999999"/>
    <s v="2022_02.xlsx"/>
    <x v="6"/>
    <x v="1"/>
  </r>
  <r>
    <s v="MonthlyTradeStatistics 2022_02.xlsx"/>
    <x v="57"/>
    <n v="4670.0033999999996"/>
    <s v="2022_02.xlsx"/>
    <x v="6"/>
    <x v="1"/>
  </r>
  <r>
    <s v="MonthlyTradeStatistics 2022_02.xlsx"/>
    <x v="58"/>
    <n v="9195.6666999999998"/>
    <s v="2022_02.xlsx"/>
    <x v="6"/>
    <x v="1"/>
  </r>
  <r>
    <s v="MonthlyTradeStatistics 2022_02.xlsx"/>
    <x v="59"/>
    <n v="0"/>
    <s v="2022_02.xlsx"/>
    <x v="6"/>
    <x v="1"/>
  </r>
  <r>
    <s v="MonthlyTradeStatistics 2022_03.xlsx"/>
    <x v="0"/>
    <n v="13575386.5962"/>
    <s v="2022_03.xlsx"/>
    <x v="6"/>
    <x v="2"/>
  </r>
  <r>
    <s v="MonthlyTradeStatistics 2022_03.xlsx"/>
    <x v="1"/>
    <n v="1281229.7213999999"/>
    <s v="2022_03.xlsx"/>
    <x v="6"/>
    <x v="2"/>
  </r>
  <r>
    <s v="MonthlyTradeStatistics 2022_03.xlsx"/>
    <x v="2"/>
    <n v="2789468.5707"/>
    <s v="2022_03.xlsx"/>
    <x v="6"/>
    <x v="2"/>
  </r>
  <r>
    <s v="MonthlyTradeStatistics 2022_03.xlsx"/>
    <x v="3"/>
    <n v="4036226.8070999999"/>
    <s v="2022_03.xlsx"/>
    <x v="6"/>
    <x v="2"/>
  </r>
  <r>
    <s v="MonthlyTradeStatistics 2022_03.xlsx"/>
    <x v="4"/>
    <n v="5468461.4970000004"/>
    <s v="2022_03.xlsx"/>
    <x v="6"/>
    <x v="2"/>
  </r>
  <r>
    <s v="MonthlyTradeStatistics 2022_03.xlsx"/>
    <x v="5"/>
    <n v="2225.6233000000002"/>
    <s v="2022_03.xlsx"/>
    <x v="6"/>
    <x v="2"/>
  </r>
  <r>
    <s v="MonthlyTradeStatistics 2022_03.xlsx"/>
    <x v="6"/>
    <n v="5641.65"/>
    <s v="2022_03.xlsx"/>
    <x v="6"/>
    <x v="2"/>
  </r>
  <r>
    <s v="MonthlyTradeStatistics 2022_03.xlsx"/>
    <x v="7"/>
    <n v="3891975.7714"/>
    <s v="2022_03.xlsx"/>
    <x v="6"/>
    <x v="2"/>
  </r>
  <r>
    <s v="MonthlyTradeStatistics 2022_03.xlsx"/>
    <x v="8"/>
    <n v="9530.7000000000007"/>
    <s v="2022_03.xlsx"/>
    <x v="6"/>
    <x v="2"/>
  </r>
  <r>
    <s v="MonthlyTradeStatistics 2022_03.xlsx"/>
    <x v="9"/>
    <n v="11900"/>
    <s v="2022_03.xlsx"/>
    <x v="6"/>
    <x v="2"/>
  </r>
  <r>
    <s v="MonthlyTradeStatistics 2022_03.xlsx"/>
    <x v="10"/>
    <n v="3000"/>
    <s v="2022_03.xlsx"/>
    <x v="6"/>
    <x v="2"/>
  </r>
  <r>
    <s v="MonthlyTradeStatistics 2022_03.xlsx"/>
    <x v="11"/>
    <n v="1133499.493"/>
    <s v="2022_03.xlsx"/>
    <x v="6"/>
    <x v="2"/>
  </r>
  <r>
    <s v="MonthlyTradeStatistics 2022_03.xlsx"/>
    <x v="12"/>
    <n v="0.82650000000000001"/>
    <s v="2022_03.xlsx"/>
    <x v="6"/>
    <x v="2"/>
  </r>
  <r>
    <s v="MonthlyTradeStatistics 2022_03.xlsx"/>
    <x v="13"/>
    <n v="122227.0536"/>
    <s v="2022_03.xlsx"/>
    <x v="6"/>
    <x v="2"/>
  </r>
  <r>
    <s v="MonthlyTradeStatistics 2022_03.xlsx"/>
    <x v="14"/>
    <n v="210204.61660000001"/>
    <s v="2022_03.xlsx"/>
    <x v="6"/>
    <x v="2"/>
  </r>
  <r>
    <s v="MonthlyTradeStatistics 2022_03.xlsx"/>
    <x v="15"/>
    <n v="1385.5616"/>
    <s v="2022_03.xlsx"/>
    <x v="6"/>
    <x v="2"/>
  </r>
  <r>
    <s v="MonthlyTradeStatistics 2022_03.xlsx"/>
    <x v="16"/>
    <n v="16000"/>
    <s v="2022_03.xlsx"/>
    <x v="6"/>
    <x v="2"/>
  </r>
  <r>
    <s v="MonthlyTradeStatistics 2022_03.xlsx"/>
    <x v="17"/>
    <n v="1279.307"/>
    <s v="2022_03.xlsx"/>
    <x v="6"/>
    <x v="2"/>
  </r>
  <r>
    <s v="MonthlyTradeStatistics 2022_03.xlsx"/>
    <x v="18"/>
    <n v="29311.976900000001"/>
    <s v="2022_03.xlsx"/>
    <x v="6"/>
    <x v="2"/>
  </r>
  <r>
    <s v="MonthlyTradeStatistics 2022_03.xlsx"/>
    <x v="19"/>
    <n v="94558.467099999994"/>
    <s v="2022_03.xlsx"/>
    <x v="6"/>
    <x v="2"/>
  </r>
  <r>
    <s v="MonthlyTradeStatistics 2022_03.xlsx"/>
    <x v="20"/>
    <n v="0"/>
    <s v="2022_03.xlsx"/>
    <x v="6"/>
    <x v="2"/>
  </r>
  <r>
    <s v="MonthlyTradeStatistics 2022_03.xlsx"/>
    <x v="21"/>
    <n v="220000"/>
    <s v="2022_03.xlsx"/>
    <x v="6"/>
    <x v="2"/>
  </r>
  <r>
    <s v="MonthlyTradeStatistics 2022_03.xlsx"/>
    <x v="22"/>
    <n v="0"/>
    <s v="2022_03.xlsx"/>
    <x v="6"/>
    <x v="2"/>
  </r>
  <r>
    <s v="MonthlyTradeStatistics 2022_03.xlsx"/>
    <x v="23"/>
    <n v="273.03039999999999"/>
    <s v="2022_03.xlsx"/>
    <x v="6"/>
    <x v="2"/>
  </r>
  <r>
    <s v="MonthlyTradeStatistics 2022_03.xlsx"/>
    <x v="24"/>
    <n v="425501.24959999998"/>
    <s v="2022_03.xlsx"/>
    <x v="6"/>
    <x v="2"/>
  </r>
  <r>
    <s v="MonthlyTradeStatistics 2022_03.xlsx"/>
    <x v="25"/>
    <n v="23493.063200000001"/>
    <s v="2022_03.xlsx"/>
    <x v="6"/>
    <x v="2"/>
  </r>
  <r>
    <s v="MonthlyTradeStatistics 2022_03.xlsx"/>
    <x v="26"/>
    <n v="31.629000000000001"/>
    <s v="2022_03.xlsx"/>
    <x v="6"/>
    <x v="2"/>
  </r>
  <r>
    <s v="MonthlyTradeStatistics 2022_03.xlsx"/>
    <x v="27"/>
    <n v="99.995999999999995"/>
    <s v="2022_03.xlsx"/>
    <x v="6"/>
    <x v="2"/>
  </r>
  <r>
    <s v="MonthlyTradeStatistics 2022_03.xlsx"/>
    <x v="28"/>
    <n v="735245.98329999996"/>
    <s v="2022_03.xlsx"/>
    <x v="6"/>
    <x v="2"/>
  </r>
  <r>
    <s v="MonthlyTradeStatistics 2022_03.xlsx"/>
    <x v="29"/>
    <n v="791257.48329999996"/>
    <s v="2022_03.xlsx"/>
    <x v="6"/>
    <x v="2"/>
  </r>
  <r>
    <s v="MonthlyTradeStatistics 2022_03.xlsx"/>
    <x v="30"/>
    <n v="503355.95520000003"/>
    <s v="2022_03.xlsx"/>
    <x v="6"/>
    <x v="2"/>
  </r>
  <r>
    <s v="MonthlyTradeStatistics 2022_03.xlsx"/>
    <x v="31"/>
    <n v="738.87950000000001"/>
    <s v="2022_03.xlsx"/>
    <x v="6"/>
    <x v="2"/>
  </r>
  <r>
    <s v="MonthlyTradeStatistics 2022_03.xlsx"/>
    <x v="32"/>
    <n v="70848.820000000007"/>
    <s v="2022_03.xlsx"/>
    <x v="6"/>
    <x v="2"/>
  </r>
  <r>
    <s v="MonthlyTradeStatistics 2022_03.xlsx"/>
    <x v="33"/>
    <n v="65400.014300000003"/>
    <s v="2022_03.xlsx"/>
    <x v="6"/>
    <x v="2"/>
  </r>
  <r>
    <s v="MonthlyTradeStatistics 2022_03.xlsx"/>
    <x v="34"/>
    <n v="0"/>
    <s v="2022_03.xlsx"/>
    <x v="6"/>
    <x v="2"/>
  </r>
  <r>
    <s v="MonthlyTradeStatistics 2022_03.xlsx"/>
    <x v="35"/>
    <n v="0"/>
    <s v="2022_03.xlsx"/>
    <x v="6"/>
    <x v="2"/>
  </r>
  <r>
    <s v="MonthlyTradeStatistics 2022_03.xlsx"/>
    <x v="36"/>
    <n v="768.19870000000003"/>
    <s v="2022_03.xlsx"/>
    <x v="6"/>
    <x v="2"/>
  </r>
  <r>
    <s v="MonthlyTradeStatistics 2022_03.xlsx"/>
    <x v="37"/>
    <n v="317999.99290000001"/>
    <s v="2022_03.xlsx"/>
    <x v="6"/>
    <x v="2"/>
  </r>
  <r>
    <s v="MonthlyTradeStatistics 2022_03.xlsx"/>
    <x v="38"/>
    <n v="21.25"/>
    <s v="2022_03.xlsx"/>
    <x v="6"/>
    <x v="2"/>
  </r>
  <r>
    <s v="MonthlyTradeStatistics 2022_03.xlsx"/>
    <x v="39"/>
    <n v="367697.43560000003"/>
    <s v="2022_03.xlsx"/>
    <x v="6"/>
    <x v="2"/>
  </r>
  <r>
    <s v="MonthlyTradeStatistics 2022_03.xlsx"/>
    <x v="40"/>
    <n v="0"/>
    <s v="2022_03.xlsx"/>
    <x v="6"/>
    <x v="2"/>
  </r>
  <r>
    <s v="MonthlyTradeStatistics 2022_03.xlsx"/>
    <x v="41"/>
    <n v="3126.4452999999999"/>
    <s v="2022_03.xlsx"/>
    <x v="6"/>
    <x v="2"/>
  </r>
  <r>
    <s v="MonthlyTradeStatistics 2022_03.xlsx"/>
    <x v="42"/>
    <n v="40000"/>
    <s v="2022_03.xlsx"/>
    <x v="6"/>
    <x v="2"/>
  </r>
  <r>
    <s v="MonthlyTradeStatistics 2022_03.xlsx"/>
    <x v="43"/>
    <n v="0.66669999999999996"/>
    <s v="2022_03.xlsx"/>
    <x v="6"/>
    <x v="2"/>
  </r>
  <r>
    <s v="MonthlyTradeStatistics 2022_03.xlsx"/>
    <x v="44"/>
    <n v="196954.6758"/>
    <s v="2022_03.xlsx"/>
    <x v="6"/>
    <x v="2"/>
  </r>
  <r>
    <s v="MonthlyTradeStatistics 2022_03.xlsx"/>
    <x v="45"/>
    <n v="49.997999999999998"/>
    <s v="2022_03.xlsx"/>
    <x v="6"/>
    <x v="2"/>
  </r>
  <r>
    <s v="MonthlyTradeStatistics 2022_03.xlsx"/>
    <x v="46"/>
    <n v="4601.558"/>
    <s v="2022_03.xlsx"/>
    <x v="6"/>
    <x v="2"/>
  </r>
  <r>
    <s v="MonthlyTradeStatistics 2022_03.xlsx"/>
    <x v="47"/>
    <n v="600"/>
    <s v="2022_03.xlsx"/>
    <x v="6"/>
    <x v="2"/>
  </r>
  <r>
    <s v="MonthlyTradeStatistics 2022_03.xlsx"/>
    <x v="48"/>
    <n v="46.8919"/>
    <s v="2022_03.xlsx"/>
    <x v="6"/>
    <x v="2"/>
  </r>
  <r>
    <s v="MonthlyTradeStatistics 2022_03.xlsx"/>
    <x v="49"/>
    <n v="113516.375"/>
    <s v="2022_03.xlsx"/>
    <x v="6"/>
    <x v="2"/>
  </r>
  <r>
    <s v="MonthlyTradeStatistics 2022_03.xlsx"/>
    <x v="50"/>
    <n v="17601.629000000001"/>
    <s v="2022_03.xlsx"/>
    <x v="6"/>
    <x v="2"/>
  </r>
  <r>
    <s v="MonthlyTradeStatistics 2022_03.xlsx"/>
    <x v="51"/>
    <n v="3429"/>
    <s v="2022_03.xlsx"/>
    <x v="6"/>
    <x v="2"/>
  </r>
  <r>
    <s v="MonthlyTradeStatistics 2022_03.xlsx"/>
    <x v="52"/>
    <n v="6583.3333000000002"/>
    <s v="2022_03.xlsx"/>
    <x v="6"/>
    <x v="2"/>
  </r>
  <r>
    <s v="MonthlyTradeStatistics 2022_03.xlsx"/>
    <x v="53"/>
    <n v="154.3861"/>
    <s v="2022_03.xlsx"/>
    <x v="6"/>
    <x v="2"/>
  </r>
  <r>
    <s v="MonthlyTradeStatistics 2022_03.xlsx"/>
    <x v="54"/>
    <n v="478023.01"/>
    <s v="2022_03.xlsx"/>
    <x v="6"/>
    <x v="2"/>
  </r>
  <r>
    <s v="MonthlyTradeStatistics 2022_03.xlsx"/>
    <x v="55"/>
    <n v="16900"/>
    <s v="2022_03.xlsx"/>
    <x v="6"/>
    <x v="2"/>
  </r>
  <r>
    <s v="MonthlyTradeStatistics 2022_03.xlsx"/>
    <x v="56"/>
    <n v="3622122.6038000002"/>
    <s v="2022_03.xlsx"/>
    <x v="6"/>
    <x v="2"/>
  </r>
  <r>
    <s v="MonthlyTradeStatistics 2022_03.xlsx"/>
    <x v="57"/>
    <n v="6019.9952999999996"/>
    <s v="2022_03.xlsx"/>
    <x v="6"/>
    <x v="2"/>
  </r>
  <r>
    <s v="MonthlyTradeStatistics 2022_03.xlsx"/>
    <x v="58"/>
    <n v="9882"/>
    <s v="2022_03.xlsx"/>
    <x v="6"/>
    <x v="2"/>
  </r>
  <r>
    <s v="MonthlyTradeStatistics 2022_03.xlsx"/>
    <x v="59"/>
    <n v="300"/>
    <s v="2022_03.xlsx"/>
    <x v="6"/>
    <x v="2"/>
  </r>
  <r>
    <s v="MonthlyTradeStatistics 2022_04.xlsx"/>
    <x v="0"/>
    <n v="10701572.5945"/>
    <s v="2022_04.xlsx"/>
    <x v="6"/>
    <x v="3"/>
  </r>
  <r>
    <s v="MonthlyTradeStatistics 2022_04.xlsx"/>
    <x v="1"/>
    <n v="995229.83770000003"/>
    <s v="2022_04.xlsx"/>
    <x v="6"/>
    <x v="3"/>
  </r>
  <r>
    <s v="MonthlyTradeStatistics 2022_04.xlsx"/>
    <x v="2"/>
    <n v="2428671.0095000002"/>
    <s v="2022_04.xlsx"/>
    <x v="6"/>
    <x v="3"/>
  </r>
  <r>
    <s v="MonthlyTradeStatistics 2022_04.xlsx"/>
    <x v="3"/>
    <n v="3242274.1154999998"/>
    <s v="2022_04.xlsx"/>
    <x v="6"/>
    <x v="3"/>
  </r>
  <r>
    <s v="MonthlyTradeStatistics 2022_04.xlsx"/>
    <x v="4"/>
    <n v="4035397.6318000001"/>
    <s v="2022_04.xlsx"/>
    <x v="6"/>
    <x v="3"/>
  </r>
  <r>
    <s v="MonthlyTradeStatistics 2022_04.xlsx"/>
    <x v="5"/>
    <n v="1.5591999999999999"/>
    <s v="2022_04.xlsx"/>
    <x v="6"/>
    <x v="3"/>
  </r>
  <r>
    <s v="MonthlyTradeStatistics 2022_04.xlsx"/>
    <x v="6"/>
    <n v="1688.5033000000001"/>
    <s v="2022_04.xlsx"/>
    <x v="6"/>
    <x v="3"/>
  </r>
  <r>
    <s v="MonthlyTradeStatistics 2022_04.xlsx"/>
    <x v="7"/>
    <n v="3016609.1283"/>
    <s v="2022_04.xlsx"/>
    <x v="6"/>
    <x v="3"/>
  </r>
  <r>
    <s v="MonthlyTradeStatistics 2022_04.xlsx"/>
    <x v="8"/>
    <n v="2366.0167000000001"/>
    <s v="2022_04.xlsx"/>
    <x v="6"/>
    <x v="3"/>
  </r>
  <r>
    <s v="MonthlyTradeStatistics 2022_04.xlsx"/>
    <x v="9"/>
    <n v="14100"/>
    <s v="2022_04.xlsx"/>
    <x v="6"/>
    <x v="3"/>
  </r>
  <r>
    <s v="MonthlyTradeStatistics 2022_04.xlsx"/>
    <x v="10"/>
    <n v="3000"/>
    <s v="2022_04.xlsx"/>
    <x v="6"/>
    <x v="3"/>
  </r>
  <r>
    <s v="MonthlyTradeStatistics 2022_04.xlsx"/>
    <x v="11"/>
    <n v="860789.46429999999"/>
    <s v="2022_04.xlsx"/>
    <x v="6"/>
    <x v="3"/>
  </r>
  <r>
    <s v="MonthlyTradeStatistics 2022_04.xlsx"/>
    <x v="12"/>
    <n v="0.82650000000000001"/>
    <s v="2022_04.xlsx"/>
    <x v="6"/>
    <x v="3"/>
  </r>
  <r>
    <s v="MonthlyTradeStatistics 2022_04.xlsx"/>
    <x v="13"/>
    <n v="105550.2697"/>
    <s v="2022_04.xlsx"/>
    <x v="6"/>
    <x v="3"/>
  </r>
  <r>
    <s v="MonthlyTradeStatistics 2022_04.xlsx"/>
    <x v="14"/>
    <n v="52961.733099999998"/>
    <s v="2022_04.xlsx"/>
    <x v="6"/>
    <x v="3"/>
  </r>
  <r>
    <s v="MonthlyTradeStatistics 2022_04.xlsx"/>
    <x v="15"/>
    <n v="1385.5616"/>
    <s v="2022_04.xlsx"/>
    <x v="6"/>
    <x v="3"/>
  </r>
  <r>
    <s v="MonthlyTradeStatistics 2022_04.xlsx"/>
    <x v="16"/>
    <n v="16500"/>
    <s v="2022_04.xlsx"/>
    <x v="6"/>
    <x v="3"/>
  </r>
  <r>
    <s v="MonthlyTradeStatistics 2022_04.xlsx"/>
    <x v="17"/>
    <n v="2716.5981999999999"/>
    <s v="2022_04.xlsx"/>
    <x v="6"/>
    <x v="3"/>
  </r>
  <r>
    <s v="MonthlyTradeStatistics 2022_04.xlsx"/>
    <x v="18"/>
    <n v="35448.754999999997"/>
    <s v="2022_04.xlsx"/>
    <x v="6"/>
    <x v="3"/>
  </r>
  <r>
    <s v="MonthlyTradeStatistics 2022_04.xlsx"/>
    <x v="19"/>
    <n v="48705.4012"/>
    <s v="2022_04.xlsx"/>
    <x v="6"/>
    <x v="3"/>
  </r>
  <r>
    <s v="MonthlyTradeStatistics 2022_04.xlsx"/>
    <x v="20"/>
    <n v="0"/>
    <s v="2022_04.xlsx"/>
    <x v="6"/>
    <x v="3"/>
  </r>
  <r>
    <s v="MonthlyTradeStatistics 2022_04.xlsx"/>
    <x v="21"/>
    <n v="340000"/>
    <s v="2022_04.xlsx"/>
    <x v="6"/>
    <x v="3"/>
  </r>
  <r>
    <s v="MonthlyTradeStatistics 2022_04.xlsx"/>
    <x v="22"/>
    <n v="0"/>
    <s v="2022_04.xlsx"/>
    <x v="6"/>
    <x v="3"/>
  </r>
  <r>
    <s v="MonthlyTradeStatistics 2022_04.xlsx"/>
    <x v="23"/>
    <n v="269.67099999999999"/>
    <s v="2022_04.xlsx"/>
    <x v="6"/>
    <x v="3"/>
  </r>
  <r>
    <s v="MonthlyTradeStatistics 2022_04.xlsx"/>
    <x v="24"/>
    <n v="377357.17320000002"/>
    <s v="2022_04.xlsx"/>
    <x v="6"/>
    <x v="3"/>
  </r>
  <r>
    <s v="MonthlyTradeStatistics 2022_04.xlsx"/>
    <x v="25"/>
    <n v="31207.439200000001"/>
    <s v="2022_04.xlsx"/>
    <x v="6"/>
    <x v="3"/>
  </r>
  <r>
    <s v="MonthlyTradeStatistics 2022_04.xlsx"/>
    <x v="26"/>
    <n v="0"/>
    <s v="2022_04.xlsx"/>
    <x v="6"/>
    <x v="3"/>
  </r>
  <r>
    <s v="MonthlyTradeStatistics 2022_04.xlsx"/>
    <x v="27"/>
    <n v="349.99990000000003"/>
    <s v="2022_04.xlsx"/>
    <x v="6"/>
    <x v="3"/>
  </r>
  <r>
    <s v="MonthlyTradeStatistics 2022_04.xlsx"/>
    <x v="28"/>
    <n v="584062.65"/>
    <s v="2022_04.xlsx"/>
    <x v="6"/>
    <x v="3"/>
  </r>
  <r>
    <s v="MonthlyTradeStatistics 2022_04.xlsx"/>
    <x v="29"/>
    <n v="595709.27599999995"/>
    <s v="2022_04.xlsx"/>
    <x v="6"/>
    <x v="3"/>
  </r>
  <r>
    <s v="MonthlyTradeStatistics 2022_04.xlsx"/>
    <x v="30"/>
    <n v="374137.29389999999"/>
    <s v="2022_04.xlsx"/>
    <x v="6"/>
    <x v="3"/>
  </r>
  <r>
    <s v="MonthlyTradeStatistics 2022_04.xlsx"/>
    <x v="31"/>
    <n v="1288.058"/>
    <s v="2022_04.xlsx"/>
    <x v="6"/>
    <x v="3"/>
  </r>
  <r>
    <s v="MonthlyTradeStatistics 2022_04.xlsx"/>
    <x v="32"/>
    <n v="97607.462"/>
    <s v="2022_04.xlsx"/>
    <x v="6"/>
    <x v="3"/>
  </r>
  <r>
    <s v="MonthlyTradeStatistics 2022_04.xlsx"/>
    <x v="33"/>
    <n v="84000.013600000006"/>
    <s v="2022_04.xlsx"/>
    <x v="6"/>
    <x v="3"/>
  </r>
  <r>
    <s v="MonthlyTradeStatistics 2022_04.xlsx"/>
    <x v="34"/>
    <n v="0"/>
    <s v="2022_04.xlsx"/>
    <x v="6"/>
    <x v="3"/>
  </r>
  <r>
    <s v="MonthlyTradeStatistics 2022_04.xlsx"/>
    <x v="35"/>
    <n v="1.6865000000000001"/>
    <s v="2022_04.xlsx"/>
    <x v="6"/>
    <x v="3"/>
  </r>
  <r>
    <s v="MonthlyTradeStatistics 2022_04.xlsx"/>
    <x v="36"/>
    <n v="768.19870000000003"/>
    <s v="2022_04.xlsx"/>
    <x v="6"/>
    <x v="3"/>
  </r>
  <r>
    <s v="MonthlyTradeStatistics 2022_04.xlsx"/>
    <x v="37"/>
    <n v="354999.99080000003"/>
    <s v="2022_04.xlsx"/>
    <x v="6"/>
    <x v="3"/>
  </r>
  <r>
    <s v="MonthlyTradeStatistics 2022_04.xlsx"/>
    <x v="38"/>
    <n v="70.933300000000003"/>
    <s v="2022_04.xlsx"/>
    <x v="6"/>
    <x v="3"/>
  </r>
  <r>
    <s v="MonthlyTradeStatistics 2022_04.xlsx"/>
    <x v="39"/>
    <n v="306561.39720000001"/>
    <s v="2022_04.xlsx"/>
    <x v="6"/>
    <x v="3"/>
  </r>
  <r>
    <s v="MonthlyTradeStatistics 2022_04.xlsx"/>
    <x v="40"/>
    <n v="0"/>
    <s v="2022_04.xlsx"/>
    <x v="6"/>
    <x v="3"/>
  </r>
  <r>
    <s v="MonthlyTradeStatistics 2022_04.xlsx"/>
    <x v="41"/>
    <n v="3419.3858"/>
    <s v="2022_04.xlsx"/>
    <x v="6"/>
    <x v="3"/>
  </r>
  <r>
    <s v="MonthlyTradeStatistics 2022_04.xlsx"/>
    <x v="42"/>
    <n v="40000"/>
    <s v="2022_04.xlsx"/>
    <x v="6"/>
    <x v="3"/>
  </r>
  <r>
    <s v="MonthlyTradeStatistics 2022_04.xlsx"/>
    <x v="43"/>
    <n v="0"/>
    <s v="2022_04.xlsx"/>
    <x v="6"/>
    <x v="3"/>
  </r>
  <r>
    <s v="MonthlyTradeStatistics 2022_04.xlsx"/>
    <x v="44"/>
    <n v="104310.8952"/>
    <s v="2022_04.xlsx"/>
    <x v="6"/>
    <x v="3"/>
  </r>
  <r>
    <s v="MonthlyTradeStatistics 2022_04.xlsx"/>
    <x v="45"/>
    <n v="49.997999999999998"/>
    <s v="2022_04.xlsx"/>
    <x v="6"/>
    <x v="3"/>
  </r>
  <r>
    <s v="MonthlyTradeStatistics 2022_04.xlsx"/>
    <x v="46"/>
    <n v="6546.0780999999997"/>
    <s v="2022_04.xlsx"/>
    <x v="6"/>
    <x v="3"/>
  </r>
  <r>
    <s v="MonthlyTradeStatistics 2022_04.xlsx"/>
    <x v="47"/>
    <n v="2600"/>
    <s v="2022_04.xlsx"/>
    <x v="6"/>
    <x v="3"/>
  </r>
  <r>
    <s v="MonthlyTradeStatistics 2022_04.xlsx"/>
    <x v="48"/>
    <n v="46.8919"/>
    <s v="2022_04.xlsx"/>
    <x v="6"/>
    <x v="3"/>
  </r>
  <r>
    <s v="MonthlyTradeStatistics 2022_04.xlsx"/>
    <x v="49"/>
    <n v="64001.244700000003"/>
    <s v="2022_04.xlsx"/>
    <x v="6"/>
    <x v="3"/>
  </r>
  <r>
    <s v="MonthlyTradeStatistics 2022_04.xlsx"/>
    <x v="50"/>
    <n v="15618.3184"/>
    <s v="2022_04.xlsx"/>
    <x v="6"/>
    <x v="3"/>
  </r>
  <r>
    <s v="MonthlyTradeStatistics 2022_04.xlsx"/>
    <x v="51"/>
    <n v="10546.6667"/>
    <s v="2022_04.xlsx"/>
    <x v="6"/>
    <x v="3"/>
  </r>
  <r>
    <s v="MonthlyTradeStatistics 2022_04.xlsx"/>
    <x v="52"/>
    <n v="19078.400000000001"/>
    <s v="2022_04.xlsx"/>
    <x v="6"/>
    <x v="3"/>
  </r>
  <r>
    <s v="MonthlyTradeStatistics 2022_04.xlsx"/>
    <x v="53"/>
    <n v="154.3861"/>
    <s v="2022_04.xlsx"/>
    <x v="6"/>
    <x v="3"/>
  </r>
  <r>
    <s v="MonthlyTradeStatistics 2022_04.xlsx"/>
    <x v="54"/>
    <n v="407761.99"/>
    <s v="2022_04.xlsx"/>
    <x v="6"/>
    <x v="3"/>
  </r>
  <r>
    <s v="MonthlyTradeStatistics 2022_04.xlsx"/>
    <x v="55"/>
    <n v="5200"/>
    <s v="2022_04.xlsx"/>
    <x v="6"/>
    <x v="3"/>
  </r>
  <r>
    <s v="MonthlyTradeStatistics 2022_04.xlsx"/>
    <x v="56"/>
    <n v="2702400.3338000001"/>
    <s v="2022_04.xlsx"/>
    <x v="6"/>
    <x v="3"/>
  </r>
  <r>
    <s v="MonthlyTradeStatistics 2022_04.xlsx"/>
    <x v="57"/>
    <n v="5189.9953999999998"/>
    <s v="2022_04.xlsx"/>
    <x v="6"/>
    <x v="3"/>
  </r>
  <r>
    <s v="MonthlyTradeStatistics 2022_04.xlsx"/>
    <x v="58"/>
    <n v="4432.95"/>
    <s v="2022_04.xlsx"/>
    <x v="6"/>
    <x v="3"/>
  </r>
  <r>
    <s v="MonthlyTradeStatistics 2022_04.xlsx"/>
    <x v="59"/>
    <n v="0"/>
    <s v="2022_04.xlsx"/>
    <x v="6"/>
    <x v="3"/>
  </r>
  <r>
    <s v="MonthlyTradeStatistics 2022_05.xlsx"/>
    <x v="0"/>
    <n v="10775637.920299999"/>
    <s v="2022_05.xlsx"/>
    <x v="6"/>
    <x v="4"/>
  </r>
  <r>
    <s v="MonthlyTradeStatistics 2022_05.xlsx"/>
    <x v="1"/>
    <n v="1076334.8322999999"/>
    <s v="2022_05.xlsx"/>
    <x v="6"/>
    <x v="4"/>
  </r>
  <r>
    <s v="MonthlyTradeStatistics 2022_05.xlsx"/>
    <x v="2"/>
    <n v="2854149.0839999998"/>
    <s v="2022_05.xlsx"/>
    <x v="6"/>
    <x v="4"/>
  </r>
  <r>
    <s v="MonthlyTradeStatistics 2022_05.xlsx"/>
    <x v="3"/>
    <n v="2888551.5543"/>
    <s v="2022_05.xlsx"/>
    <x v="6"/>
    <x v="4"/>
  </r>
  <r>
    <s v="MonthlyTradeStatistics 2022_05.xlsx"/>
    <x v="4"/>
    <n v="3956602.4497000002"/>
    <s v="2022_05.xlsx"/>
    <x v="6"/>
    <x v="4"/>
  </r>
  <r>
    <s v="MonthlyTradeStatistics 2022_05.xlsx"/>
    <x v="5"/>
    <n v="29.913"/>
    <s v="2022_05.xlsx"/>
    <x v="6"/>
    <x v="4"/>
  </r>
  <r>
    <s v="MonthlyTradeStatistics 2022_05.xlsx"/>
    <x v="6"/>
    <n v="891.03330000000005"/>
    <s v="2022_05.xlsx"/>
    <x v="6"/>
    <x v="4"/>
  </r>
  <r>
    <s v="MonthlyTradeStatistics 2022_05.xlsx"/>
    <x v="7"/>
    <n v="2961676.3371000001"/>
    <s v="2022_05.xlsx"/>
    <x v="6"/>
    <x v="4"/>
  </r>
  <r>
    <s v="MonthlyTradeStatistics 2022_05.xlsx"/>
    <x v="8"/>
    <n v="2979.3166999999999"/>
    <s v="2022_05.xlsx"/>
    <x v="6"/>
    <x v="4"/>
  </r>
  <r>
    <s v="MonthlyTradeStatistics 2022_05.xlsx"/>
    <x v="9"/>
    <n v="9800"/>
    <s v="2022_05.xlsx"/>
    <x v="6"/>
    <x v="4"/>
  </r>
  <r>
    <s v="MonthlyTradeStatistics 2022_05.xlsx"/>
    <x v="10"/>
    <n v="7100"/>
    <s v="2022_05.xlsx"/>
    <x v="6"/>
    <x v="4"/>
  </r>
  <r>
    <s v="MonthlyTradeStatistics 2022_05.xlsx"/>
    <x v="11"/>
    <n v="954952.77390000003"/>
    <s v="2022_05.xlsx"/>
    <x v="6"/>
    <x v="4"/>
  </r>
  <r>
    <s v="MonthlyTradeStatistics 2022_05.xlsx"/>
    <x v="12"/>
    <n v="0.82650000000000001"/>
    <s v="2022_05.xlsx"/>
    <x v="6"/>
    <x v="4"/>
  </r>
  <r>
    <s v="MonthlyTradeStatistics 2022_05.xlsx"/>
    <x v="13"/>
    <n v="113598.2368"/>
    <s v="2022_05.xlsx"/>
    <x v="6"/>
    <x v="4"/>
  </r>
  <r>
    <s v="MonthlyTradeStatistics 2022_05.xlsx"/>
    <x v="14"/>
    <n v="155160.11790000001"/>
    <s v="2022_05.xlsx"/>
    <x v="6"/>
    <x v="4"/>
  </r>
  <r>
    <s v="MonthlyTradeStatistics 2022_05.xlsx"/>
    <x v="15"/>
    <n v="1385.5616"/>
    <s v="2022_05.xlsx"/>
    <x v="6"/>
    <x v="4"/>
  </r>
  <r>
    <s v="MonthlyTradeStatistics 2022_05.xlsx"/>
    <x v="16"/>
    <n v="19600"/>
    <s v="2022_05.xlsx"/>
    <x v="6"/>
    <x v="4"/>
  </r>
  <r>
    <s v="MonthlyTradeStatistics 2022_05.xlsx"/>
    <x v="17"/>
    <n v="11022.061"/>
    <s v="2022_05.xlsx"/>
    <x v="6"/>
    <x v="4"/>
  </r>
  <r>
    <s v="MonthlyTradeStatistics 2022_05.xlsx"/>
    <x v="18"/>
    <n v="22944.8249"/>
    <s v="2022_05.xlsx"/>
    <x v="6"/>
    <x v="4"/>
  </r>
  <r>
    <s v="MonthlyTradeStatistics 2022_05.xlsx"/>
    <x v="19"/>
    <n v="77929.950800000006"/>
    <s v="2022_05.xlsx"/>
    <x v="6"/>
    <x v="4"/>
  </r>
  <r>
    <s v="MonthlyTradeStatistics 2022_05.xlsx"/>
    <x v="20"/>
    <n v="0"/>
    <s v="2022_05.xlsx"/>
    <x v="6"/>
    <x v="4"/>
  </r>
  <r>
    <s v="MonthlyTradeStatistics 2022_05.xlsx"/>
    <x v="21"/>
    <n v="400000"/>
    <s v="2022_05.xlsx"/>
    <x v="6"/>
    <x v="4"/>
  </r>
  <r>
    <s v="MonthlyTradeStatistics 2022_05.xlsx"/>
    <x v="22"/>
    <n v="0"/>
    <s v="2022_05.xlsx"/>
    <x v="6"/>
    <x v="4"/>
  </r>
  <r>
    <s v="MonthlyTradeStatistics 2022_05.xlsx"/>
    <x v="23"/>
    <n v="1249.4570000000001"/>
    <s v="2022_05.xlsx"/>
    <x v="6"/>
    <x v="4"/>
  </r>
  <r>
    <s v="MonthlyTradeStatistics 2022_05.xlsx"/>
    <x v="24"/>
    <n v="461902.00719999999"/>
    <s v="2022_05.xlsx"/>
    <x v="6"/>
    <x v="4"/>
  </r>
  <r>
    <s v="MonthlyTradeStatistics 2022_05.xlsx"/>
    <x v="25"/>
    <n v="25746.864300000001"/>
    <s v="2022_05.xlsx"/>
    <x v="6"/>
    <x v="4"/>
  </r>
  <r>
    <s v="MonthlyTradeStatistics 2022_05.xlsx"/>
    <x v="26"/>
    <n v="11.5267"/>
    <s v="2022_05.xlsx"/>
    <x v="6"/>
    <x v="4"/>
  </r>
  <r>
    <s v="MonthlyTradeStatistics 2022_05.xlsx"/>
    <x v="27"/>
    <n v="40"/>
    <s v="2022_05.xlsx"/>
    <x v="6"/>
    <x v="4"/>
  </r>
  <r>
    <s v="MonthlyTradeStatistics 2022_05.xlsx"/>
    <x v="28"/>
    <n v="522847.15"/>
    <s v="2022_05.xlsx"/>
    <x v="6"/>
    <x v="4"/>
  </r>
  <r>
    <s v="MonthlyTradeStatistics 2022_05.xlsx"/>
    <x v="29"/>
    <n v="680752.96499999997"/>
    <s v="2022_05.xlsx"/>
    <x v="6"/>
    <x v="4"/>
  </r>
  <r>
    <s v="MonthlyTradeStatistics 2022_05.xlsx"/>
    <x v="30"/>
    <n v="228031.1066"/>
    <s v="2022_05.xlsx"/>
    <x v="6"/>
    <x v="4"/>
  </r>
  <r>
    <s v="MonthlyTradeStatistics 2022_05.xlsx"/>
    <x v="31"/>
    <n v="1717.5793000000001"/>
    <s v="2022_05.xlsx"/>
    <x v="6"/>
    <x v="4"/>
  </r>
  <r>
    <s v="MonthlyTradeStatistics 2022_05.xlsx"/>
    <x v="32"/>
    <n v="70979.368400000007"/>
    <s v="2022_05.xlsx"/>
    <x v="6"/>
    <x v="4"/>
  </r>
  <r>
    <s v="MonthlyTradeStatistics 2022_05.xlsx"/>
    <x v="33"/>
    <n v="92800.007299999997"/>
    <s v="2022_05.xlsx"/>
    <x v="6"/>
    <x v="4"/>
  </r>
  <r>
    <s v="MonthlyTradeStatistics 2022_05.xlsx"/>
    <x v="34"/>
    <n v="0"/>
    <s v="2022_05.xlsx"/>
    <x v="6"/>
    <x v="4"/>
  </r>
  <r>
    <s v="MonthlyTradeStatistics 2022_05.xlsx"/>
    <x v="35"/>
    <n v="3.3300000000000003E-2"/>
    <s v="2022_05.xlsx"/>
    <x v="6"/>
    <x v="4"/>
  </r>
  <r>
    <s v="MonthlyTradeStatistics 2022_05.xlsx"/>
    <x v="36"/>
    <n v="768.19870000000003"/>
    <s v="2022_05.xlsx"/>
    <x v="6"/>
    <x v="4"/>
  </r>
  <r>
    <s v="MonthlyTradeStatistics 2022_05.xlsx"/>
    <x v="37"/>
    <n v="381999.995"/>
    <s v="2022_05.xlsx"/>
    <x v="6"/>
    <x v="4"/>
  </r>
  <r>
    <s v="MonthlyTradeStatistics 2022_05.xlsx"/>
    <x v="38"/>
    <n v="195.625"/>
    <s v="2022_05.xlsx"/>
    <x v="6"/>
    <x v="4"/>
  </r>
  <r>
    <s v="MonthlyTradeStatistics 2022_05.xlsx"/>
    <x v="39"/>
    <n v="346814.0822"/>
    <s v="2022_05.xlsx"/>
    <x v="6"/>
    <x v="4"/>
  </r>
  <r>
    <s v="MonthlyTradeStatistics 2022_05.xlsx"/>
    <x v="40"/>
    <n v="0"/>
    <s v="2022_05.xlsx"/>
    <x v="6"/>
    <x v="4"/>
  </r>
  <r>
    <s v="MonthlyTradeStatistics 2022_05.xlsx"/>
    <x v="41"/>
    <n v="4003.4796000000001"/>
    <s v="2022_05.xlsx"/>
    <x v="6"/>
    <x v="4"/>
  </r>
  <r>
    <s v="MonthlyTradeStatistics 2022_05.xlsx"/>
    <x v="42"/>
    <n v="62917"/>
    <s v="2022_05.xlsx"/>
    <x v="6"/>
    <x v="4"/>
  </r>
  <r>
    <s v="MonthlyTradeStatistics 2022_05.xlsx"/>
    <x v="43"/>
    <n v="17.450299999999999"/>
    <s v="2022_05.xlsx"/>
    <x v="6"/>
    <x v="4"/>
  </r>
  <r>
    <s v="MonthlyTradeStatistics 2022_05.xlsx"/>
    <x v="44"/>
    <n v="137947.8167"/>
    <s v="2022_05.xlsx"/>
    <x v="6"/>
    <x v="4"/>
  </r>
  <r>
    <s v="MonthlyTradeStatistics 2022_05.xlsx"/>
    <x v="45"/>
    <n v="30.004000000000001"/>
    <s v="2022_05.xlsx"/>
    <x v="6"/>
    <x v="4"/>
  </r>
  <r>
    <s v="MonthlyTradeStatistics 2022_05.xlsx"/>
    <x v="46"/>
    <n v="3464.7993999999999"/>
    <s v="2022_05.xlsx"/>
    <x v="6"/>
    <x v="4"/>
  </r>
  <r>
    <s v="MonthlyTradeStatistics 2022_05.xlsx"/>
    <x v="47"/>
    <n v="2500"/>
    <s v="2022_05.xlsx"/>
    <x v="6"/>
    <x v="4"/>
  </r>
  <r>
    <s v="MonthlyTradeStatistics 2022_05.xlsx"/>
    <x v="48"/>
    <n v="46.8919"/>
    <s v="2022_05.xlsx"/>
    <x v="6"/>
    <x v="4"/>
  </r>
  <r>
    <s v="MonthlyTradeStatistics 2022_05.xlsx"/>
    <x v="49"/>
    <n v="72952.69"/>
    <s v="2022_05.xlsx"/>
    <x v="6"/>
    <x v="4"/>
  </r>
  <r>
    <s v="MonthlyTradeStatistics 2022_05.xlsx"/>
    <x v="50"/>
    <n v="17069.1793"/>
    <s v="2022_05.xlsx"/>
    <x v="6"/>
    <x v="4"/>
  </r>
  <r>
    <s v="MonthlyTradeStatistics 2022_05.xlsx"/>
    <x v="51"/>
    <n v="4995.1000000000004"/>
    <s v="2022_05.xlsx"/>
    <x v="6"/>
    <x v="4"/>
  </r>
  <r>
    <s v="MonthlyTradeStatistics 2022_05.xlsx"/>
    <x v="52"/>
    <n v="8925.3166999999994"/>
    <s v="2022_05.xlsx"/>
    <x v="6"/>
    <x v="4"/>
  </r>
  <r>
    <s v="MonthlyTradeStatistics 2022_05.xlsx"/>
    <x v="53"/>
    <n v="154.3861"/>
    <s v="2022_05.xlsx"/>
    <x v="6"/>
    <x v="4"/>
  </r>
  <r>
    <s v="MonthlyTradeStatistics 2022_05.xlsx"/>
    <x v="54"/>
    <n v="455166"/>
    <s v="2022_05.xlsx"/>
    <x v="6"/>
    <x v="4"/>
  </r>
  <r>
    <s v="MonthlyTradeStatistics 2022_05.xlsx"/>
    <x v="55"/>
    <n v="6600"/>
    <s v="2022_05.xlsx"/>
    <x v="6"/>
    <x v="4"/>
  </r>
  <r>
    <s v="MonthlyTradeStatistics 2022_05.xlsx"/>
    <x v="56"/>
    <n v="2437492.1743000001"/>
    <s v="2022_05.xlsx"/>
    <x v="6"/>
    <x v="4"/>
  </r>
  <r>
    <s v="MonthlyTradeStatistics 2022_05.xlsx"/>
    <x v="57"/>
    <n v="1869.9957999999999"/>
    <s v="2022_05.xlsx"/>
    <x v="6"/>
    <x v="4"/>
  </r>
  <r>
    <s v="MonthlyTradeStatistics 2022_05.xlsx"/>
    <x v="58"/>
    <n v="4558.7166999999999"/>
    <s v="2022_05.xlsx"/>
    <x v="6"/>
    <x v="4"/>
  </r>
  <r>
    <s v="MonthlyTradeStatistics 2022_05.xlsx"/>
    <x v="59"/>
    <n v="0"/>
    <s v="2022_05.xlsx"/>
    <x v="6"/>
    <x v="4"/>
  </r>
  <r>
    <s v="MonthlyTradeStatistics 2022_06.xlsx"/>
    <x v="0"/>
    <n v="11192822.0833"/>
    <s v="2022_06.xlsx"/>
    <x v="6"/>
    <x v="5"/>
  </r>
  <r>
    <s v="MonthlyTradeStatistics 2022_06.xlsx"/>
    <x v="1"/>
    <n v="1069508.8581999999"/>
    <s v="2022_06.xlsx"/>
    <x v="6"/>
    <x v="5"/>
  </r>
  <r>
    <s v="MonthlyTradeStatistics 2022_06.xlsx"/>
    <x v="2"/>
    <n v="3067777.2620999999"/>
    <s v="2022_06.xlsx"/>
    <x v="6"/>
    <x v="5"/>
  </r>
  <r>
    <s v="MonthlyTradeStatistics 2022_06.xlsx"/>
    <x v="3"/>
    <n v="2978948.5054000001"/>
    <s v="2022_06.xlsx"/>
    <x v="6"/>
    <x v="5"/>
  </r>
  <r>
    <s v="MonthlyTradeStatistics 2022_06.xlsx"/>
    <x v="4"/>
    <n v="4076587.4575999998"/>
    <s v="2022_06.xlsx"/>
    <x v="6"/>
    <x v="5"/>
  </r>
  <r>
    <s v="MonthlyTradeStatistics 2022_06.xlsx"/>
    <x v="5"/>
    <n v="5.665"/>
    <s v="2022_06.xlsx"/>
    <x v="6"/>
    <x v="5"/>
  </r>
  <r>
    <s v="MonthlyTradeStatistics 2022_06.xlsx"/>
    <x v="6"/>
    <n v="1097.3833"/>
    <s v="2022_06.xlsx"/>
    <x v="6"/>
    <x v="5"/>
  </r>
  <r>
    <s v="MonthlyTradeStatistics 2022_06.xlsx"/>
    <x v="7"/>
    <n v="3125362.9914000002"/>
    <s v="2022_06.xlsx"/>
    <x v="6"/>
    <x v="5"/>
  </r>
  <r>
    <s v="MonthlyTradeStatistics 2022_06.xlsx"/>
    <x v="8"/>
    <n v="1897.9432999999999"/>
    <s v="2022_06.xlsx"/>
    <x v="6"/>
    <x v="5"/>
  </r>
  <r>
    <s v="MonthlyTradeStatistics 2022_06.xlsx"/>
    <x v="9"/>
    <n v="5400"/>
    <s v="2022_06.xlsx"/>
    <x v="6"/>
    <x v="5"/>
  </r>
  <r>
    <s v="MonthlyTradeStatistics 2022_06.xlsx"/>
    <x v="10"/>
    <n v="800"/>
    <s v="2022_06.xlsx"/>
    <x v="6"/>
    <x v="5"/>
  </r>
  <r>
    <s v="MonthlyTradeStatistics 2022_06.xlsx"/>
    <x v="11"/>
    <n v="949542.6618"/>
    <s v="2022_06.xlsx"/>
    <x v="6"/>
    <x v="5"/>
  </r>
  <r>
    <s v="MonthlyTradeStatistics 2022_06.xlsx"/>
    <x v="12"/>
    <n v="0.82650000000000001"/>
    <s v="2022_06.xlsx"/>
    <x v="6"/>
    <x v="5"/>
  </r>
  <r>
    <s v="MonthlyTradeStatistics 2022_06.xlsx"/>
    <x v="13"/>
    <n v="113294.5144"/>
    <s v="2022_06.xlsx"/>
    <x v="6"/>
    <x v="5"/>
  </r>
  <r>
    <s v="MonthlyTradeStatistics 2022_06.xlsx"/>
    <x v="14"/>
    <n v="84319.084099999993"/>
    <s v="2022_06.xlsx"/>
    <x v="6"/>
    <x v="5"/>
  </r>
  <r>
    <s v="MonthlyTradeStatistics 2022_06.xlsx"/>
    <x v="15"/>
    <n v="1385.5616"/>
    <s v="2022_06.xlsx"/>
    <x v="6"/>
    <x v="5"/>
  </r>
  <r>
    <s v="MonthlyTradeStatistics 2022_06.xlsx"/>
    <x v="16"/>
    <n v="21000"/>
    <s v="2022_06.xlsx"/>
    <x v="6"/>
    <x v="5"/>
  </r>
  <r>
    <s v="MonthlyTradeStatistics 2022_06.xlsx"/>
    <x v="17"/>
    <n v="2773.4677999999999"/>
    <s v="2022_06.xlsx"/>
    <x v="6"/>
    <x v="5"/>
  </r>
  <r>
    <s v="MonthlyTradeStatistics 2022_06.xlsx"/>
    <x v="18"/>
    <n v="24866.2546"/>
    <s v="2022_06.xlsx"/>
    <x v="6"/>
    <x v="5"/>
  </r>
  <r>
    <s v="MonthlyTradeStatistics 2022_06.xlsx"/>
    <x v="19"/>
    <n v="77577.472399999999"/>
    <s v="2022_06.xlsx"/>
    <x v="6"/>
    <x v="5"/>
  </r>
  <r>
    <s v="MonthlyTradeStatistics 2022_06.xlsx"/>
    <x v="20"/>
    <n v="0"/>
    <s v="2022_06.xlsx"/>
    <x v="6"/>
    <x v="5"/>
  </r>
  <r>
    <s v="MonthlyTradeStatistics 2022_06.xlsx"/>
    <x v="21"/>
    <n v="450000"/>
    <s v="2022_06.xlsx"/>
    <x v="6"/>
    <x v="5"/>
  </r>
  <r>
    <s v="MonthlyTradeStatistics 2022_06.xlsx"/>
    <x v="22"/>
    <n v="0"/>
    <s v="2022_06.xlsx"/>
    <x v="6"/>
    <x v="5"/>
  </r>
  <r>
    <s v="MonthlyTradeStatistics 2022_06.xlsx"/>
    <x v="23"/>
    <n v="496.988"/>
    <s v="2022_06.xlsx"/>
    <x v="6"/>
    <x v="5"/>
  </r>
  <r>
    <s v="MonthlyTradeStatistics 2022_06.xlsx"/>
    <x v="24"/>
    <n v="482852.48239999998"/>
    <s v="2022_06.xlsx"/>
    <x v="6"/>
    <x v="5"/>
  </r>
  <r>
    <s v="MonthlyTradeStatistics 2022_06.xlsx"/>
    <x v="25"/>
    <n v="11842.6957"/>
    <s v="2022_06.xlsx"/>
    <x v="6"/>
    <x v="5"/>
  </r>
  <r>
    <s v="MonthlyTradeStatistics 2022_06.xlsx"/>
    <x v="26"/>
    <n v="95.03"/>
    <s v="2022_06.xlsx"/>
    <x v="6"/>
    <x v="5"/>
  </r>
  <r>
    <s v="MonthlyTradeStatistics 2022_06.xlsx"/>
    <x v="27"/>
    <n v="118.32899999999999"/>
    <s v="2022_06.xlsx"/>
    <x v="6"/>
    <x v="5"/>
  </r>
  <r>
    <s v="MonthlyTradeStatistics 2022_06.xlsx"/>
    <x v="28"/>
    <n v="563409.01969999995"/>
    <s v="2022_06.xlsx"/>
    <x v="6"/>
    <x v="5"/>
  </r>
  <r>
    <s v="MonthlyTradeStatistics 2022_06.xlsx"/>
    <x v="29"/>
    <n v="627812.20640000002"/>
    <s v="2022_06.xlsx"/>
    <x v="6"/>
    <x v="5"/>
  </r>
  <r>
    <s v="MonthlyTradeStatistics 2022_06.xlsx"/>
    <x v="30"/>
    <n v="518873.90130000003"/>
    <s v="2022_06.xlsx"/>
    <x v="6"/>
    <x v="5"/>
  </r>
  <r>
    <s v="MonthlyTradeStatistics 2022_06.xlsx"/>
    <x v="31"/>
    <n v="1589.9974"/>
    <s v="2022_06.xlsx"/>
    <x v="6"/>
    <x v="5"/>
  </r>
  <r>
    <s v="MonthlyTradeStatistics 2022_06.xlsx"/>
    <x v="32"/>
    <n v="90410.256399999998"/>
    <s v="2022_06.xlsx"/>
    <x v="6"/>
    <x v="5"/>
  </r>
  <r>
    <s v="MonthlyTradeStatistics 2022_06.xlsx"/>
    <x v="33"/>
    <n v="76300.004000000001"/>
    <s v="2022_06.xlsx"/>
    <x v="6"/>
    <x v="5"/>
  </r>
  <r>
    <s v="MonthlyTradeStatistics 2022_06.xlsx"/>
    <x v="34"/>
    <n v="0"/>
    <s v="2022_06.xlsx"/>
    <x v="6"/>
    <x v="5"/>
  </r>
  <r>
    <s v="MonthlyTradeStatistics 2022_06.xlsx"/>
    <x v="35"/>
    <n v="0.16669999999999999"/>
    <s v="2022_06.xlsx"/>
    <x v="6"/>
    <x v="5"/>
  </r>
  <r>
    <s v="MonthlyTradeStatistics 2022_06.xlsx"/>
    <x v="36"/>
    <n v="768.19870000000003"/>
    <s v="2022_06.xlsx"/>
    <x v="6"/>
    <x v="5"/>
  </r>
  <r>
    <s v="MonthlyTradeStatistics 2022_06.xlsx"/>
    <x v="37"/>
    <n v="362000.00699999998"/>
    <s v="2022_06.xlsx"/>
    <x v="6"/>
    <x v="5"/>
  </r>
  <r>
    <s v="MonthlyTradeStatistics 2022_06.xlsx"/>
    <x v="38"/>
    <n v="269.76670000000001"/>
    <s v="2022_06.xlsx"/>
    <x v="6"/>
    <x v="5"/>
  </r>
  <r>
    <s v="MonthlyTradeStatistics 2022_06.xlsx"/>
    <x v="39"/>
    <n v="345325.71659999999"/>
    <s v="2022_06.xlsx"/>
    <x v="6"/>
    <x v="5"/>
  </r>
  <r>
    <s v="MonthlyTradeStatistics 2022_06.xlsx"/>
    <x v="40"/>
    <n v="0"/>
    <s v="2022_06.xlsx"/>
    <x v="6"/>
    <x v="5"/>
  </r>
  <r>
    <s v="MonthlyTradeStatistics 2022_06.xlsx"/>
    <x v="41"/>
    <n v="2905.0010000000002"/>
    <s v="2022_06.xlsx"/>
    <x v="6"/>
    <x v="5"/>
  </r>
  <r>
    <s v="MonthlyTradeStatistics 2022_06.xlsx"/>
    <x v="42"/>
    <n v="32226.67"/>
    <s v="2022_06.xlsx"/>
    <x v="6"/>
    <x v="5"/>
  </r>
  <r>
    <s v="MonthlyTradeStatistics 2022_06.xlsx"/>
    <x v="43"/>
    <n v="0"/>
    <s v="2022_06.xlsx"/>
    <x v="6"/>
    <x v="5"/>
  </r>
  <r>
    <s v="MonthlyTradeStatistics 2022_06.xlsx"/>
    <x v="44"/>
    <n v="217832.59729999999"/>
    <s v="2022_06.xlsx"/>
    <x v="6"/>
    <x v="5"/>
  </r>
  <r>
    <s v="MonthlyTradeStatistics 2022_06.xlsx"/>
    <x v="45"/>
    <n v="784.34199999999998"/>
    <s v="2022_06.xlsx"/>
    <x v="6"/>
    <x v="5"/>
  </r>
  <r>
    <s v="MonthlyTradeStatistics 2022_06.xlsx"/>
    <x v="46"/>
    <n v="13049.334800000001"/>
    <s v="2022_06.xlsx"/>
    <x v="6"/>
    <x v="5"/>
  </r>
  <r>
    <s v="MonthlyTradeStatistics 2022_06.xlsx"/>
    <x v="47"/>
    <n v="3400"/>
    <s v="2022_06.xlsx"/>
    <x v="6"/>
    <x v="5"/>
  </r>
  <r>
    <s v="MonthlyTradeStatistics 2022_06.xlsx"/>
    <x v="48"/>
    <n v="46.8919"/>
    <s v="2022_06.xlsx"/>
    <x v="6"/>
    <x v="5"/>
  </r>
  <r>
    <s v="MonthlyTradeStatistics 2022_06.xlsx"/>
    <x v="49"/>
    <n v="39169.269999999997"/>
    <s v="2022_06.xlsx"/>
    <x v="6"/>
    <x v="5"/>
  </r>
  <r>
    <s v="MonthlyTradeStatistics 2022_06.xlsx"/>
    <x v="50"/>
    <n v="19240.833200000001"/>
    <s v="2022_06.xlsx"/>
    <x v="6"/>
    <x v="5"/>
  </r>
  <r>
    <s v="MonthlyTradeStatistics 2022_06.xlsx"/>
    <x v="51"/>
    <n v="4439.7166999999999"/>
    <s v="2022_06.xlsx"/>
    <x v="6"/>
    <x v="5"/>
  </r>
  <r>
    <s v="MonthlyTradeStatistics 2022_06.xlsx"/>
    <x v="52"/>
    <n v="11894.1167"/>
    <s v="2022_06.xlsx"/>
    <x v="6"/>
    <x v="5"/>
  </r>
  <r>
    <s v="MonthlyTradeStatistics 2022_06.xlsx"/>
    <x v="53"/>
    <n v="154.3861"/>
    <s v="2022_06.xlsx"/>
    <x v="6"/>
    <x v="5"/>
  </r>
  <r>
    <s v="MonthlyTradeStatistics 2022_06.xlsx"/>
    <x v="54"/>
    <n v="530364.99"/>
    <s v="2022_06.xlsx"/>
    <x v="6"/>
    <x v="5"/>
  </r>
  <r>
    <s v="MonthlyTradeStatistics 2022_06.xlsx"/>
    <x v="55"/>
    <n v="9700"/>
    <s v="2022_06.xlsx"/>
    <x v="6"/>
    <x v="5"/>
  </r>
  <r>
    <s v="MonthlyTradeStatistics 2022_06.xlsx"/>
    <x v="56"/>
    <n v="2359287.338"/>
    <s v="2022_06.xlsx"/>
    <x v="6"/>
    <x v="5"/>
  </r>
  <r>
    <s v="MonthlyTradeStatistics 2022_06.xlsx"/>
    <x v="57"/>
    <n v="4470.0033999999996"/>
    <s v="2022_06.xlsx"/>
    <x v="6"/>
    <x v="5"/>
  </r>
  <r>
    <s v="MonthlyTradeStatistics 2022_06.xlsx"/>
    <x v="58"/>
    <n v="2368"/>
    <s v="2022_06.xlsx"/>
    <x v="6"/>
    <x v="5"/>
  </r>
  <r>
    <s v="MonthlyTradeStatistics 2022_06.xlsx"/>
    <x v="59"/>
    <n v="0"/>
    <s v="2022_06.xlsx"/>
    <x v="6"/>
    <x v="5"/>
  </r>
  <r>
    <s v="MonthlyTradeStatistics 2022_07.xlsx"/>
    <x v="0"/>
    <n v="10367023.879699999"/>
    <s v="2022_07.xlsx"/>
    <x v="6"/>
    <x v="6"/>
  </r>
  <r>
    <s v="MonthlyTradeStatistics 2022_07.xlsx"/>
    <x v="1"/>
    <n v="1118549.0926000001"/>
    <s v="2022_07.xlsx"/>
    <x v="6"/>
    <x v="6"/>
  </r>
  <r>
    <s v="MonthlyTradeStatistics 2022_07.xlsx"/>
    <x v="2"/>
    <n v="2756568.8838999998"/>
    <s v="2022_07.xlsx"/>
    <x v="6"/>
    <x v="6"/>
  </r>
  <r>
    <s v="MonthlyTradeStatistics 2022_07.xlsx"/>
    <x v="3"/>
    <n v="2753892.1850999999"/>
    <s v="2022_07.xlsx"/>
    <x v="6"/>
    <x v="6"/>
  </r>
  <r>
    <s v="MonthlyTradeStatistics 2022_07.xlsx"/>
    <x v="4"/>
    <n v="3738013.7181000002"/>
    <s v="2022_07.xlsx"/>
    <x v="6"/>
    <x v="6"/>
  </r>
  <r>
    <s v="MonthlyTradeStatistics 2022_07.xlsx"/>
    <x v="5"/>
    <n v="5.9682000000000004"/>
    <s v="2022_07.xlsx"/>
    <x v="6"/>
    <x v="6"/>
  </r>
  <r>
    <s v="MonthlyTradeStatistics 2022_07.xlsx"/>
    <x v="6"/>
    <n v="2114.9250000000002"/>
    <s v="2022_07.xlsx"/>
    <x v="6"/>
    <x v="6"/>
  </r>
  <r>
    <s v="MonthlyTradeStatistics 2022_07.xlsx"/>
    <x v="7"/>
    <n v="2752356.7374999998"/>
    <s v="2022_07.xlsx"/>
    <x v="6"/>
    <x v="6"/>
  </r>
  <r>
    <s v="MonthlyTradeStatistics 2022_07.xlsx"/>
    <x v="8"/>
    <n v="3140.7166999999999"/>
    <s v="2022_07.xlsx"/>
    <x v="6"/>
    <x v="6"/>
  </r>
  <r>
    <s v="MonthlyTradeStatistics 2022_07.xlsx"/>
    <x v="9"/>
    <n v="6500"/>
    <s v="2022_07.xlsx"/>
    <x v="6"/>
    <x v="6"/>
  </r>
  <r>
    <s v="MonthlyTradeStatistics 2022_07.xlsx"/>
    <x v="10"/>
    <n v="300"/>
    <s v="2022_07.xlsx"/>
    <x v="6"/>
    <x v="6"/>
  </r>
  <r>
    <s v="MonthlyTradeStatistics 2022_07.xlsx"/>
    <x v="11"/>
    <n v="1038080.286"/>
    <s v="2022_07.xlsx"/>
    <x v="6"/>
    <x v="6"/>
  </r>
  <r>
    <s v="MonthlyTradeStatistics 2022_07.xlsx"/>
    <x v="12"/>
    <n v="0.82650000000000001"/>
    <s v="2022_07.xlsx"/>
    <x v="6"/>
    <x v="6"/>
  </r>
  <r>
    <s v="MonthlyTradeStatistics 2022_07.xlsx"/>
    <x v="13"/>
    <n v="153531.8682"/>
    <s v="2022_07.xlsx"/>
    <x v="6"/>
    <x v="6"/>
  </r>
  <r>
    <s v="MonthlyTradeStatistics 2022_07.xlsx"/>
    <x v="14"/>
    <n v="139185.48310000001"/>
    <s v="2022_07.xlsx"/>
    <x v="6"/>
    <x v="6"/>
  </r>
  <r>
    <s v="MonthlyTradeStatistics 2022_07.xlsx"/>
    <x v="15"/>
    <n v="1385.5616"/>
    <s v="2022_07.xlsx"/>
    <x v="6"/>
    <x v="6"/>
  </r>
  <r>
    <s v="MonthlyTradeStatistics 2022_07.xlsx"/>
    <x v="16"/>
    <n v="22600"/>
    <s v="2022_07.xlsx"/>
    <x v="6"/>
    <x v="6"/>
  </r>
  <r>
    <s v="MonthlyTradeStatistics 2022_07.xlsx"/>
    <x v="17"/>
    <n v="4535.5998"/>
    <s v="2022_07.xlsx"/>
    <x v="6"/>
    <x v="6"/>
  </r>
  <r>
    <s v="MonthlyTradeStatistics 2022_07.xlsx"/>
    <x v="18"/>
    <n v="63330.6247"/>
    <s v="2022_07.xlsx"/>
    <x v="6"/>
    <x v="6"/>
  </r>
  <r>
    <s v="MonthlyTradeStatistics 2022_07.xlsx"/>
    <x v="19"/>
    <n v="75237.011499999993"/>
    <s v="2022_07.xlsx"/>
    <x v="6"/>
    <x v="6"/>
  </r>
  <r>
    <s v="MonthlyTradeStatistics 2022_07.xlsx"/>
    <x v="20"/>
    <n v="0"/>
    <s v="2022_07.xlsx"/>
    <x v="6"/>
    <x v="6"/>
  </r>
  <r>
    <s v="MonthlyTradeStatistics 2022_07.xlsx"/>
    <x v="21"/>
    <n v="500000"/>
    <s v="2022_07.xlsx"/>
    <x v="6"/>
    <x v="6"/>
  </r>
  <r>
    <s v="MonthlyTradeStatistics 2022_07.xlsx"/>
    <x v="22"/>
    <n v="0"/>
    <s v="2022_07.xlsx"/>
    <x v="6"/>
    <x v="6"/>
  </r>
  <r>
    <s v="MonthlyTradeStatistics 2022_07.xlsx"/>
    <x v="23"/>
    <n v="350.54599999999999"/>
    <s v="2022_07.xlsx"/>
    <x v="6"/>
    <x v="6"/>
  </r>
  <r>
    <s v="MonthlyTradeStatistics 2022_07.xlsx"/>
    <x v="24"/>
    <n v="304364.93540000002"/>
    <s v="2022_07.xlsx"/>
    <x v="6"/>
    <x v="6"/>
  </r>
  <r>
    <s v="MonthlyTradeStatistics 2022_07.xlsx"/>
    <x v="25"/>
    <n v="9805.5116999999991"/>
    <s v="2022_07.xlsx"/>
    <x v="6"/>
    <x v="6"/>
  </r>
  <r>
    <s v="MonthlyTradeStatistics 2022_07.xlsx"/>
    <x v="26"/>
    <n v="103.19799999999999"/>
    <s v="2022_07.xlsx"/>
    <x v="6"/>
    <x v="6"/>
  </r>
  <r>
    <s v="MonthlyTradeStatistics 2022_07.xlsx"/>
    <x v="27"/>
    <n v="300"/>
    <s v="2022_07.xlsx"/>
    <x v="6"/>
    <x v="6"/>
  </r>
  <r>
    <s v="MonthlyTradeStatistics 2022_07.xlsx"/>
    <x v="28"/>
    <n v="389338.68699999998"/>
    <s v="2022_07.xlsx"/>
    <x v="6"/>
    <x v="6"/>
  </r>
  <r>
    <s v="MonthlyTradeStatistics 2022_07.xlsx"/>
    <x v="29"/>
    <n v="528532.46550000005"/>
    <s v="2022_07.xlsx"/>
    <x v="6"/>
    <x v="6"/>
  </r>
  <r>
    <s v="MonthlyTradeStatistics 2022_07.xlsx"/>
    <x v="30"/>
    <n v="558385.1189"/>
    <s v="2022_07.xlsx"/>
    <x v="6"/>
    <x v="6"/>
  </r>
  <r>
    <s v="MonthlyTradeStatistics 2022_07.xlsx"/>
    <x v="31"/>
    <n v="1247.271"/>
    <s v="2022_07.xlsx"/>
    <x v="6"/>
    <x v="6"/>
  </r>
  <r>
    <s v="MonthlyTradeStatistics 2022_07.xlsx"/>
    <x v="32"/>
    <n v="69754.456600000005"/>
    <s v="2022_07.xlsx"/>
    <x v="6"/>
    <x v="6"/>
  </r>
  <r>
    <s v="MonthlyTradeStatistics 2022_07.xlsx"/>
    <x v="33"/>
    <n v="40300.008999999998"/>
    <s v="2022_07.xlsx"/>
    <x v="6"/>
    <x v="6"/>
  </r>
  <r>
    <s v="MonthlyTradeStatistics 2022_07.xlsx"/>
    <x v="34"/>
    <n v="0"/>
    <s v="2022_07.xlsx"/>
    <x v="6"/>
    <x v="6"/>
  </r>
  <r>
    <s v="MonthlyTradeStatistics 2022_07.xlsx"/>
    <x v="35"/>
    <n v="0.21820000000000001"/>
    <s v="2022_07.xlsx"/>
    <x v="6"/>
    <x v="6"/>
  </r>
  <r>
    <s v="MonthlyTradeStatistics 2022_07.xlsx"/>
    <x v="36"/>
    <n v="768.19870000000003"/>
    <s v="2022_07.xlsx"/>
    <x v="6"/>
    <x v="6"/>
  </r>
  <r>
    <s v="MonthlyTradeStatistics 2022_07.xlsx"/>
    <x v="37"/>
    <n v="318399.99829999998"/>
    <s v="2022_07.xlsx"/>
    <x v="6"/>
    <x v="6"/>
  </r>
  <r>
    <s v="MonthlyTradeStatistics 2022_07.xlsx"/>
    <x v="38"/>
    <n v="118.54600000000001"/>
    <s v="2022_07.xlsx"/>
    <x v="6"/>
    <x v="6"/>
  </r>
  <r>
    <s v="MonthlyTradeStatistics 2022_07.xlsx"/>
    <x v="39"/>
    <n v="260714.23540000001"/>
    <s v="2022_07.xlsx"/>
    <x v="6"/>
    <x v="6"/>
  </r>
  <r>
    <s v="MonthlyTradeStatistics 2022_07.xlsx"/>
    <x v="40"/>
    <n v="0"/>
    <s v="2022_07.xlsx"/>
    <x v="6"/>
    <x v="6"/>
  </r>
  <r>
    <s v="MonthlyTradeStatistics 2022_07.xlsx"/>
    <x v="41"/>
    <n v="1907.1139000000001"/>
    <s v="2022_07.xlsx"/>
    <x v="6"/>
    <x v="6"/>
  </r>
  <r>
    <s v="MonthlyTradeStatistics 2022_07.xlsx"/>
    <x v="42"/>
    <n v="104164.5"/>
    <s v="2022_07.xlsx"/>
    <x v="6"/>
    <x v="6"/>
  </r>
  <r>
    <s v="MonthlyTradeStatistics 2022_07.xlsx"/>
    <x v="43"/>
    <n v="4.55"/>
    <s v="2022_07.xlsx"/>
    <x v="6"/>
    <x v="6"/>
  </r>
  <r>
    <s v="MonthlyTradeStatistics 2022_07.xlsx"/>
    <x v="44"/>
    <n v="401378.12819999998"/>
    <s v="2022_07.xlsx"/>
    <x v="6"/>
    <x v="6"/>
  </r>
  <r>
    <s v="MonthlyTradeStatistics 2022_07.xlsx"/>
    <x v="45"/>
    <n v="233.2533"/>
    <s v="2022_07.xlsx"/>
    <x v="6"/>
    <x v="6"/>
  </r>
  <r>
    <s v="MonthlyTradeStatistics 2022_07.xlsx"/>
    <x v="46"/>
    <n v="18079.999899999999"/>
    <s v="2022_07.xlsx"/>
    <x v="6"/>
    <x v="6"/>
  </r>
  <r>
    <s v="MonthlyTradeStatistics 2022_07.xlsx"/>
    <x v="47"/>
    <n v="5400"/>
    <s v="2022_07.xlsx"/>
    <x v="6"/>
    <x v="6"/>
  </r>
  <r>
    <s v="MonthlyTradeStatistics 2022_07.xlsx"/>
    <x v="48"/>
    <n v="46.8919"/>
    <s v="2022_07.xlsx"/>
    <x v="6"/>
    <x v="6"/>
  </r>
  <r>
    <s v="MonthlyTradeStatistics 2022_07.xlsx"/>
    <x v="49"/>
    <n v="11754.35"/>
    <s v="2022_07.xlsx"/>
    <x v="6"/>
    <x v="6"/>
  </r>
  <r>
    <s v="MonthlyTradeStatistics 2022_07.xlsx"/>
    <x v="50"/>
    <n v="12173.7037"/>
    <s v="2022_07.xlsx"/>
    <x v="6"/>
    <x v="6"/>
  </r>
  <r>
    <s v="MonthlyTradeStatistics 2022_07.xlsx"/>
    <x v="51"/>
    <n v="14541.7"/>
    <s v="2022_07.xlsx"/>
    <x v="6"/>
    <x v="6"/>
  </r>
  <r>
    <s v="MonthlyTradeStatistics 2022_07.xlsx"/>
    <x v="52"/>
    <n v="12814.1333"/>
    <s v="2022_07.xlsx"/>
    <x v="6"/>
    <x v="6"/>
  </r>
  <r>
    <s v="MonthlyTradeStatistics 2022_07.xlsx"/>
    <x v="53"/>
    <n v="154.3861"/>
    <s v="2022_07.xlsx"/>
    <x v="6"/>
    <x v="6"/>
  </r>
  <r>
    <s v="MonthlyTradeStatistics 2022_07.xlsx"/>
    <x v="54"/>
    <n v="576468"/>
    <s v="2022_07.xlsx"/>
    <x v="6"/>
    <x v="6"/>
  </r>
  <r>
    <s v="MonthlyTradeStatistics 2022_07.xlsx"/>
    <x v="55"/>
    <n v="8100"/>
    <s v="2022_07.xlsx"/>
    <x v="6"/>
    <x v="6"/>
  </r>
  <r>
    <s v="MonthlyTradeStatistics 2022_07.xlsx"/>
    <x v="56"/>
    <n v="1950184.1691999999"/>
    <s v="2022_07.xlsx"/>
    <x v="6"/>
    <x v="6"/>
  </r>
  <r>
    <s v="MonthlyTradeStatistics 2022_07.xlsx"/>
    <x v="57"/>
    <n v="3399.9956999999999"/>
    <s v="2022_07.xlsx"/>
    <x v="6"/>
    <x v="6"/>
  </r>
  <r>
    <s v="MonthlyTradeStatistics 2022_07.xlsx"/>
    <x v="58"/>
    <n v="1430"/>
    <s v="2022_07.xlsx"/>
    <x v="6"/>
    <x v="6"/>
  </r>
  <r>
    <s v="MonthlyTradeStatistics 2022_07.xlsx"/>
    <x v="59"/>
    <n v="0"/>
    <s v="2022_07.xlsx"/>
    <x v="6"/>
    <x v="6"/>
  </r>
  <r>
    <s v="MonthlyTradeStatistics 2022_08.xlsx"/>
    <x v="0"/>
    <n v="10096230.939999999"/>
    <s v="2022_08.xlsx"/>
    <x v="6"/>
    <x v="7"/>
  </r>
  <r>
    <s v="MonthlyTradeStatistics 2022_08.xlsx"/>
    <x v="1"/>
    <n v="957655.31420000002"/>
    <s v="2022_08.xlsx"/>
    <x v="6"/>
    <x v="7"/>
  </r>
  <r>
    <s v="MonthlyTradeStatistics 2022_08.xlsx"/>
    <x v="2"/>
    <n v="2475810.9249999998"/>
    <s v="2022_08.xlsx"/>
    <x v="6"/>
    <x v="7"/>
  </r>
  <r>
    <s v="MonthlyTradeStatistics 2022_08.xlsx"/>
    <x v="3"/>
    <n v="2972959.6094999998"/>
    <s v="2022_08.xlsx"/>
    <x v="6"/>
    <x v="7"/>
  </r>
  <r>
    <s v="MonthlyTradeStatistics 2022_08.xlsx"/>
    <x v="4"/>
    <n v="3689805.0913"/>
    <s v="2022_08.xlsx"/>
    <x v="6"/>
    <x v="7"/>
  </r>
  <r>
    <s v="MonthlyTradeStatistics 2022_08.xlsx"/>
    <x v="5"/>
    <n v="5.0990000000000002"/>
    <s v="2022_08.xlsx"/>
    <x v="6"/>
    <x v="7"/>
  </r>
  <r>
    <s v="MonthlyTradeStatistics 2022_08.xlsx"/>
    <x v="6"/>
    <n v="2466.0832999999998"/>
    <s v="2022_08.xlsx"/>
    <x v="6"/>
    <x v="7"/>
  </r>
  <r>
    <s v="MonthlyTradeStatistics 2022_08.xlsx"/>
    <x v="7"/>
    <n v="2951452.1353000002"/>
    <s v="2022_08.xlsx"/>
    <x v="6"/>
    <x v="7"/>
  </r>
  <r>
    <s v="MonthlyTradeStatistics 2022_08.xlsx"/>
    <x v="8"/>
    <n v="12359.65"/>
    <s v="2022_08.xlsx"/>
    <x v="6"/>
    <x v="7"/>
  </r>
  <r>
    <s v="MonthlyTradeStatistics 2022_08.xlsx"/>
    <x v="9"/>
    <n v="8700"/>
    <s v="2022_08.xlsx"/>
    <x v="6"/>
    <x v="7"/>
  </r>
  <r>
    <s v="MonthlyTradeStatistics 2022_08.xlsx"/>
    <x v="10"/>
    <n v="400"/>
    <s v="2022_08.xlsx"/>
    <x v="6"/>
    <x v="7"/>
  </r>
  <r>
    <s v="MonthlyTradeStatistics 2022_08.xlsx"/>
    <x v="11"/>
    <n v="884849.07620000001"/>
    <s v="2022_08.xlsx"/>
    <x v="6"/>
    <x v="7"/>
  </r>
  <r>
    <s v="MonthlyTradeStatistics 2022_08.xlsx"/>
    <x v="12"/>
    <n v="0.82650000000000001"/>
    <s v="2022_08.xlsx"/>
    <x v="6"/>
    <x v="7"/>
  </r>
  <r>
    <s v="MonthlyTradeStatistics 2022_08.xlsx"/>
    <x v="13"/>
    <n v="146386.8934"/>
    <s v="2022_08.xlsx"/>
    <x v="6"/>
    <x v="7"/>
  </r>
  <r>
    <s v="MonthlyTradeStatistics 2022_08.xlsx"/>
    <x v="14"/>
    <n v="122857.5836"/>
    <s v="2022_08.xlsx"/>
    <x v="6"/>
    <x v="7"/>
  </r>
  <r>
    <s v="MonthlyTradeStatistics 2022_08.xlsx"/>
    <x v="15"/>
    <n v="1385.5616"/>
    <s v="2022_08.xlsx"/>
    <x v="6"/>
    <x v="7"/>
  </r>
  <r>
    <s v="MonthlyTradeStatistics 2022_08.xlsx"/>
    <x v="16"/>
    <n v="13700"/>
    <s v="2022_08.xlsx"/>
    <x v="6"/>
    <x v="7"/>
  </r>
  <r>
    <s v="MonthlyTradeStatistics 2022_08.xlsx"/>
    <x v="17"/>
    <n v="26017.2503"/>
    <s v="2022_08.xlsx"/>
    <x v="6"/>
    <x v="7"/>
  </r>
  <r>
    <s v="MonthlyTradeStatistics 2022_08.xlsx"/>
    <x v="18"/>
    <n v="54636.44"/>
    <s v="2022_08.xlsx"/>
    <x v="6"/>
    <x v="7"/>
  </r>
  <r>
    <s v="MonthlyTradeStatistics 2022_08.xlsx"/>
    <x v="19"/>
    <n v="37361.389799999997"/>
    <s v="2022_08.xlsx"/>
    <x v="6"/>
    <x v="7"/>
  </r>
  <r>
    <s v="MonthlyTradeStatistics 2022_08.xlsx"/>
    <x v="20"/>
    <n v="0"/>
    <s v="2022_08.xlsx"/>
    <x v="6"/>
    <x v="7"/>
  </r>
  <r>
    <s v="MonthlyTradeStatistics 2022_08.xlsx"/>
    <x v="21"/>
    <n v="430000"/>
    <s v="2022_08.xlsx"/>
    <x v="6"/>
    <x v="7"/>
  </r>
  <r>
    <s v="MonthlyTradeStatistics 2022_08.xlsx"/>
    <x v="22"/>
    <n v="0"/>
    <s v="2022_08.xlsx"/>
    <x v="6"/>
    <x v="7"/>
  </r>
  <r>
    <s v="MonthlyTradeStatistics 2022_08.xlsx"/>
    <x v="23"/>
    <n v="151.9513"/>
    <s v="2022_08.xlsx"/>
    <x v="6"/>
    <x v="7"/>
  </r>
  <r>
    <s v="MonthlyTradeStatistics 2022_08.xlsx"/>
    <x v="24"/>
    <n v="277881.75760000001"/>
    <s v="2022_08.xlsx"/>
    <x v="6"/>
    <x v="7"/>
  </r>
  <r>
    <s v="MonthlyTradeStatistics 2022_08.xlsx"/>
    <x v="25"/>
    <n v="0"/>
    <s v="2022_08.xlsx"/>
    <x v="6"/>
    <x v="7"/>
  </r>
  <r>
    <s v="MonthlyTradeStatistics 2022_08.xlsx"/>
    <x v="26"/>
    <n v="35.498199999999997"/>
    <s v="2022_08.xlsx"/>
    <x v="6"/>
    <x v="7"/>
  </r>
  <r>
    <s v="MonthlyTradeStatistics 2022_08.xlsx"/>
    <x v="27"/>
    <n v="35.166600000000003"/>
    <s v="2022_08.xlsx"/>
    <x v="6"/>
    <x v="7"/>
  </r>
  <r>
    <s v="MonthlyTradeStatistics 2022_08.xlsx"/>
    <x v="28"/>
    <n v="245234.54"/>
    <s v="2022_08.xlsx"/>
    <x v="6"/>
    <x v="7"/>
  </r>
  <r>
    <s v="MonthlyTradeStatistics 2022_08.xlsx"/>
    <x v="29"/>
    <n v="569606.31059999997"/>
    <s v="2022_08.xlsx"/>
    <x v="6"/>
    <x v="7"/>
  </r>
  <r>
    <s v="MonthlyTradeStatistics 2022_08.xlsx"/>
    <x v="30"/>
    <n v="573559.24010000005"/>
    <s v="2022_08.xlsx"/>
    <x v="6"/>
    <x v="7"/>
  </r>
  <r>
    <s v="MonthlyTradeStatistics 2022_08.xlsx"/>
    <x v="31"/>
    <n v="1223.0536999999999"/>
    <s v="2022_08.xlsx"/>
    <x v="6"/>
    <x v="7"/>
  </r>
  <r>
    <s v="MonthlyTradeStatistics 2022_08.xlsx"/>
    <x v="32"/>
    <n v="57888.078000000001"/>
    <s v="2022_08.xlsx"/>
    <x v="6"/>
    <x v="7"/>
  </r>
  <r>
    <s v="MonthlyTradeStatistics 2022_08.xlsx"/>
    <x v="33"/>
    <n v="37099.991000000002"/>
    <s v="2022_08.xlsx"/>
    <x v="6"/>
    <x v="7"/>
  </r>
  <r>
    <s v="MonthlyTradeStatistics 2022_08.xlsx"/>
    <x v="34"/>
    <n v="0"/>
    <s v="2022_08.xlsx"/>
    <x v="6"/>
    <x v="7"/>
  </r>
  <r>
    <s v="MonthlyTradeStatistics 2022_08.xlsx"/>
    <x v="35"/>
    <n v="0.81669999999999998"/>
    <s v="2022_08.xlsx"/>
    <x v="6"/>
    <x v="7"/>
  </r>
  <r>
    <s v="MonthlyTradeStatistics 2022_08.xlsx"/>
    <x v="36"/>
    <n v="768.19870000000003"/>
    <s v="2022_08.xlsx"/>
    <x v="6"/>
    <x v="7"/>
  </r>
  <r>
    <s v="MonthlyTradeStatistics 2022_08.xlsx"/>
    <x v="37"/>
    <n v="324999.99180000002"/>
    <s v="2022_08.xlsx"/>
    <x v="6"/>
    <x v="7"/>
  </r>
  <r>
    <s v="MonthlyTradeStatistics 2022_08.xlsx"/>
    <x v="38"/>
    <n v="76.366699999999994"/>
    <s v="2022_08.xlsx"/>
    <x v="6"/>
    <x v="7"/>
  </r>
  <r>
    <s v="MonthlyTradeStatistics 2022_08.xlsx"/>
    <x v="39"/>
    <n v="189754.52429999999"/>
    <s v="2022_08.xlsx"/>
    <x v="6"/>
    <x v="7"/>
  </r>
  <r>
    <s v="MonthlyTradeStatistics 2022_08.xlsx"/>
    <x v="40"/>
    <n v="0"/>
    <s v="2022_08.xlsx"/>
    <x v="6"/>
    <x v="7"/>
  </r>
  <r>
    <s v="MonthlyTradeStatistics 2022_08.xlsx"/>
    <x v="41"/>
    <n v="6200.2969999999996"/>
    <s v="2022_08.xlsx"/>
    <x v="6"/>
    <x v="7"/>
  </r>
  <r>
    <s v="MonthlyTradeStatistics 2022_08.xlsx"/>
    <x v="42"/>
    <n v="101569.67"/>
    <s v="2022_08.xlsx"/>
    <x v="6"/>
    <x v="7"/>
  </r>
  <r>
    <s v="MonthlyTradeStatistics 2022_08.xlsx"/>
    <x v="43"/>
    <n v="13"/>
    <s v="2022_08.xlsx"/>
    <x v="6"/>
    <x v="7"/>
  </r>
  <r>
    <s v="MonthlyTradeStatistics 2022_08.xlsx"/>
    <x v="44"/>
    <n v="515536.56150000001"/>
    <s v="2022_08.xlsx"/>
    <x v="6"/>
    <x v="7"/>
  </r>
  <r>
    <s v="MonthlyTradeStatistics 2022_08.xlsx"/>
    <x v="45"/>
    <n v="704.34"/>
    <s v="2022_08.xlsx"/>
    <x v="6"/>
    <x v="7"/>
  </r>
  <r>
    <s v="MonthlyTradeStatistics 2022_08.xlsx"/>
    <x v="46"/>
    <n v="17070.0098"/>
    <s v="2022_08.xlsx"/>
    <x v="6"/>
    <x v="7"/>
  </r>
  <r>
    <s v="MonthlyTradeStatistics 2022_08.xlsx"/>
    <x v="47"/>
    <n v="5300"/>
    <s v="2022_08.xlsx"/>
    <x v="6"/>
    <x v="7"/>
  </r>
  <r>
    <s v="MonthlyTradeStatistics 2022_08.xlsx"/>
    <x v="48"/>
    <n v="46.8919"/>
    <s v="2022_08.xlsx"/>
    <x v="6"/>
    <x v="7"/>
  </r>
  <r>
    <s v="MonthlyTradeStatistics 2022_08.xlsx"/>
    <x v="49"/>
    <n v="43266.18"/>
    <s v="2022_08.xlsx"/>
    <x v="6"/>
    <x v="7"/>
  </r>
  <r>
    <s v="MonthlyTradeStatistics 2022_08.xlsx"/>
    <x v="50"/>
    <n v="20305.5347"/>
    <s v="2022_08.xlsx"/>
    <x v="6"/>
    <x v="7"/>
  </r>
  <r>
    <s v="MonthlyTradeStatistics 2022_08.xlsx"/>
    <x v="51"/>
    <n v="8928.4166999999998"/>
    <s v="2022_08.xlsx"/>
    <x v="6"/>
    <x v="7"/>
  </r>
  <r>
    <s v="MonthlyTradeStatistics 2022_08.xlsx"/>
    <x v="52"/>
    <n v="4207.25"/>
    <s v="2022_08.xlsx"/>
    <x v="6"/>
    <x v="7"/>
  </r>
  <r>
    <s v="MonthlyTradeStatistics 2022_08.xlsx"/>
    <x v="53"/>
    <n v="154.3861"/>
    <s v="2022_08.xlsx"/>
    <x v="6"/>
    <x v="7"/>
  </r>
  <r>
    <s v="MonthlyTradeStatistics 2022_08.xlsx"/>
    <x v="54"/>
    <n v="501054"/>
    <s v="2022_08.xlsx"/>
    <x v="6"/>
    <x v="7"/>
  </r>
  <r>
    <s v="MonthlyTradeStatistics 2022_08.xlsx"/>
    <x v="55"/>
    <n v="2600"/>
    <s v="2022_08.xlsx"/>
    <x v="6"/>
    <x v="7"/>
  </r>
  <r>
    <s v="MonthlyTradeStatistics 2022_08.xlsx"/>
    <x v="56"/>
    <n v="1887800.0061999999"/>
    <s v="2022_08.xlsx"/>
    <x v="6"/>
    <x v="7"/>
  </r>
  <r>
    <s v="MonthlyTradeStatistics 2022_08.xlsx"/>
    <x v="57"/>
    <n v="4500.0033000000003"/>
    <s v="2022_08.xlsx"/>
    <x v="6"/>
    <x v="7"/>
  </r>
  <r>
    <s v="MonthlyTradeStatistics 2022_08.xlsx"/>
    <x v="58"/>
    <n v="6080.9184999999998"/>
    <s v="2022_08.xlsx"/>
    <x v="6"/>
    <x v="7"/>
  </r>
  <r>
    <s v="MonthlyTradeStatistics 2022_08.xlsx"/>
    <x v="59"/>
    <n v="0"/>
    <s v="2022_08.xlsx"/>
    <x v="6"/>
    <x v="7"/>
  </r>
  <r>
    <s v="MonthlyTradeStatistics 2022_09.xlsx"/>
    <x v="0"/>
    <n v="9968240.3686999995"/>
    <s v="2022_09.xlsx"/>
    <x v="6"/>
    <x v="8"/>
  </r>
  <r>
    <s v="MonthlyTradeStatistics 2022_09.xlsx"/>
    <x v="1"/>
    <n v="924988.65370000002"/>
    <s v="2022_09.xlsx"/>
    <x v="6"/>
    <x v="8"/>
  </r>
  <r>
    <s v="MonthlyTradeStatistics 2022_09.xlsx"/>
    <x v="2"/>
    <n v="2124741.0425999998"/>
    <s v="2022_09.xlsx"/>
    <x v="6"/>
    <x v="8"/>
  </r>
  <r>
    <s v="MonthlyTradeStatistics 2022_09.xlsx"/>
    <x v="3"/>
    <n v="3331835.7357999999"/>
    <s v="2022_09.xlsx"/>
    <x v="6"/>
    <x v="8"/>
  </r>
  <r>
    <s v="MonthlyTradeStatistics 2022_09.xlsx"/>
    <x v="4"/>
    <n v="3586674.9366000001"/>
    <s v="2022_09.xlsx"/>
    <x v="6"/>
    <x v="8"/>
  </r>
  <r>
    <s v="MonthlyTradeStatistics 2022_09.xlsx"/>
    <x v="5"/>
    <n v="774.33669999999995"/>
    <s v="2022_09.xlsx"/>
    <x v="6"/>
    <x v="8"/>
  </r>
  <r>
    <s v="MonthlyTradeStatistics 2022_09.xlsx"/>
    <x v="6"/>
    <n v="4768.6832999999997"/>
    <s v="2022_09.xlsx"/>
    <x v="6"/>
    <x v="8"/>
  </r>
  <r>
    <s v="MonthlyTradeStatistics 2022_09.xlsx"/>
    <x v="7"/>
    <n v="3444289.5781"/>
    <s v="2022_09.xlsx"/>
    <x v="6"/>
    <x v="8"/>
  </r>
  <r>
    <s v="MonthlyTradeStatistics 2022_09.xlsx"/>
    <x v="8"/>
    <n v="25927.75"/>
    <s v="2022_09.xlsx"/>
    <x v="6"/>
    <x v="8"/>
  </r>
  <r>
    <s v="MonthlyTradeStatistics 2022_09.xlsx"/>
    <x v="9"/>
    <n v="17071.416700000002"/>
    <s v="2022_09.xlsx"/>
    <x v="6"/>
    <x v="8"/>
  </r>
  <r>
    <s v="MonthlyTradeStatistics 2022_09.xlsx"/>
    <x v="10"/>
    <n v="400"/>
    <s v="2022_09.xlsx"/>
    <x v="6"/>
    <x v="8"/>
  </r>
  <r>
    <s v="MonthlyTradeStatistics 2022_09.xlsx"/>
    <x v="11"/>
    <n v="836239.11970000004"/>
    <s v="2022_09.xlsx"/>
    <x v="6"/>
    <x v="8"/>
  </r>
  <r>
    <s v="MonthlyTradeStatistics 2022_09.xlsx"/>
    <x v="12"/>
    <n v="0.82650000000000001"/>
    <s v="2022_09.xlsx"/>
    <x v="6"/>
    <x v="8"/>
  </r>
  <r>
    <s v="MonthlyTradeStatistics 2022_09.xlsx"/>
    <x v="13"/>
    <n v="57808.4401"/>
    <s v="2022_09.xlsx"/>
    <x v="6"/>
    <x v="8"/>
  </r>
  <r>
    <s v="MonthlyTradeStatistics 2022_09.xlsx"/>
    <x v="14"/>
    <n v="176995.0502"/>
    <s v="2022_09.xlsx"/>
    <x v="6"/>
    <x v="8"/>
  </r>
  <r>
    <s v="MonthlyTradeStatistics 2022_09.xlsx"/>
    <x v="15"/>
    <n v="1385.5616"/>
    <s v="2022_09.xlsx"/>
    <x v="6"/>
    <x v="8"/>
  </r>
  <r>
    <s v="MonthlyTradeStatistics 2022_09.xlsx"/>
    <x v="16"/>
    <n v="25600"/>
    <s v="2022_09.xlsx"/>
    <x v="6"/>
    <x v="8"/>
  </r>
  <r>
    <s v="MonthlyTradeStatistics 2022_09.xlsx"/>
    <x v="17"/>
    <n v="32256.248"/>
    <s v="2022_09.xlsx"/>
    <x v="6"/>
    <x v="8"/>
  </r>
  <r>
    <s v="MonthlyTradeStatistics 2022_09.xlsx"/>
    <x v="18"/>
    <n v="80039.547999999995"/>
    <s v="2022_09.xlsx"/>
    <x v="6"/>
    <x v="8"/>
  </r>
  <r>
    <s v="MonthlyTradeStatistics 2022_09.xlsx"/>
    <x v="19"/>
    <n v="32016.964199999999"/>
    <s v="2022_09.xlsx"/>
    <x v="6"/>
    <x v="8"/>
  </r>
  <r>
    <s v="MonthlyTradeStatistics 2022_09.xlsx"/>
    <x v="20"/>
    <n v="0"/>
    <s v="2022_09.xlsx"/>
    <x v="6"/>
    <x v="8"/>
  </r>
  <r>
    <s v="MonthlyTradeStatistics 2022_09.xlsx"/>
    <x v="21"/>
    <n v="340000"/>
    <s v="2022_09.xlsx"/>
    <x v="6"/>
    <x v="8"/>
  </r>
  <r>
    <s v="MonthlyTradeStatistics 2022_09.xlsx"/>
    <x v="22"/>
    <n v="0"/>
    <s v="2022_09.xlsx"/>
    <x v="6"/>
    <x v="8"/>
  </r>
  <r>
    <s v="MonthlyTradeStatistics 2022_09.xlsx"/>
    <x v="23"/>
    <n v="1600.2056"/>
    <s v="2022_09.xlsx"/>
    <x v="6"/>
    <x v="8"/>
  </r>
  <r>
    <s v="MonthlyTradeStatistics 2022_09.xlsx"/>
    <x v="24"/>
    <n v="160224.25459999999"/>
    <s v="2022_09.xlsx"/>
    <x v="6"/>
    <x v="8"/>
  </r>
  <r>
    <s v="MonthlyTradeStatistics 2022_09.xlsx"/>
    <x v="25"/>
    <n v="19751.0425"/>
    <s v="2022_09.xlsx"/>
    <x v="6"/>
    <x v="8"/>
  </r>
  <r>
    <s v="MonthlyTradeStatistics 2022_09.xlsx"/>
    <x v="26"/>
    <n v="11.292400000000001"/>
    <s v="2022_09.xlsx"/>
    <x v="6"/>
    <x v="8"/>
  </r>
  <r>
    <s v="MonthlyTradeStatistics 2022_09.xlsx"/>
    <x v="27"/>
    <n v="46.995899999999999"/>
    <s v="2022_09.xlsx"/>
    <x v="6"/>
    <x v="8"/>
  </r>
  <r>
    <s v="MonthlyTradeStatistics 2022_09.xlsx"/>
    <x v="28"/>
    <n v="169391.41"/>
    <s v="2022_09.xlsx"/>
    <x v="6"/>
    <x v="8"/>
  </r>
  <r>
    <s v="MonthlyTradeStatistics 2022_09.xlsx"/>
    <x v="29"/>
    <n v="604445.34310000006"/>
    <s v="2022_09.xlsx"/>
    <x v="6"/>
    <x v="8"/>
  </r>
  <r>
    <s v="MonthlyTradeStatistics 2022_09.xlsx"/>
    <x v="30"/>
    <n v="683959.696"/>
    <s v="2022_09.xlsx"/>
    <x v="6"/>
    <x v="8"/>
  </r>
  <r>
    <s v="MonthlyTradeStatistics 2022_09.xlsx"/>
    <x v="31"/>
    <n v="1277.6747"/>
    <s v="2022_09.xlsx"/>
    <x v="6"/>
    <x v="8"/>
  </r>
  <r>
    <s v="MonthlyTradeStatistics 2022_09.xlsx"/>
    <x v="32"/>
    <n v="56599.54"/>
    <s v="2022_09.xlsx"/>
    <x v="6"/>
    <x v="8"/>
  </r>
  <r>
    <s v="MonthlyTradeStatistics 2022_09.xlsx"/>
    <x v="33"/>
    <n v="20799.991300000002"/>
    <s v="2022_09.xlsx"/>
    <x v="6"/>
    <x v="8"/>
  </r>
  <r>
    <s v="MonthlyTradeStatistics 2022_09.xlsx"/>
    <x v="34"/>
    <n v="0"/>
    <s v="2022_09.xlsx"/>
    <x v="6"/>
    <x v="8"/>
  </r>
  <r>
    <s v="MonthlyTradeStatistics 2022_09.xlsx"/>
    <x v="35"/>
    <n v="8.6148000000000007"/>
    <s v="2022_09.xlsx"/>
    <x v="6"/>
    <x v="8"/>
  </r>
  <r>
    <s v="MonthlyTradeStatistics 2022_09.xlsx"/>
    <x v="36"/>
    <n v="768.19870000000003"/>
    <s v="2022_09.xlsx"/>
    <x v="6"/>
    <x v="8"/>
  </r>
  <r>
    <s v="MonthlyTradeStatistics 2022_09.xlsx"/>
    <x v="37"/>
    <n v="233699.99840000001"/>
    <s v="2022_09.xlsx"/>
    <x v="6"/>
    <x v="8"/>
  </r>
  <r>
    <s v="MonthlyTradeStatistics 2022_09.xlsx"/>
    <x v="38"/>
    <n v="106.13330000000001"/>
    <s v="2022_09.xlsx"/>
    <x v="6"/>
    <x v="8"/>
  </r>
  <r>
    <s v="MonthlyTradeStatistics 2022_09.xlsx"/>
    <x v="39"/>
    <n v="122005.2202"/>
    <s v="2022_09.xlsx"/>
    <x v="6"/>
    <x v="8"/>
  </r>
  <r>
    <s v="MonthlyTradeStatistics 2022_09.xlsx"/>
    <x v="40"/>
    <n v="0"/>
    <s v="2022_09.xlsx"/>
    <x v="6"/>
    <x v="8"/>
  </r>
  <r>
    <s v="MonthlyTradeStatistics 2022_09.xlsx"/>
    <x v="41"/>
    <n v="3745.069"/>
    <s v="2022_09.xlsx"/>
    <x v="6"/>
    <x v="8"/>
  </r>
  <r>
    <s v="MonthlyTradeStatistics 2022_09.xlsx"/>
    <x v="42"/>
    <n v="53331.67"/>
    <s v="2022_09.xlsx"/>
    <x v="6"/>
    <x v="8"/>
  </r>
  <r>
    <s v="MonthlyTradeStatistics 2022_09.xlsx"/>
    <x v="43"/>
    <n v="0"/>
    <s v="2022_09.xlsx"/>
    <x v="6"/>
    <x v="8"/>
  </r>
  <r>
    <s v="MonthlyTradeStatistics 2022_09.xlsx"/>
    <x v="44"/>
    <n v="546324.17350000003"/>
    <s v="2022_09.xlsx"/>
    <x v="6"/>
    <x v="8"/>
  </r>
  <r>
    <s v="MonthlyTradeStatistics 2022_09.xlsx"/>
    <x v="45"/>
    <n v="71.262699999999995"/>
    <s v="2022_09.xlsx"/>
    <x v="6"/>
    <x v="8"/>
  </r>
  <r>
    <s v="MonthlyTradeStatistics 2022_09.xlsx"/>
    <x v="46"/>
    <n v="31139.993600000002"/>
    <s v="2022_09.xlsx"/>
    <x v="6"/>
    <x v="8"/>
  </r>
  <r>
    <s v="MonthlyTradeStatistics 2022_09.xlsx"/>
    <x v="47"/>
    <n v="4900"/>
    <s v="2022_09.xlsx"/>
    <x v="6"/>
    <x v="8"/>
  </r>
  <r>
    <s v="MonthlyTradeStatistics 2022_09.xlsx"/>
    <x v="48"/>
    <n v="46.8919"/>
    <s v="2022_09.xlsx"/>
    <x v="6"/>
    <x v="8"/>
  </r>
  <r>
    <s v="MonthlyTradeStatistics 2022_09.xlsx"/>
    <x v="49"/>
    <n v="47299.987999999998"/>
    <s v="2022_09.xlsx"/>
    <x v="6"/>
    <x v="8"/>
  </r>
  <r>
    <s v="MonthlyTradeStatistics 2022_09.xlsx"/>
    <x v="50"/>
    <n v="19012.389299999999"/>
    <s v="2022_09.xlsx"/>
    <x v="6"/>
    <x v="8"/>
  </r>
  <r>
    <s v="MonthlyTradeStatistics 2022_09.xlsx"/>
    <x v="51"/>
    <n v="6987.4666999999999"/>
    <s v="2022_09.xlsx"/>
    <x v="6"/>
    <x v="8"/>
  </r>
  <r>
    <s v="MonthlyTradeStatistics 2022_09.xlsx"/>
    <x v="52"/>
    <n v="521.41330000000005"/>
    <s v="2022_09.xlsx"/>
    <x v="6"/>
    <x v="8"/>
  </r>
  <r>
    <s v="MonthlyTradeStatistics 2022_09.xlsx"/>
    <x v="53"/>
    <n v="154.3861"/>
    <s v="2022_09.xlsx"/>
    <x v="6"/>
    <x v="8"/>
  </r>
  <r>
    <s v="MonthlyTradeStatistics 2022_09.xlsx"/>
    <x v="54"/>
    <n v="503695"/>
    <s v="2022_09.xlsx"/>
    <x v="6"/>
    <x v="8"/>
  </r>
  <r>
    <s v="MonthlyTradeStatistics 2022_09.xlsx"/>
    <x v="55"/>
    <n v="3100"/>
    <s v="2022_09.xlsx"/>
    <x v="6"/>
    <x v="8"/>
  </r>
  <r>
    <s v="MonthlyTradeStatistics 2022_09.xlsx"/>
    <x v="56"/>
    <n v="1584000.7679999999"/>
    <s v="2022_09.xlsx"/>
    <x v="6"/>
    <x v="8"/>
  </r>
  <r>
    <s v="MonthlyTradeStatistics 2022_09.xlsx"/>
    <x v="57"/>
    <n v="3599.9956999999999"/>
    <s v="2022_09.xlsx"/>
    <x v="6"/>
    <x v="8"/>
  </r>
  <r>
    <s v="MonthlyTradeStatistics 2022_09.xlsx"/>
    <x v="58"/>
    <n v="10040.7266"/>
    <s v="2022_09.xlsx"/>
    <x v="6"/>
    <x v="8"/>
  </r>
  <r>
    <s v="MonthlyTradeStatistics 2022_09.xlsx"/>
    <x v="59"/>
    <n v="3.9699999999999999E-2"/>
    <s v="2022_09.xlsx"/>
    <x v="6"/>
    <x v="8"/>
  </r>
  <r>
    <s v="MonthlyTradeStatistics 2022_10.xlsx"/>
    <x v="0"/>
    <n v="9481097.6050000004"/>
    <s v="2022_10.xlsx"/>
    <x v="6"/>
    <x v="9"/>
  </r>
  <r>
    <s v="MonthlyTradeStatistics 2022_10.xlsx"/>
    <x v="1"/>
    <n v="1029800.9214"/>
    <s v="2022_10.xlsx"/>
    <x v="6"/>
    <x v="9"/>
  </r>
  <r>
    <s v="MonthlyTradeStatistics 2022_10.xlsx"/>
    <x v="2"/>
    <n v="1662392.4901999999"/>
    <s v="2022_10.xlsx"/>
    <x v="6"/>
    <x v="9"/>
  </r>
  <r>
    <s v="MonthlyTradeStatistics 2022_10.xlsx"/>
    <x v="3"/>
    <n v="3660144.2716999999"/>
    <s v="2022_10.xlsx"/>
    <x v="6"/>
    <x v="9"/>
  </r>
  <r>
    <s v="MonthlyTradeStatistics 2022_10.xlsx"/>
    <x v="4"/>
    <n v="3128759.9216999998"/>
    <s v="2022_10.xlsx"/>
    <x v="6"/>
    <x v="9"/>
  </r>
  <r>
    <s v="MonthlyTradeStatistics 2022_10.xlsx"/>
    <x v="5"/>
    <n v="0.86670000000000003"/>
    <s v="2022_10.xlsx"/>
    <x v="6"/>
    <x v="9"/>
  </r>
  <r>
    <s v="MonthlyTradeStatistics 2022_10.xlsx"/>
    <x v="6"/>
    <n v="3386.0333000000001"/>
    <s v="2022_10.xlsx"/>
    <x v="6"/>
    <x v="9"/>
  </r>
  <r>
    <s v="MonthlyTradeStatistics 2022_10.xlsx"/>
    <x v="7"/>
    <n v="3589378.1941"/>
    <s v="2022_10.xlsx"/>
    <x v="6"/>
    <x v="9"/>
  </r>
  <r>
    <s v="MonthlyTradeStatistics 2022_10.xlsx"/>
    <x v="8"/>
    <n v="45704.683299999997"/>
    <s v="2022_10.xlsx"/>
    <x v="6"/>
    <x v="9"/>
  </r>
  <r>
    <s v="MonthlyTradeStatistics 2022_10.xlsx"/>
    <x v="9"/>
    <n v="15507.966700000001"/>
    <s v="2022_10.xlsx"/>
    <x v="6"/>
    <x v="9"/>
  </r>
  <r>
    <s v="MonthlyTradeStatistics 2022_10.xlsx"/>
    <x v="10"/>
    <n v="900"/>
    <s v="2022_10.xlsx"/>
    <x v="6"/>
    <x v="9"/>
  </r>
  <r>
    <s v="MonthlyTradeStatistics 2022_10.xlsx"/>
    <x v="11"/>
    <n v="964476.60149999999"/>
    <s v="2022_10.xlsx"/>
    <x v="6"/>
    <x v="9"/>
  </r>
  <r>
    <s v="MonthlyTradeStatistics 2022_10.xlsx"/>
    <x v="12"/>
    <n v="0.82650000000000001"/>
    <s v="2022_10.xlsx"/>
    <x v="6"/>
    <x v="9"/>
  </r>
  <r>
    <s v="MonthlyTradeStatistics 2022_10.xlsx"/>
    <x v="13"/>
    <n v="9216.0735999999997"/>
    <s v="2022_10.xlsx"/>
    <x v="6"/>
    <x v="9"/>
  </r>
  <r>
    <s v="MonthlyTradeStatistics 2022_10.xlsx"/>
    <x v="14"/>
    <n v="26973.099300000002"/>
    <s v="2022_10.xlsx"/>
    <x v="6"/>
    <x v="9"/>
  </r>
  <r>
    <s v="MonthlyTradeStatistics 2022_10.xlsx"/>
    <x v="15"/>
    <n v="1385.5616"/>
    <s v="2022_10.xlsx"/>
    <x v="6"/>
    <x v="9"/>
  </r>
  <r>
    <s v="MonthlyTradeStatistics 2022_10.xlsx"/>
    <x v="16"/>
    <n v="9000"/>
    <s v="2022_10.xlsx"/>
    <x v="6"/>
    <x v="9"/>
  </r>
  <r>
    <s v="MonthlyTradeStatistics 2022_10.xlsx"/>
    <x v="17"/>
    <n v="11032.3478"/>
    <s v="2022_10.xlsx"/>
    <x v="6"/>
    <x v="9"/>
  </r>
  <r>
    <s v="MonthlyTradeStatistics 2022_10.xlsx"/>
    <x v="18"/>
    <n v="70427.664000000004"/>
    <s v="2022_10.xlsx"/>
    <x v="6"/>
    <x v="9"/>
  </r>
  <r>
    <s v="MonthlyTradeStatistics 2022_10.xlsx"/>
    <x v="19"/>
    <n v="10710.579900000001"/>
    <s v="2022_10.xlsx"/>
    <x v="6"/>
    <x v="9"/>
  </r>
  <r>
    <s v="MonthlyTradeStatistics 2022_10.xlsx"/>
    <x v="20"/>
    <n v="0"/>
    <s v="2022_10.xlsx"/>
    <x v="6"/>
    <x v="9"/>
  </r>
  <r>
    <s v="MonthlyTradeStatistics 2022_10.xlsx"/>
    <x v="21"/>
    <n v="370000"/>
    <s v="2022_10.xlsx"/>
    <x v="6"/>
    <x v="9"/>
  </r>
  <r>
    <s v="MonthlyTradeStatistics 2022_10.xlsx"/>
    <x v="22"/>
    <n v="0"/>
    <s v="2022_10.xlsx"/>
    <x v="6"/>
    <x v="9"/>
  </r>
  <r>
    <s v="MonthlyTradeStatistics 2022_10.xlsx"/>
    <x v="23"/>
    <n v="534.04430000000002"/>
    <s v="2022_10.xlsx"/>
    <x v="6"/>
    <x v="9"/>
  </r>
  <r>
    <s v="MonthlyTradeStatistics 2022_10.xlsx"/>
    <x v="24"/>
    <n v="76208.790599999993"/>
    <s v="2022_10.xlsx"/>
    <x v="6"/>
    <x v="9"/>
  </r>
  <r>
    <s v="MonthlyTradeStatistics 2022_10.xlsx"/>
    <x v="25"/>
    <n v="8995.8986000000004"/>
    <s v="2022_10.xlsx"/>
    <x v="6"/>
    <x v="9"/>
  </r>
  <r>
    <s v="MonthlyTradeStatistics 2022_10.xlsx"/>
    <x v="26"/>
    <n v="62.738999999999997"/>
    <s v="2022_10.xlsx"/>
    <x v="6"/>
    <x v="9"/>
  </r>
  <r>
    <s v="MonthlyTradeStatistics 2022_10.xlsx"/>
    <x v="27"/>
    <n v="149.99600000000001"/>
    <s v="2022_10.xlsx"/>
    <x v="6"/>
    <x v="9"/>
  </r>
  <r>
    <s v="MonthlyTradeStatistics 2022_10.xlsx"/>
    <x v="28"/>
    <n v="40841.980000000003"/>
    <s v="2022_10.xlsx"/>
    <x v="6"/>
    <x v="9"/>
  </r>
  <r>
    <s v="MonthlyTradeStatistics 2022_10.xlsx"/>
    <x v="29"/>
    <n v="420387.50679999997"/>
    <s v="2022_10.xlsx"/>
    <x v="6"/>
    <x v="9"/>
  </r>
  <r>
    <s v="MonthlyTradeStatistics 2022_10.xlsx"/>
    <x v="30"/>
    <n v="787098.3112"/>
    <s v="2022_10.xlsx"/>
    <x v="6"/>
    <x v="9"/>
  </r>
  <r>
    <s v="MonthlyTradeStatistics 2022_10.xlsx"/>
    <x v="31"/>
    <n v="583.29650000000004"/>
    <s v="2022_10.xlsx"/>
    <x v="6"/>
    <x v="9"/>
  </r>
  <r>
    <s v="MonthlyTradeStatistics 2022_10.xlsx"/>
    <x v="32"/>
    <n v="46694.819900000002"/>
    <s v="2022_10.xlsx"/>
    <x v="6"/>
    <x v="9"/>
  </r>
  <r>
    <s v="MonthlyTradeStatistics 2022_10.xlsx"/>
    <x v="33"/>
    <n v="46899.984700000001"/>
    <s v="2022_10.xlsx"/>
    <x v="6"/>
    <x v="9"/>
  </r>
  <r>
    <s v="MonthlyTradeStatistics 2022_10.xlsx"/>
    <x v="34"/>
    <n v="0"/>
    <s v="2022_10.xlsx"/>
    <x v="6"/>
    <x v="9"/>
  </r>
  <r>
    <s v="MonthlyTradeStatistics 2022_10.xlsx"/>
    <x v="35"/>
    <n v="0.31419999999999998"/>
    <s v="2022_10.xlsx"/>
    <x v="6"/>
    <x v="9"/>
  </r>
  <r>
    <s v="MonthlyTradeStatistics 2022_10.xlsx"/>
    <x v="36"/>
    <n v="768.19870000000003"/>
    <s v="2022_10.xlsx"/>
    <x v="6"/>
    <x v="9"/>
  </r>
  <r>
    <s v="MonthlyTradeStatistics 2022_10.xlsx"/>
    <x v="37"/>
    <n v="232999.98970000001"/>
    <s v="2022_10.xlsx"/>
    <x v="6"/>
    <x v="9"/>
  </r>
  <r>
    <s v="MonthlyTradeStatistics 2022_10.xlsx"/>
    <x v="38"/>
    <n v="7.2525000000000004"/>
    <s v="2022_10.xlsx"/>
    <x v="6"/>
    <x v="9"/>
  </r>
  <r>
    <s v="MonthlyTradeStatistics 2022_10.xlsx"/>
    <x v="39"/>
    <n v="71080.485199999996"/>
    <s v="2022_10.xlsx"/>
    <x v="6"/>
    <x v="9"/>
  </r>
  <r>
    <s v="MonthlyTradeStatistics 2022_10.xlsx"/>
    <x v="40"/>
    <n v="0"/>
    <s v="2022_10.xlsx"/>
    <x v="6"/>
    <x v="9"/>
  </r>
  <r>
    <s v="MonthlyTradeStatistics 2022_10.xlsx"/>
    <x v="41"/>
    <n v="1594.2817"/>
    <s v="2022_10.xlsx"/>
    <x v="6"/>
    <x v="9"/>
  </r>
  <r>
    <s v="MonthlyTradeStatistics 2022_10.xlsx"/>
    <x v="42"/>
    <n v="156737.29"/>
    <s v="2022_10.xlsx"/>
    <x v="6"/>
    <x v="9"/>
  </r>
  <r>
    <s v="MonthlyTradeStatistics 2022_10.xlsx"/>
    <x v="43"/>
    <n v="0"/>
    <s v="2022_10.xlsx"/>
    <x v="6"/>
    <x v="9"/>
  </r>
  <r>
    <s v="MonthlyTradeStatistics 2022_10.xlsx"/>
    <x v="44"/>
    <n v="480423.55989999999"/>
    <s v="2022_10.xlsx"/>
    <x v="6"/>
    <x v="9"/>
  </r>
  <r>
    <s v="MonthlyTradeStatistics 2022_10.xlsx"/>
    <x v="45"/>
    <n v="3.8332999999999999"/>
    <s v="2022_10.xlsx"/>
    <x v="6"/>
    <x v="9"/>
  </r>
  <r>
    <s v="MonthlyTradeStatistics 2022_10.xlsx"/>
    <x v="46"/>
    <n v="46200.007400000002"/>
    <s v="2022_10.xlsx"/>
    <x v="6"/>
    <x v="9"/>
  </r>
  <r>
    <s v="MonthlyTradeStatistics 2022_10.xlsx"/>
    <x v="47"/>
    <n v="3400"/>
    <s v="2022_10.xlsx"/>
    <x v="6"/>
    <x v="9"/>
  </r>
  <r>
    <s v="MonthlyTradeStatistics 2022_10.xlsx"/>
    <x v="48"/>
    <n v="46.8919"/>
    <s v="2022_10.xlsx"/>
    <x v="6"/>
    <x v="9"/>
  </r>
  <r>
    <s v="MonthlyTradeStatistics 2022_10.xlsx"/>
    <x v="49"/>
    <n v="72958.16"/>
    <s v="2022_10.xlsx"/>
    <x v="6"/>
    <x v="9"/>
  </r>
  <r>
    <s v="MonthlyTradeStatistics 2022_10.xlsx"/>
    <x v="50"/>
    <n v="14942.082399999999"/>
    <s v="2022_10.xlsx"/>
    <x v="6"/>
    <x v="9"/>
  </r>
  <r>
    <s v="MonthlyTradeStatistics 2022_10.xlsx"/>
    <x v="51"/>
    <n v="12508"/>
    <s v="2022_10.xlsx"/>
    <x v="6"/>
    <x v="9"/>
  </r>
  <r>
    <s v="MonthlyTradeStatistics 2022_10.xlsx"/>
    <x v="52"/>
    <n v="0"/>
    <s v="2022_10.xlsx"/>
    <x v="6"/>
    <x v="9"/>
  </r>
  <r>
    <s v="MonthlyTradeStatistics 2022_10.xlsx"/>
    <x v="53"/>
    <n v="154.3861"/>
    <s v="2022_10.xlsx"/>
    <x v="6"/>
    <x v="9"/>
  </r>
  <r>
    <s v="MonthlyTradeStatistics 2022_10.xlsx"/>
    <x v="54"/>
    <n v="457244"/>
    <s v="2022_10.xlsx"/>
    <x v="6"/>
    <x v="9"/>
  </r>
  <r>
    <s v="MonthlyTradeStatistics 2022_10.xlsx"/>
    <x v="55"/>
    <n v="5600"/>
    <s v="2022_10.xlsx"/>
    <x v="6"/>
    <x v="9"/>
  </r>
  <r>
    <s v="MonthlyTradeStatistics 2022_10.xlsx"/>
    <x v="56"/>
    <n v="1356700.0027999999"/>
    <s v="2022_10.xlsx"/>
    <x v="6"/>
    <x v="9"/>
  </r>
  <r>
    <s v="MonthlyTradeStatistics 2022_10.xlsx"/>
    <x v="57"/>
    <n v="5100.0033000000003"/>
    <s v="2022_10.xlsx"/>
    <x v="6"/>
    <x v="9"/>
  </r>
  <r>
    <s v="MonthlyTradeStatistics 2022_10.xlsx"/>
    <x v="58"/>
    <n v="6071"/>
    <s v="2022_10.xlsx"/>
    <x v="6"/>
    <x v="9"/>
  </r>
  <r>
    <s v="MonthlyTradeStatistics 2022_10.xlsx"/>
    <x v="59"/>
    <n v="0"/>
    <s v="2022_10.xlsx"/>
    <x v="6"/>
    <x v="9"/>
  </r>
  <r>
    <s v="MonthlyTradeStatistics 2022_11.xlsx"/>
    <x v="0"/>
    <n v="10208222.981799999"/>
    <s v="2022_11.xlsx"/>
    <x v="6"/>
    <x v="10"/>
  </r>
  <r>
    <s v="MonthlyTradeStatistics 2022_11.xlsx"/>
    <x v="1"/>
    <n v="960381.10849999997"/>
    <s v="2022_11.xlsx"/>
    <x v="6"/>
    <x v="10"/>
  </r>
  <r>
    <s v="MonthlyTradeStatistics 2022_11.xlsx"/>
    <x v="2"/>
    <n v="1385038.9904"/>
    <s v="2022_11.xlsx"/>
    <x v="6"/>
    <x v="10"/>
  </r>
  <r>
    <s v="MonthlyTradeStatistics 2022_11.xlsx"/>
    <x v="3"/>
    <n v="3799198.2697999999"/>
    <s v="2022_11.xlsx"/>
    <x v="6"/>
    <x v="10"/>
  </r>
  <r>
    <s v="MonthlyTradeStatistics 2022_11.xlsx"/>
    <x v="4"/>
    <n v="4063604.6131000002"/>
    <s v="2022_11.xlsx"/>
    <x v="6"/>
    <x v="10"/>
  </r>
  <r>
    <s v="MonthlyTradeStatistics 2022_11.xlsx"/>
    <x v="5"/>
    <n v="0"/>
    <s v="2022_11.xlsx"/>
    <x v="6"/>
    <x v="10"/>
  </r>
  <r>
    <s v="MonthlyTradeStatistics 2022_11.xlsx"/>
    <x v="6"/>
    <n v="5457.67"/>
    <s v="2022_11.xlsx"/>
    <x v="6"/>
    <x v="10"/>
  </r>
  <r>
    <s v="MonthlyTradeStatistics 2022_11.xlsx"/>
    <x v="7"/>
    <n v="3583957.5606"/>
    <s v="2022_11.xlsx"/>
    <x v="6"/>
    <x v="10"/>
  </r>
  <r>
    <s v="MonthlyTradeStatistics 2022_11.xlsx"/>
    <x v="8"/>
    <n v="44961.333299999998"/>
    <s v="2022_11.xlsx"/>
    <x v="6"/>
    <x v="10"/>
  </r>
  <r>
    <s v="MonthlyTradeStatistics 2022_11.xlsx"/>
    <x v="9"/>
    <n v="14024.0834"/>
    <s v="2022_11.xlsx"/>
    <x v="6"/>
    <x v="10"/>
  </r>
  <r>
    <s v="MonthlyTradeStatistics 2022_11.xlsx"/>
    <x v="10"/>
    <n v="600"/>
    <s v="2022_11.xlsx"/>
    <x v="6"/>
    <x v="10"/>
  </r>
  <r>
    <s v="MonthlyTradeStatistics 2022_11.xlsx"/>
    <x v="11"/>
    <n v="868172.13789999997"/>
    <s v="2022_11.xlsx"/>
    <x v="6"/>
    <x v="10"/>
  </r>
  <r>
    <s v="MonthlyTradeStatistics 2022_11.xlsx"/>
    <x v="12"/>
    <n v="0.82650000000000001"/>
    <s v="2022_11.xlsx"/>
    <x v="6"/>
    <x v="10"/>
  </r>
  <r>
    <s v="MonthlyTradeStatistics 2022_11.xlsx"/>
    <x v="13"/>
    <n v="9600.6458000000002"/>
    <s v="2022_11.xlsx"/>
    <x v="6"/>
    <x v="10"/>
  </r>
  <r>
    <s v="MonthlyTradeStatistics 2022_11.xlsx"/>
    <x v="14"/>
    <n v="135732.15040000001"/>
    <s v="2022_11.xlsx"/>
    <x v="6"/>
    <x v="10"/>
  </r>
  <r>
    <s v="MonthlyTradeStatistics 2022_11.xlsx"/>
    <x v="15"/>
    <n v="1385.5616"/>
    <s v="2022_11.xlsx"/>
    <x v="6"/>
    <x v="10"/>
  </r>
  <r>
    <s v="MonthlyTradeStatistics 2022_11.xlsx"/>
    <x v="16"/>
    <n v="14200"/>
    <s v="2022_11.xlsx"/>
    <x v="6"/>
    <x v="10"/>
  </r>
  <r>
    <s v="MonthlyTradeStatistics 2022_11.xlsx"/>
    <x v="17"/>
    <n v="17104.928599999999"/>
    <s v="2022_11.xlsx"/>
    <x v="6"/>
    <x v="10"/>
  </r>
  <r>
    <s v="MonthlyTradeStatistics 2022_11.xlsx"/>
    <x v="18"/>
    <n v="56349.277999999998"/>
    <s v="2022_11.xlsx"/>
    <x v="6"/>
    <x v="10"/>
  </r>
  <r>
    <s v="MonthlyTradeStatistics 2022_11.xlsx"/>
    <x v="19"/>
    <n v="8444.4707999999991"/>
    <s v="2022_11.xlsx"/>
    <x v="6"/>
    <x v="10"/>
  </r>
  <r>
    <s v="MonthlyTradeStatistics 2022_11.xlsx"/>
    <x v="20"/>
    <n v="0"/>
    <s v="2022_11.xlsx"/>
    <x v="6"/>
    <x v="10"/>
  </r>
  <r>
    <s v="MonthlyTradeStatistics 2022_11.xlsx"/>
    <x v="21"/>
    <n v="299760.8"/>
    <s v="2022_11.xlsx"/>
    <x v="6"/>
    <x v="10"/>
  </r>
  <r>
    <s v="MonthlyTradeStatistics 2022_11.xlsx"/>
    <x v="22"/>
    <n v="0"/>
    <s v="2022_11.xlsx"/>
    <x v="6"/>
    <x v="10"/>
  </r>
  <r>
    <s v="MonthlyTradeStatistics 2022_11.xlsx"/>
    <x v="23"/>
    <n v="463.09300000000002"/>
    <s v="2022_11.xlsx"/>
    <x v="6"/>
    <x v="10"/>
  </r>
  <r>
    <s v="MonthlyTradeStatistics 2022_11.xlsx"/>
    <x v="24"/>
    <n v="37313.063099999999"/>
    <s v="2022_11.xlsx"/>
    <x v="6"/>
    <x v="10"/>
  </r>
  <r>
    <s v="MonthlyTradeStatistics 2022_11.xlsx"/>
    <x v="25"/>
    <n v="0"/>
    <s v="2022_11.xlsx"/>
    <x v="6"/>
    <x v="10"/>
  </r>
  <r>
    <s v="MonthlyTradeStatistics 2022_11.xlsx"/>
    <x v="26"/>
    <n v="0"/>
    <s v="2022_11.xlsx"/>
    <x v="6"/>
    <x v="10"/>
  </r>
  <r>
    <s v="MonthlyTradeStatistics 2022_11.xlsx"/>
    <x v="27"/>
    <n v="349.99990000000003"/>
    <s v="2022_11.xlsx"/>
    <x v="6"/>
    <x v="10"/>
  </r>
  <r>
    <s v="MonthlyTradeStatistics 2022_11.xlsx"/>
    <x v="28"/>
    <n v="52022.94"/>
    <s v="2022_11.xlsx"/>
    <x v="6"/>
    <x v="10"/>
  </r>
  <r>
    <s v="MonthlyTradeStatistics 2022_11.xlsx"/>
    <x v="29"/>
    <n v="448999.47840000002"/>
    <s v="2022_11.xlsx"/>
    <x v="6"/>
    <x v="10"/>
  </r>
  <r>
    <s v="MonthlyTradeStatistics 2022_11.xlsx"/>
    <x v="30"/>
    <n v="885319.94499999995"/>
    <s v="2022_11.xlsx"/>
    <x v="6"/>
    <x v="10"/>
  </r>
  <r>
    <s v="MonthlyTradeStatistics 2022_11.xlsx"/>
    <x v="31"/>
    <n v="440.01580000000001"/>
    <s v="2022_11.xlsx"/>
    <x v="6"/>
    <x v="10"/>
  </r>
  <r>
    <s v="MonthlyTradeStatistics 2022_11.xlsx"/>
    <x v="32"/>
    <n v="45133.140599999999"/>
    <s v="2022_11.xlsx"/>
    <x v="6"/>
    <x v="10"/>
  </r>
  <r>
    <s v="MonthlyTradeStatistics 2022_11.xlsx"/>
    <x v="33"/>
    <n v="76300.004000000001"/>
    <s v="2022_11.xlsx"/>
    <x v="6"/>
    <x v="10"/>
  </r>
  <r>
    <s v="MonthlyTradeStatistics 2022_11.xlsx"/>
    <x v="34"/>
    <n v="0"/>
    <s v="2022_11.xlsx"/>
    <x v="6"/>
    <x v="10"/>
  </r>
  <r>
    <s v="MonthlyTradeStatistics 2022_11.xlsx"/>
    <x v="35"/>
    <n v="0"/>
    <s v="2022_11.xlsx"/>
    <x v="6"/>
    <x v="10"/>
  </r>
  <r>
    <s v="MonthlyTradeStatistics 2022_11.xlsx"/>
    <x v="36"/>
    <n v="768.19870000000003"/>
    <s v="2022_11.xlsx"/>
    <x v="6"/>
    <x v="10"/>
  </r>
  <r>
    <s v="MonthlyTradeStatistics 2022_11.xlsx"/>
    <x v="37"/>
    <n v="159200.0148"/>
    <s v="2022_11.xlsx"/>
    <x v="6"/>
    <x v="10"/>
  </r>
  <r>
    <s v="MonthlyTradeStatistics 2022_11.xlsx"/>
    <x v="38"/>
    <n v="22.711300000000001"/>
    <s v="2022_11.xlsx"/>
    <x v="6"/>
    <x v="10"/>
  </r>
  <r>
    <s v="MonthlyTradeStatistics 2022_11.xlsx"/>
    <x v="39"/>
    <n v="66725.985700000005"/>
    <s v="2022_11.xlsx"/>
    <x v="6"/>
    <x v="10"/>
  </r>
  <r>
    <s v="MonthlyTradeStatistics 2022_11.xlsx"/>
    <x v="40"/>
    <n v="0"/>
    <s v="2022_11.xlsx"/>
    <x v="6"/>
    <x v="10"/>
  </r>
  <r>
    <s v="MonthlyTradeStatistics 2022_11.xlsx"/>
    <x v="41"/>
    <n v="1693.4609"/>
    <s v="2022_11.xlsx"/>
    <x v="6"/>
    <x v="10"/>
  </r>
  <r>
    <s v="MonthlyTradeStatistics 2022_11.xlsx"/>
    <x v="42"/>
    <n v="152587.35999999999"/>
    <s v="2022_11.xlsx"/>
    <x v="6"/>
    <x v="10"/>
  </r>
  <r>
    <s v="MonthlyTradeStatistics 2022_11.xlsx"/>
    <x v="43"/>
    <n v="0"/>
    <s v="2022_11.xlsx"/>
    <x v="6"/>
    <x v="10"/>
  </r>
  <r>
    <s v="MonthlyTradeStatistics 2022_11.xlsx"/>
    <x v="44"/>
    <n v="353250.51799999998"/>
    <s v="2022_11.xlsx"/>
    <x v="6"/>
    <x v="10"/>
  </r>
  <r>
    <s v="MonthlyTradeStatistics 2022_11.xlsx"/>
    <x v="45"/>
    <n v="322.49720000000002"/>
    <s v="2022_11.xlsx"/>
    <x v="6"/>
    <x v="10"/>
  </r>
  <r>
    <s v="MonthlyTradeStatistics 2022_11.xlsx"/>
    <x v="46"/>
    <n v="48210.003400000001"/>
    <s v="2022_11.xlsx"/>
    <x v="6"/>
    <x v="10"/>
  </r>
  <r>
    <s v="MonthlyTradeStatistics 2022_11.xlsx"/>
    <x v="47"/>
    <n v="1800"/>
    <s v="2022_11.xlsx"/>
    <x v="6"/>
    <x v="10"/>
  </r>
  <r>
    <s v="MonthlyTradeStatistics 2022_11.xlsx"/>
    <x v="48"/>
    <n v="46.8919"/>
    <s v="2022_11.xlsx"/>
    <x v="6"/>
    <x v="10"/>
  </r>
  <r>
    <s v="MonthlyTradeStatistics 2022_11.xlsx"/>
    <x v="49"/>
    <n v="118493.47"/>
    <s v="2022_11.xlsx"/>
    <x v="6"/>
    <x v="10"/>
  </r>
  <r>
    <s v="MonthlyTradeStatistics 2022_11.xlsx"/>
    <x v="50"/>
    <n v="19733.086800000001"/>
    <s v="2022_11.xlsx"/>
    <x v="6"/>
    <x v="10"/>
  </r>
  <r>
    <s v="MonthlyTradeStatistics 2022_11.xlsx"/>
    <x v="51"/>
    <n v="10200"/>
    <s v="2022_11.xlsx"/>
    <x v="6"/>
    <x v="10"/>
  </r>
  <r>
    <s v="MonthlyTradeStatistics 2022_11.xlsx"/>
    <x v="52"/>
    <n v="1691.0166999999999"/>
    <s v="2022_11.xlsx"/>
    <x v="6"/>
    <x v="10"/>
  </r>
  <r>
    <s v="MonthlyTradeStatistics 2022_11.xlsx"/>
    <x v="53"/>
    <n v="154.3861"/>
    <s v="2022_11.xlsx"/>
    <x v="6"/>
    <x v="10"/>
  </r>
  <r>
    <s v="MonthlyTradeStatistics 2022_11.xlsx"/>
    <x v="54"/>
    <n v="447162.01"/>
    <s v="2022_11.xlsx"/>
    <x v="6"/>
    <x v="10"/>
  </r>
  <r>
    <s v="MonthlyTradeStatistics 2022_11.xlsx"/>
    <x v="55"/>
    <n v="6000"/>
    <s v="2022_11.xlsx"/>
    <x v="6"/>
    <x v="10"/>
  </r>
  <r>
    <s v="MonthlyTradeStatistics 2022_11.xlsx"/>
    <x v="56"/>
    <n v="2203999.9903000002"/>
    <s v="2022_11.xlsx"/>
    <x v="6"/>
    <x v="10"/>
  </r>
  <r>
    <s v="MonthlyTradeStatistics 2022_11.xlsx"/>
    <x v="57"/>
    <n v="5100.0033000000003"/>
    <s v="2022_11.xlsx"/>
    <x v="6"/>
    <x v="10"/>
  </r>
  <r>
    <s v="MonthlyTradeStatistics 2022_11.xlsx"/>
    <x v="58"/>
    <n v="4968.25"/>
    <s v="2022_11.xlsx"/>
    <x v="6"/>
    <x v="10"/>
  </r>
  <r>
    <s v="MonthlyTradeStatistics 2022_11.xlsx"/>
    <x v="59"/>
    <n v="0"/>
    <s v="2022_11.xlsx"/>
    <x v="6"/>
    <x v="10"/>
  </r>
  <r>
    <s v="MonthlyTradeStatistics 2022_12.xlsx"/>
    <x v="0"/>
    <n v="10739767.406099999"/>
    <s v="2022_12.xlsx"/>
    <x v="6"/>
    <x v="11"/>
  </r>
  <r>
    <s v="MonthlyTradeStatistics 2022_12.xlsx"/>
    <x v="1"/>
    <n v="1130594.8802"/>
    <s v="2022_12.xlsx"/>
    <x v="6"/>
    <x v="11"/>
  </r>
  <r>
    <s v="MonthlyTradeStatistics 2022_12.xlsx"/>
    <x v="2"/>
    <n v="1495437.9783999999"/>
    <s v="2022_12.xlsx"/>
    <x v="6"/>
    <x v="11"/>
  </r>
  <r>
    <s v="MonthlyTradeStatistics 2022_12.xlsx"/>
    <x v="3"/>
    <n v="3351655.6033000001"/>
    <s v="2022_12.xlsx"/>
    <x v="6"/>
    <x v="11"/>
  </r>
  <r>
    <s v="MonthlyTradeStatistics 2022_12.xlsx"/>
    <x v="4"/>
    <n v="4762078.9441999998"/>
    <s v="2022_12.xlsx"/>
    <x v="6"/>
    <x v="11"/>
  </r>
  <r>
    <s v="MonthlyTradeStatistics 2022_12.xlsx"/>
    <x v="5"/>
    <n v="2008.0453"/>
    <s v="2022_12.xlsx"/>
    <x v="6"/>
    <x v="11"/>
  </r>
  <r>
    <s v="MonthlyTradeStatistics 2022_12.xlsx"/>
    <x v="6"/>
    <n v="5254.05"/>
    <s v="2022_12.xlsx"/>
    <x v="6"/>
    <x v="11"/>
  </r>
  <r>
    <s v="MonthlyTradeStatistics 2022_12.xlsx"/>
    <x v="7"/>
    <n v="3137089.7341999998"/>
    <s v="2022_12.xlsx"/>
    <x v="6"/>
    <x v="11"/>
  </r>
  <r>
    <s v="MonthlyTradeStatistics 2022_12.xlsx"/>
    <x v="8"/>
    <n v="48457.356699999997"/>
    <s v="2022_12.xlsx"/>
    <x v="6"/>
    <x v="11"/>
  </r>
  <r>
    <s v="MonthlyTradeStatistics 2022_12.xlsx"/>
    <x v="9"/>
    <n v="1495"/>
    <s v="2022_12.xlsx"/>
    <x v="6"/>
    <x v="11"/>
  </r>
  <r>
    <s v="MonthlyTradeStatistics 2022_12.xlsx"/>
    <x v="10"/>
    <n v="700"/>
    <s v="2022_12.xlsx"/>
    <x v="6"/>
    <x v="11"/>
  </r>
  <r>
    <s v="MonthlyTradeStatistics 2022_12.xlsx"/>
    <x v="11"/>
    <n v="1046838.1755"/>
    <s v="2022_12.xlsx"/>
    <x v="6"/>
    <x v="11"/>
  </r>
  <r>
    <s v="MonthlyTradeStatistics 2022_12.xlsx"/>
    <x v="12"/>
    <n v="0.82650000000000001"/>
    <s v="2022_12.xlsx"/>
    <x v="6"/>
    <x v="11"/>
  </r>
  <r>
    <s v="MonthlyTradeStatistics 2022_12.xlsx"/>
    <x v="13"/>
    <n v="31847.51"/>
    <s v="2022_12.xlsx"/>
    <x v="6"/>
    <x v="11"/>
  </r>
  <r>
    <s v="MonthlyTradeStatistics 2022_12.xlsx"/>
    <x v="14"/>
    <n v="29166.083500000001"/>
    <s v="2022_12.xlsx"/>
    <x v="6"/>
    <x v="11"/>
  </r>
  <r>
    <s v="MonthlyTradeStatistics 2022_12.xlsx"/>
    <x v="15"/>
    <n v="1385.5616"/>
    <s v="2022_12.xlsx"/>
    <x v="6"/>
    <x v="11"/>
  </r>
  <r>
    <s v="MonthlyTradeStatistics 2022_12.xlsx"/>
    <x v="16"/>
    <n v="11000"/>
    <s v="2022_12.xlsx"/>
    <x v="6"/>
    <x v="11"/>
  </r>
  <r>
    <s v="MonthlyTradeStatistics 2022_12.xlsx"/>
    <x v="17"/>
    <n v="9351.7674000000006"/>
    <s v="2022_12.xlsx"/>
    <x v="6"/>
    <x v="11"/>
  </r>
  <r>
    <s v="MonthlyTradeStatistics 2022_12.xlsx"/>
    <x v="18"/>
    <n v="57599.186000000002"/>
    <s v="2022_12.xlsx"/>
    <x v="6"/>
    <x v="11"/>
  </r>
  <r>
    <s v="MonthlyTradeStatistics 2022_12.xlsx"/>
    <x v="19"/>
    <n v="19366.312699999999"/>
    <s v="2022_12.xlsx"/>
    <x v="6"/>
    <x v="11"/>
  </r>
  <r>
    <s v="MonthlyTradeStatistics 2022_12.xlsx"/>
    <x v="20"/>
    <n v="0"/>
    <s v="2022_12.xlsx"/>
    <x v="6"/>
    <x v="11"/>
  </r>
  <r>
    <s v="MonthlyTradeStatistics 2022_12.xlsx"/>
    <x v="21"/>
    <n v="230631.7"/>
    <s v="2022_12.xlsx"/>
    <x v="6"/>
    <x v="11"/>
  </r>
  <r>
    <s v="MonthlyTradeStatistics 2022_12.xlsx"/>
    <x v="22"/>
    <n v="0"/>
    <s v="2022_12.xlsx"/>
    <x v="6"/>
    <x v="11"/>
  </r>
  <r>
    <s v="MonthlyTradeStatistics 2022_12.xlsx"/>
    <x v="23"/>
    <n v="326.69069999999999"/>
    <s v="2022_12.xlsx"/>
    <x v="6"/>
    <x v="11"/>
  </r>
  <r>
    <s v="MonthlyTradeStatistics 2022_12.xlsx"/>
    <x v="24"/>
    <n v="68928.638999999996"/>
    <s v="2022_12.xlsx"/>
    <x v="6"/>
    <x v="11"/>
  </r>
  <r>
    <s v="MonthlyTradeStatistics 2022_12.xlsx"/>
    <x v="25"/>
    <n v="0"/>
    <s v="2022_12.xlsx"/>
    <x v="6"/>
    <x v="11"/>
  </r>
  <r>
    <s v="MonthlyTradeStatistics 2022_12.xlsx"/>
    <x v="26"/>
    <n v="0"/>
    <s v="2022_12.xlsx"/>
    <x v="6"/>
    <x v="11"/>
  </r>
  <r>
    <s v="MonthlyTradeStatistics 2022_12.xlsx"/>
    <x v="27"/>
    <n v="260"/>
    <s v="2022_12.xlsx"/>
    <x v="6"/>
    <x v="11"/>
  </r>
  <r>
    <s v="MonthlyTradeStatistics 2022_12.xlsx"/>
    <x v="28"/>
    <n v="196304.68"/>
    <s v="2022_12.xlsx"/>
    <x v="6"/>
    <x v="11"/>
  </r>
  <r>
    <s v="MonthlyTradeStatistics 2022_12.xlsx"/>
    <x v="29"/>
    <n v="417056.58260000002"/>
    <s v="2022_12.xlsx"/>
    <x v="6"/>
    <x v="11"/>
  </r>
  <r>
    <s v="MonthlyTradeStatistics 2022_12.xlsx"/>
    <x v="30"/>
    <n v="687525.57079999999"/>
    <s v="2022_12.xlsx"/>
    <x v="6"/>
    <x v="11"/>
  </r>
  <r>
    <s v="MonthlyTradeStatistics 2022_12.xlsx"/>
    <x v="31"/>
    <n v="1010.7924"/>
    <s v="2022_12.xlsx"/>
    <x v="6"/>
    <x v="11"/>
  </r>
  <r>
    <s v="MonthlyTradeStatistics 2022_12.xlsx"/>
    <x v="32"/>
    <n v="29991.414700000001"/>
    <s v="2022_12.xlsx"/>
    <x v="6"/>
    <x v="11"/>
  </r>
  <r>
    <s v="MonthlyTradeStatistics 2022_12.xlsx"/>
    <x v="33"/>
    <n v="42599.996700000003"/>
    <s v="2022_12.xlsx"/>
    <x v="6"/>
    <x v="11"/>
  </r>
  <r>
    <s v="MonthlyTradeStatistics 2022_12.xlsx"/>
    <x v="34"/>
    <n v="0"/>
    <s v="2022_12.xlsx"/>
    <x v="6"/>
    <x v="11"/>
  </r>
  <r>
    <s v="MonthlyTradeStatistics 2022_12.xlsx"/>
    <x v="35"/>
    <n v="4.9767000000000001"/>
    <s v="2022_12.xlsx"/>
    <x v="6"/>
    <x v="11"/>
  </r>
  <r>
    <s v="MonthlyTradeStatistics 2022_12.xlsx"/>
    <x v="36"/>
    <n v="768.19870000000003"/>
    <s v="2022_12.xlsx"/>
    <x v="6"/>
    <x v="11"/>
  </r>
  <r>
    <s v="MonthlyTradeStatistics 2022_12.xlsx"/>
    <x v="37"/>
    <n v="144800.00820000001"/>
    <s v="2022_12.xlsx"/>
    <x v="6"/>
    <x v="11"/>
  </r>
  <r>
    <s v="MonthlyTradeStatistics 2022_12.xlsx"/>
    <x v="38"/>
    <n v="61.746000000000002"/>
    <s v="2022_12.xlsx"/>
    <x v="6"/>
    <x v="11"/>
  </r>
  <r>
    <s v="MonthlyTradeStatistics 2022_12.xlsx"/>
    <x v="39"/>
    <n v="120636.9339"/>
    <s v="2022_12.xlsx"/>
    <x v="6"/>
    <x v="11"/>
  </r>
  <r>
    <s v="MonthlyTradeStatistics 2022_12.xlsx"/>
    <x v="40"/>
    <n v="0"/>
    <s v="2022_12.xlsx"/>
    <x v="6"/>
    <x v="11"/>
  </r>
  <r>
    <s v="MonthlyTradeStatistics 2022_12.xlsx"/>
    <x v="41"/>
    <n v="451.57069999999999"/>
    <s v="2022_12.xlsx"/>
    <x v="6"/>
    <x v="11"/>
  </r>
  <r>
    <s v="MonthlyTradeStatistics 2022_12.xlsx"/>
    <x v="42"/>
    <n v="62912.08"/>
    <s v="2022_12.xlsx"/>
    <x v="6"/>
    <x v="11"/>
  </r>
  <r>
    <s v="MonthlyTradeStatistics 2022_12.xlsx"/>
    <x v="43"/>
    <n v="0"/>
    <s v="2022_12.xlsx"/>
    <x v="6"/>
    <x v="11"/>
  </r>
  <r>
    <s v="MonthlyTradeStatistics 2022_12.xlsx"/>
    <x v="44"/>
    <n v="313535.70799999998"/>
    <s v="2022_12.xlsx"/>
    <x v="6"/>
    <x v="11"/>
  </r>
  <r>
    <s v="MonthlyTradeStatistics 2022_12.xlsx"/>
    <x v="45"/>
    <n v="20.5001"/>
    <s v="2022_12.xlsx"/>
    <x v="6"/>
    <x v="11"/>
  </r>
  <r>
    <s v="MonthlyTradeStatistics 2022_12.xlsx"/>
    <x v="46"/>
    <n v="94419.9948"/>
    <s v="2022_12.xlsx"/>
    <x v="6"/>
    <x v="11"/>
  </r>
  <r>
    <s v="MonthlyTradeStatistics 2022_12.xlsx"/>
    <x v="47"/>
    <n v="2000"/>
    <s v="2022_12.xlsx"/>
    <x v="6"/>
    <x v="11"/>
  </r>
  <r>
    <s v="MonthlyTradeStatistics 2022_12.xlsx"/>
    <x v="48"/>
    <n v="46.8919"/>
    <s v="2022_12.xlsx"/>
    <x v="6"/>
    <x v="11"/>
  </r>
  <r>
    <s v="MonthlyTradeStatistics 2022_12.xlsx"/>
    <x v="49"/>
    <n v="74501.62"/>
    <s v="2022_12.xlsx"/>
    <x v="6"/>
    <x v="11"/>
  </r>
  <r>
    <s v="MonthlyTradeStatistics 2022_12.xlsx"/>
    <x v="50"/>
    <n v="14201.241"/>
    <s v="2022_12.xlsx"/>
    <x v="6"/>
    <x v="11"/>
  </r>
  <r>
    <s v="MonthlyTradeStatistics 2022_12.xlsx"/>
    <x v="51"/>
    <n v="9467"/>
    <s v="2022_12.xlsx"/>
    <x v="6"/>
    <x v="11"/>
  </r>
  <r>
    <s v="MonthlyTradeStatistics 2022_12.xlsx"/>
    <x v="52"/>
    <n v="1294.7466999999999"/>
    <s v="2022_12.xlsx"/>
    <x v="6"/>
    <x v="11"/>
  </r>
  <r>
    <s v="MonthlyTradeStatistics 2022_12.xlsx"/>
    <x v="53"/>
    <n v="154.3861"/>
    <s v="2022_12.xlsx"/>
    <x v="6"/>
    <x v="11"/>
  </r>
  <r>
    <s v="MonthlyTradeStatistics 2022_12.xlsx"/>
    <x v="54"/>
    <n v="418829.01"/>
    <s v="2022_12.xlsx"/>
    <x v="6"/>
    <x v="11"/>
  </r>
  <r>
    <s v="MonthlyTradeStatistics 2022_12.xlsx"/>
    <x v="55"/>
    <n v="5700"/>
    <s v="2022_12.xlsx"/>
    <x v="6"/>
    <x v="11"/>
  </r>
  <r>
    <s v="MonthlyTradeStatistics 2022_12.xlsx"/>
    <x v="56"/>
    <n v="3379225.1137000001"/>
    <s v="2022_12.xlsx"/>
    <x v="6"/>
    <x v="11"/>
  </r>
  <r>
    <s v="MonthlyTradeStatistics 2022_12.xlsx"/>
    <x v="57"/>
    <n v="4700.0033000000003"/>
    <s v="2022_12.xlsx"/>
    <x v="6"/>
    <x v="11"/>
  </r>
  <r>
    <s v="MonthlyTradeStatistics 2022_12.xlsx"/>
    <x v="58"/>
    <n v="15520"/>
    <s v="2022_12.xlsx"/>
    <x v="6"/>
    <x v="11"/>
  </r>
  <r>
    <s v="MonthlyTradeStatistics 2022_12.xlsx"/>
    <x v="59"/>
    <n v="320"/>
    <s v="2022_12.xlsx"/>
    <x v="6"/>
    <x v="11"/>
  </r>
  <r>
    <s v="MonthlyTradeStatistics 2023_01.xlsx"/>
    <x v="0"/>
    <n v="8885954.0467000008"/>
    <s v="2023_01.xlsx"/>
    <x v="7"/>
    <x v="0"/>
  </r>
  <r>
    <s v="MonthlyTradeStatistics 2023_01.xlsx"/>
    <x v="1"/>
    <n v="950025.69700000004"/>
    <s v="2023_01.xlsx"/>
    <x v="7"/>
    <x v="0"/>
  </r>
  <r>
    <s v="MonthlyTradeStatistics 2023_01.xlsx"/>
    <x v="2"/>
    <n v="1821777.0355"/>
    <s v="2023_01.xlsx"/>
    <x v="7"/>
    <x v="0"/>
  </r>
  <r>
    <s v="MonthlyTradeStatistics 2023_01.xlsx"/>
    <x v="3"/>
    <n v="2563735.8122999999"/>
    <s v="2023_01.xlsx"/>
    <x v="7"/>
    <x v="0"/>
  </r>
  <r>
    <s v="MonthlyTradeStatistics 2023_01.xlsx"/>
    <x v="4"/>
    <n v="3550415.5019"/>
    <s v="2023_01.xlsx"/>
    <x v="7"/>
    <x v="0"/>
  </r>
  <r>
    <s v="MonthlyTradeStatistics 2023_01.xlsx"/>
    <x v="5"/>
    <n v="1786.5367000000001"/>
    <s v="2023_01.xlsx"/>
    <x v="7"/>
    <x v="0"/>
  </r>
  <r>
    <s v="MonthlyTradeStatistics 2023_01.xlsx"/>
    <x v="6"/>
    <n v="4630.25"/>
    <s v="2023_01.xlsx"/>
    <x v="7"/>
    <x v="0"/>
  </r>
  <r>
    <s v="MonthlyTradeStatistics 2023_01.xlsx"/>
    <x v="7"/>
    <n v="2591523.6557"/>
    <s v="2023_01.xlsx"/>
    <x v="7"/>
    <x v="0"/>
  </r>
  <r>
    <s v="MonthlyTradeStatistics 2023_01.xlsx"/>
    <x v="8"/>
    <n v="14388.7752"/>
    <s v="2023_01.xlsx"/>
    <x v="7"/>
    <x v="0"/>
  </r>
  <r>
    <s v="MonthlyTradeStatistics 2023_01.xlsx"/>
    <x v="9"/>
    <n v="3879.25"/>
    <s v="2023_01.xlsx"/>
    <x v="7"/>
    <x v="0"/>
  </r>
  <r>
    <s v="MonthlyTradeStatistics 2023_01.xlsx"/>
    <x v="10"/>
    <n v="1400"/>
    <s v="2023_01.xlsx"/>
    <x v="7"/>
    <x v="0"/>
  </r>
  <r>
    <s v="MonthlyTradeStatistics 2023_01.xlsx"/>
    <x v="11"/>
    <n v="848131.34149999998"/>
    <s v="2023_01.xlsx"/>
    <x v="7"/>
    <x v="0"/>
  </r>
  <r>
    <s v="MonthlyTradeStatistics 2023_01.xlsx"/>
    <x v="12"/>
    <n v="0"/>
    <s v="2023_01.xlsx"/>
    <x v="7"/>
    <x v="0"/>
  </r>
  <r>
    <s v="MonthlyTradeStatistics 2023_01.xlsx"/>
    <x v="13"/>
    <n v="71855.491999999998"/>
    <s v="2023_01.xlsx"/>
    <x v="7"/>
    <x v="0"/>
  </r>
  <r>
    <s v="MonthlyTradeStatistics 2023_01.xlsx"/>
    <x v="14"/>
    <n v="90925.316600000006"/>
    <s v="2023_01.xlsx"/>
    <x v="7"/>
    <x v="0"/>
  </r>
  <r>
    <s v="MonthlyTradeStatistics 2023_01.xlsx"/>
    <x v="15"/>
    <n v="1399.9992999999999"/>
    <s v="2023_01.xlsx"/>
    <x v="7"/>
    <x v="0"/>
  </r>
  <r>
    <s v="MonthlyTradeStatistics 2023_01.xlsx"/>
    <x v="16"/>
    <n v="15400"/>
    <s v="2023_01.xlsx"/>
    <x v="7"/>
    <x v="0"/>
  </r>
  <r>
    <s v="MonthlyTradeStatistics 2023_01.xlsx"/>
    <x v="17"/>
    <n v="0"/>
    <s v="2023_01.xlsx"/>
    <x v="7"/>
    <x v="0"/>
  </r>
  <r>
    <s v="MonthlyTradeStatistics 2023_01.xlsx"/>
    <x v="18"/>
    <n v="62052.05"/>
    <s v="2023_01.xlsx"/>
    <x v="7"/>
    <x v="0"/>
  </r>
  <r>
    <s v="MonthlyTradeStatistics 2023_01.xlsx"/>
    <x v="19"/>
    <n v="25465.7847"/>
    <s v="2023_01.xlsx"/>
    <x v="7"/>
    <x v="0"/>
  </r>
  <r>
    <s v="MonthlyTradeStatistics 2023_01.xlsx"/>
    <x v="20"/>
    <n v="0"/>
    <s v="2023_01.xlsx"/>
    <x v="7"/>
    <x v="0"/>
  </r>
  <r>
    <s v="MonthlyTradeStatistics 2023_01.xlsx"/>
    <x v="21"/>
    <n v="92474.466700000004"/>
    <s v="2023_01.xlsx"/>
    <x v="7"/>
    <x v="0"/>
  </r>
  <r>
    <s v="MonthlyTradeStatistics 2023_01.xlsx"/>
    <x v="22"/>
    <n v="0"/>
    <s v="2023_01.xlsx"/>
    <x v="7"/>
    <x v="0"/>
  </r>
  <r>
    <s v="MonthlyTradeStatistics 2023_01.xlsx"/>
    <x v="23"/>
    <n v="435.09699999999998"/>
    <s v="2023_01.xlsx"/>
    <x v="7"/>
    <x v="0"/>
  </r>
  <r>
    <s v="MonthlyTradeStatistics 2023_01.xlsx"/>
    <x v="24"/>
    <n v="220067.4988"/>
    <s v="2023_01.xlsx"/>
    <x v="7"/>
    <x v="0"/>
  </r>
  <r>
    <s v="MonthlyTradeStatistics 2023_01.xlsx"/>
    <x v="25"/>
    <n v="0"/>
    <s v="2023_01.xlsx"/>
    <x v="7"/>
    <x v="0"/>
  </r>
  <r>
    <s v="MonthlyTradeStatistics 2023_01.xlsx"/>
    <x v="26"/>
    <n v="13"/>
    <s v="2023_01.xlsx"/>
    <x v="7"/>
    <x v="0"/>
  </r>
  <r>
    <s v="MonthlyTradeStatistics 2023_01.xlsx"/>
    <x v="27"/>
    <n v="60"/>
    <s v="2023_01.xlsx"/>
    <x v="7"/>
    <x v="0"/>
  </r>
  <r>
    <s v="MonthlyTradeStatistics 2023_01.xlsx"/>
    <x v="28"/>
    <n v="520794.77"/>
    <s v="2023_01.xlsx"/>
    <x v="7"/>
    <x v="0"/>
  </r>
  <r>
    <s v="MonthlyTradeStatistics 2023_01.xlsx"/>
    <x v="29"/>
    <n v="418807.38689999998"/>
    <s v="2023_01.xlsx"/>
    <x v="7"/>
    <x v="0"/>
  </r>
  <r>
    <s v="MonthlyTradeStatistics 2023_01.xlsx"/>
    <x v="30"/>
    <n v="467979.93719999999"/>
    <s v="2023_01.xlsx"/>
    <x v="7"/>
    <x v="0"/>
  </r>
  <r>
    <s v="MonthlyTradeStatistics 2023_01.xlsx"/>
    <x v="31"/>
    <n v="403.90660000000003"/>
    <s v="2023_01.xlsx"/>
    <x v="7"/>
    <x v="0"/>
  </r>
  <r>
    <s v="MonthlyTradeStatistics 2023_01.xlsx"/>
    <x v="32"/>
    <n v="33930.215499999998"/>
    <s v="2023_01.xlsx"/>
    <x v="7"/>
    <x v="0"/>
  </r>
  <r>
    <s v="MonthlyTradeStatistics 2023_01.xlsx"/>
    <x v="33"/>
    <n v="39199.987000000001"/>
    <s v="2023_01.xlsx"/>
    <x v="7"/>
    <x v="0"/>
  </r>
  <r>
    <s v="MonthlyTradeStatistics 2023_01.xlsx"/>
    <x v="34"/>
    <n v="0"/>
    <s v="2023_01.xlsx"/>
    <x v="7"/>
    <x v="0"/>
  </r>
  <r>
    <s v="MonthlyTradeStatistics 2023_01.xlsx"/>
    <x v="35"/>
    <n v="0.38329999999999997"/>
    <s v="2023_01.xlsx"/>
    <x v="7"/>
    <x v="0"/>
  </r>
  <r>
    <s v="MonthlyTradeStatistics 2023_01.xlsx"/>
    <x v="36"/>
    <n v="609.3175"/>
    <s v="2023_01.xlsx"/>
    <x v="7"/>
    <x v="0"/>
  </r>
  <r>
    <s v="MonthlyTradeStatistics 2023_01.xlsx"/>
    <x v="37"/>
    <n v="180999.9903"/>
    <s v="2023_01.xlsx"/>
    <x v="7"/>
    <x v="0"/>
  </r>
  <r>
    <s v="MonthlyTradeStatistics 2023_01.xlsx"/>
    <x v="38"/>
    <n v="57.583300000000001"/>
    <s v="2023_01.xlsx"/>
    <x v="7"/>
    <x v="0"/>
  </r>
  <r>
    <s v="MonthlyTradeStatistics 2023_01.xlsx"/>
    <x v="39"/>
    <n v="175871.00769999999"/>
    <s v="2023_01.xlsx"/>
    <x v="7"/>
    <x v="0"/>
  </r>
  <r>
    <s v="MonthlyTradeStatistics 2023_01.xlsx"/>
    <x v="40"/>
    <n v="0"/>
    <s v="2023_01.xlsx"/>
    <x v="7"/>
    <x v="0"/>
  </r>
  <r>
    <s v="MonthlyTradeStatistics 2023_01.xlsx"/>
    <x v="41"/>
    <n v="1569.3520000000001"/>
    <s v="2023_01.xlsx"/>
    <x v="7"/>
    <x v="0"/>
  </r>
  <r>
    <s v="MonthlyTradeStatistics 2023_01.xlsx"/>
    <x v="42"/>
    <n v="60197.47"/>
    <s v="2023_01.xlsx"/>
    <x v="7"/>
    <x v="0"/>
  </r>
  <r>
    <s v="MonthlyTradeStatistics 2023_01.xlsx"/>
    <x v="43"/>
    <n v="0"/>
    <s v="2023_01.xlsx"/>
    <x v="7"/>
    <x v="0"/>
  </r>
  <r>
    <s v="MonthlyTradeStatistics 2023_01.xlsx"/>
    <x v="44"/>
    <n v="158386.5938"/>
    <s v="2023_01.xlsx"/>
    <x v="7"/>
    <x v="0"/>
  </r>
  <r>
    <s v="MonthlyTradeStatistics 2023_01.xlsx"/>
    <x v="45"/>
    <n v="78.217299999999994"/>
    <s v="2023_01.xlsx"/>
    <x v="7"/>
    <x v="0"/>
  </r>
  <r>
    <s v="MonthlyTradeStatistics 2023_01.xlsx"/>
    <x v="46"/>
    <n v="21099.9977"/>
    <s v="2023_01.xlsx"/>
    <x v="7"/>
    <x v="0"/>
  </r>
  <r>
    <s v="MonthlyTradeStatistics 2023_01.xlsx"/>
    <x v="47"/>
    <n v="1700"/>
    <s v="2023_01.xlsx"/>
    <x v="7"/>
    <x v="0"/>
  </r>
  <r>
    <s v="MonthlyTradeStatistics 2023_01.xlsx"/>
    <x v="48"/>
    <n v="16.285"/>
    <s v="2023_01.xlsx"/>
    <x v="7"/>
    <x v="0"/>
  </r>
  <r>
    <s v="MonthlyTradeStatistics 2023_01.xlsx"/>
    <x v="49"/>
    <n v="153451.76"/>
    <s v="2023_01.xlsx"/>
    <x v="7"/>
    <x v="0"/>
  </r>
  <r>
    <s v="MonthlyTradeStatistics 2023_01.xlsx"/>
    <x v="50"/>
    <n v="13482.4946"/>
    <s v="2023_01.xlsx"/>
    <x v="7"/>
    <x v="0"/>
  </r>
  <r>
    <s v="MonthlyTradeStatistics 2023_01.xlsx"/>
    <x v="51"/>
    <n v="2524"/>
    <s v="2023_01.xlsx"/>
    <x v="7"/>
    <x v="0"/>
  </r>
  <r>
    <s v="MonthlyTradeStatistics 2023_01.xlsx"/>
    <x v="52"/>
    <n v="10412.799999999999"/>
    <s v="2023_01.xlsx"/>
    <x v="7"/>
    <x v="0"/>
  </r>
  <r>
    <s v="MonthlyTradeStatistics 2023_01.xlsx"/>
    <x v="53"/>
    <n v="363.87720000000002"/>
    <s v="2023_01.xlsx"/>
    <x v="7"/>
    <x v="0"/>
  </r>
  <r>
    <s v="MonthlyTradeStatistics 2023_01.xlsx"/>
    <x v="54"/>
    <n v="494225.99"/>
    <s v="2023_01.xlsx"/>
    <x v="7"/>
    <x v="0"/>
  </r>
  <r>
    <s v="MonthlyTradeStatistics 2023_01.xlsx"/>
    <x v="55"/>
    <n v="1800"/>
    <s v="2023_01.xlsx"/>
    <x v="7"/>
    <x v="0"/>
  </r>
  <r>
    <s v="MonthlyTradeStatistics 2023_01.xlsx"/>
    <x v="56"/>
    <n v="2067734.5371999999"/>
    <s v="2023_01.xlsx"/>
    <x v="7"/>
    <x v="0"/>
  </r>
  <r>
    <s v="MonthlyTradeStatistics 2023_01.xlsx"/>
    <x v="57"/>
    <n v="4364.5056999999997"/>
    <s v="2023_01.xlsx"/>
    <x v="7"/>
    <x v="0"/>
  </r>
  <r>
    <s v="MonthlyTradeStatistics 2023_01.xlsx"/>
    <x v="58"/>
    <n v="9597.1666999999998"/>
    <s v="2023_01.xlsx"/>
    <x v="7"/>
    <x v="0"/>
  </r>
  <r>
    <s v="MonthlyTradeStatistics 2023_01.xlsx"/>
    <x v="59"/>
    <n v="406"/>
    <s v="2023_01.xlsx"/>
    <x v="7"/>
    <x v="0"/>
  </r>
  <r>
    <s v="MonthlyTradeStatistics 2023_02.xlsx"/>
    <x v="0"/>
    <n v="10984231.7937"/>
    <s v="2023_02.xlsx"/>
    <x v="7"/>
    <x v="1"/>
  </r>
  <r>
    <s v="MonthlyTradeStatistics 2023_02.xlsx"/>
    <x v="1"/>
    <n v="1064135.5478999999"/>
    <s v="2023_02.xlsx"/>
    <x v="7"/>
    <x v="1"/>
  </r>
  <r>
    <s v="MonthlyTradeStatistics 2023_02.xlsx"/>
    <x v="2"/>
    <n v="2043961.9865999999"/>
    <s v="2023_02.xlsx"/>
    <x v="7"/>
    <x v="1"/>
  </r>
  <r>
    <s v="MonthlyTradeStatistics 2023_02.xlsx"/>
    <x v="3"/>
    <n v="2559988.1825999999"/>
    <s v="2023_02.xlsx"/>
    <x v="7"/>
    <x v="1"/>
  </r>
  <r>
    <s v="MonthlyTradeStatistics 2023_02.xlsx"/>
    <x v="4"/>
    <n v="5316146.0766000003"/>
    <s v="2023_02.xlsx"/>
    <x v="7"/>
    <x v="1"/>
  </r>
  <r>
    <s v="MonthlyTradeStatistics 2023_02.xlsx"/>
    <x v="5"/>
    <n v="2658.6597999999999"/>
    <s v="2023_02.xlsx"/>
    <x v="7"/>
    <x v="1"/>
  </r>
  <r>
    <s v="MonthlyTradeStatistics 2023_02.xlsx"/>
    <x v="6"/>
    <n v="6499.0734000000002"/>
    <s v="2023_02.xlsx"/>
    <x v="7"/>
    <x v="1"/>
  </r>
  <r>
    <s v="MonthlyTradeStatistics 2023_02.xlsx"/>
    <x v="7"/>
    <n v="2461834.4695000001"/>
    <s v="2023_02.xlsx"/>
    <x v="7"/>
    <x v="1"/>
  </r>
  <r>
    <s v="MonthlyTradeStatistics 2023_02.xlsx"/>
    <x v="8"/>
    <n v="14388.7752"/>
    <s v="2023_02.xlsx"/>
    <x v="7"/>
    <x v="1"/>
  </r>
  <r>
    <s v="MonthlyTradeStatistics 2023_02.xlsx"/>
    <x v="9"/>
    <n v="8855.7443000000003"/>
    <s v="2023_02.xlsx"/>
    <x v="7"/>
    <x v="1"/>
  </r>
  <r>
    <s v="MonthlyTradeStatistics 2023_02.xlsx"/>
    <x v="10"/>
    <n v="2500"/>
    <s v="2023_02.xlsx"/>
    <x v="7"/>
    <x v="1"/>
  </r>
  <r>
    <s v="MonthlyTradeStatistics 2023_02.xlsx"/>
    <x v="11"/>
    <n v="940676.77249999996"/>
    <s v="2023_02.xlsx"/>
    <x v="7"/>
    <x v="1"/>
  </r>
  <r>
    <s v="MonthlyTradeStatistics 2023_02.xlsx"/>
    <x v="12"/>
    <n v="0"/>
    <s v="2023_02.xlsx"/>
    <x v="7"/>
    <x v="1"/>
  </r>
  <r>
    <s v="MonthlyTradeStatistics 2023_02.xlsx"/>
    <x v="13"/>
    <n v="78016.602700000003"/>
    <s v="2023_02.xlsx"/>
    <x v="7"/>
    <x v="1"/>
  </r>
  <r>
    <s v="MonthlyTradeStatistics 2023_02.xlsx"/>
    <x v="14"/>
    <n v="53547.433700000001"/>
    <s v="2023_02.xlsx"/>
    <x v="7"/>
    <x v="1"/>
  </r>
  <r>
    <s v="MonthlyTradeStatistics 2023_02.xlsx"/>
    <x v="15"/>
    <n v="1399.9992999999999"/>
    <s v="2023_02.xlsx"/>
    <x v="7"/>
    <x v="1"/>
  </r>
  <r>
    <s v="MonthlyTradeStatistics 2023_02.xlsx"/>
    <x v="16"/>
    <n v="16900"/>
    <s v="2023_02.xlsx"/>
    <x v="7"/>
    <x v="1"/>
  </r>
  <r>
    <s v="MonthlyTradeStatistics 2023_02.xlsx"/>
    <x v="17"/>
    <n v="1448.0020999999999"/>
    <s v="2023_02.xlsx"/>
    <x v="7"/>
    <x v="1"/>
  </r>
  <r>
    <s v="MonthlyTradeStatistics 2023_02.xlsx"/>
    <x v="18"/>
    <n v="56527.394"/>
    <s v="2023_02.xlsx"/>
    <x v="7"/>
    <x v="1"/>
  </r>
  <r>
    <s v="MonthlyTradeStatistics 2023_02.xlsx"/>
    <x v="19"/>
    <n v="54576.340600000003"/>
    <s v="2023_02.xlsx"/>
    <x v="7"/>
    <x v="1"/>
  </r>
  <r>
    <s v="MonthlyTradeStatistics 2023_02.xlsx"/>
    <x v="20"/>
    <n v="0"/>
    <s v="2023_02.xlsx"/>
    <x v="7"/>
    <x v="1"/>
  </r>
  <r>
    <s v="MonthlyTradeStatistics 2023_02.xlsx"/>
    <x v="21"/>
    <n v="98075.116699999999"/>
    <s v="2023_02.xlsx"/>
    <x v="7"/>
    <x v="1"/>
  </r>
  <r>
    <s v="MonthlyTradeStatistics 2023_02.xlsx"/>
    <x v="22"/>
    <n v="0"/>
    <s v="2023_02.xlsx"/>
    <x v="7"/>
    <x v="1"/>
  </r>
  <r>
    <s v="MonthlyTradeStatistics 2023_02.xlsx"/>
    <x v="23"/>
    <n v="527.36559999999997"/>
    <s v="2023_02.xlsx"/>
    <x v="7"/>
    <x v="1"/>
  </r>
  <r>
    <s v="MonthlyTradeStatistics 2023_02.xlsx"/>
    <x v="24"/>
    <n v="307741.80290000001"/>
    <s v="2023_02.xlsx"/>
    <x v="7"/>
    <x v="1"/>
  </r>
  <r>
    <s v="MonthlyTradeStatistics 2023_02.xlsx"/>
    <x v="25"/>
    <n v="29695.667099999999"/>
    <s v="2023_02.xlsx"/>
    <x v="7"/>
    <x v="1"/>
  </r>
  <r>
    <s v="MonthlyTradeStatistics 2023_02.xlsx"/>
    <x v="26"/>
    <n v="0"/>
    <s v="2023_02.xlsx"/>
    <x v="7"/>
    <x v="1"/>
  </r>
  <r>
    <s v="MonthlyTradeStatistics 2023_02.xlsx"/>
    <x v="27"/>
    <n v="50"/>
    <s v="2023_02.xlsx"/>
    <x v="7"/>
    <x v="1"/>
  </r>
  <r>
    <s v="MonthlyTradeStatistics 2023_02.xlsx"/>
    <x v="28"/>
    <n v="567110.91"/>
    <s v="2023_02.xlsx"/>
    <x v="7"/>
    <x v="1"/>
  </r>
  <r>
    <s v="MonthlyTradeStatistics 2023_02.xlsx"/>
    <x v="29"/>
    <n v="637698.90110000002"/>
    <s v="2023_02.xlsx"/>
    <x v="7"/>
    <x v="1"/>
  </r>
  <r>
    <s v="MonthlyTradeStatistics 2023_02.xlsx"/>
    <x v="30"/>
    <n v="595003.00560000003"/>
    <s v="2023_02.xlsx"/>
    <x v="7"/>
    <x v="1"/>
  </r>
  <r>
    <s v="MonthlyTradeStatistics 2023_02.xlsx"/>
    <x v="31"/>
    <n v="607.81910000000005"/>
    <s v="2023_02.xlsx"/>
    <x v="7"/>
    <x v="1"/>
  </r>
  <r>
    <s v="MonthlyTradeStatistics 2023_02.xlsx"/>
    <x v="32"/>
    <n v="58213.785400000001"/>
    <s v="2023_02.xlsx"/>
    <x v="7"/>
    <x v="1"/>
  </r>
  <r>
    <s v="MonthlyTradeStatistics 2023_02.xlsx"/>
    <x v="33"/>
    <n v="66500.009999999995"/>
    <s v="2023_02.xlsx"/>
    <x v="7"/>
    <x v="1"/>
  </r>
  <r>
    <s v="MonthlyTradeStatistics 2023_02.xlsx"/>
    <x v="34"/>
    <n v="0"/>
    <s v="2023_02.xlsx"/>
    <x v="7"/>
    <x v="1"/>
  </r>
  <r>
    <s v="MonthlyTradeStatistics 2023_02.xlsx"/>
    <x v="35"/>
    <n v="0.45619999999999999"/>
    <s v="2023_02.xlsx"/>
    <x v="7"/>
    <x v="1"/>
  </r>
  <r>
    <s v="MonthlyTradeStatistics 2023_02.xlsx"/>
    <x v="36"/>
    <n v="609.3175"/>
    <s v="2023_02.xlsx"/>
    <x v="7"/>
    <x v="1"/>
  </r>
  <r>
    <s v="MonthlyTradeStatistics 2023_02.xlsx"/>
    <x v="37"/>
    <n v="202049.99290000001"/>
    <s v="2023_02.xlsx"/>
    <x v="7"/>
    <x v="1"/>
  </r>
  <r>
    <s v="MonthlyTradeStatistics 2023_02.xlsx"/>
    <x v="38"/>
    <n v="29.033300000000001"/>
    <s v="2023_02.xlsx"/>
    <x v="7"/>
    <x v="1"/>
  </r>
  <r>
    <s v="MonthlyTradeStatistics 2023_02.xlsx"/>
    <x v="39"/>
    <n v="277319.40409999999"/>
    <s v="2023_02.xlsx"/>
    <x v="7"/>
    <x v="1"/>
  </r>
  <r>
    <s v="MonthlyTradeStatistics 2023_02.xlsx"/>
    <x v="40"/>
    <n v="0"/>
    <s v="2023_02.xlsx"/>
    <x v="7"/>
    <x v="1"/>
  </r>
  <r>
    <s v="MonthlyTradeStatistics 2023_02.xlsx"/>
    <x v="41"/>
    <n v="1035.4304999999999"/>
    <s v="2023_02.xlsx"/>
    <x v="7"/>
    <x v="1"/>
  </r>
  <r>
    <s v="MonthlyTradeStatistics 2023_02.xlsx"/>
    <x v="42"/>
    <n v="44904.17"/>
    <s v="2023_02.xlsx"/>
    <x v="7"/>
    <x v="1"/>
  </r>
  <r>
    <s v="MonthlyTradeStatistics 2023_02.xlsx"/>
    <x v="43"/>
    <n v="0"/>
    <s v="2023_02.xlsx"/>
    <x v="7"/>
    <x v="1"/>
  </r>
  <r>
    <s v="MonthlyTradeStatistics 2023_02.xlsx"/>
    <x v="44"/>
    <n v="65147.991900000001"/>
    <s v="2023_02.xlsx"/>
    <x v="7"/>
    <x v="1"/>
  </r>
  <r>
    <s v="MonthlyTradeStatistics 2023_02.xlsx"/>
    <x v="45"/>
    <n v="65.52"/>
    <s v="2023_02.xlsx"/>
    <x v="7"/>
    <x v="1"/>
  </r>
  <r>
    <s v="MonthlyTradeStatistics 2023_02.xlsx"/>
    <x v="46"/>
    <n v="7020.0038999999997"/>
    <s v="2023_02.xlsx"/>
    <x v="7"/>
    <x v="1"/>
  </r>
  <r>
    <s v="MonthlyTradeStatistics 2023_02.xlsx"/>
    <x v="47"/>
    <n v="2000"/>
    <s v="2023_02.xlsx"/>
    <x v="7"/>
    <x v="1"/>
  </r>
  <r>
    <s v="MonthlyTradeStatistics 2023_02.xlsx"/>
    <x v="48"/>
    <n v="85.484099999999998"/>
    <s v="2023_02.xlsx"/>
    <x v="7"/>
    <x v="1"/>
  </r>
  <r>
    <s v="MonthlyTradeStatistics 2023_02.xlsx"/>
    <x v="49"/>
    <n v="79321.8"/>
    <s v="2023_02.xlsx"/>
    <x v="7"/>
    <x v="1"/>
  </r>
  <r>
    <s v="MonthlyTradeStatistics 2023_02.xlsx"/>
    <x v="50"/>
    <n v="14993.7114"/>
    <s v="2023_02.xlsx"/>
    <x v="7"/>
    <x v="1"/>
  </r>
  <r>
    <s v="MonthlyTradeStatistics 2023_02.xlsx"/>
    <x v="51"/>
    <n v="9462.5332999999991"/>
    <s v="2023_02.xlsx"/>
    <x v="7"/>
    <x v="1"/>
  </r>
  <r>
    <s v="MonthlyTradeStatistics 2023_02.xlsx"/>
    <x v="52"/>
    <n v="20062.433300000001"/>
    <s v="2023_02.xlsx"/>
    <x v="7"/>
    <x v="1"/>
  </r>
  <r>
    <s v="MonthlyTradeStatistics 2023_02.xlsx"/>
    <x v="53"/>
    <n v="787.74580000000003"/>
    <s v="2023_02.xlsx"/>
    <x v="7"/>
    <x v="1"/>
  </r>
  <r>
    <s v="MonthlyTradeStatistics 2023_02.xlsx"/>
    <x v="54"/>
    <n v="478646"/>
    <s v="2023_02.xlsx"/>
    <x v="7"/>
    <x v="1"/>
  </r>
  <r>
    <s v="MonthlyTradeStatistics 2023_02.xlsx"/>
    <x v="55"/>
    <n v="5500"/>
    <s v="2023_02.xlsx"/>
    <x v="7"/>
    <x v="1"/>
  </r>
  <r>
    <s v="MonthlyTradeStatistics 2023_02.xlsx"/>
    <x v="56"/>
    <n v="3705361.2982000001"/>
    <s v="2023_02.xlsx"/>
    <x v="7"/>
    <x v="1"/>
  </r>
  <r>
    <s v="MonthlyTradeStatistics 2023_02.xlsx"/>
    <x v="57"/>
    <n v="4105.8"/>
    <s v="2023_02.xlsx"/>
    <x v="7"/>
    <x v="1"/>
  </r>
  <r>
    <s v="MonthlyTradeStatistics 2023_02.xlsx"/>
    <x v="58"/>
    <n v="4670.0167000000001"/>
    <s v="2023_02.xlsx"/>
    <x v="7"/>
    <x v="1"/>
  </r>
  <r>
    <s v="MonthlyTradeStatistics 2023_02.xlsx"/>
    <x v="59"/>
    <n v="0"/>
    <s v="2023_02.xlsx"/>
    <x v="7"/>
    <x v="1"/>
  </r>
  <r>
    <s v="MonthlyTradeStatistics 2023_03.xlsx"/>
    <x v="0"/>
    <n v="11963723.8156"/>
    <s v="2023_03.xlsx"/>
    <x v="7"/>
    <x v="2"/>
  </r>
  <r>
    <s v="MonthlyTradeStatistics 2023_03.xlsx"/>
    <x v="1"/>
    <n v="1043297.6985000001"/>
    <s v="2023_03.xlsx"/>
    <x v="7"/>
    <x v="2"/>
  </r>
  <r>
    <s v="MonthlyTradeStatistics 2023_03.xlsx"/>
    <x v="2"/>
    <n v="2484132.1390999998"/>
    <s v="2023_03.xlsx"/>
    <x v="7"/>
    <x v="2"/>
  </r>
  <r>
    <s v="MonthlyTradeStatistics 2023_03.xlsx"/>
    <x v="3"/>
    <n v="3232169.7143999999"/>
    <s v="2023_03.xlsx"/>
    <x v="7"/>
    <x v="2"/>
  </r>
  <r>
    <s v="MonthlyTradeStatistics 2023_03.xlsx"/>
    <x v="4"/>
    <n v="5204124.2636000002"/>
    <s v="2023_03.xlsx"/>
    <x v="7"/>
    <x v="2"/>
  </r>
  <r>
    <s v="MonthlyTradeStatistics 2023_03.xlsx"/>
    <x v="5"/>
    <n v="1777.7134000000001"/>
    <s v="2023_03.xlsx"/>
    <x v="7"/>
    <x v="2"/>
  </r>
  <r>
    <s v="MonthlyTradeStatistics 2023_03.xlsx"/>
    <x v="6"/>
    <n v="2224.8000000000002"/>
    <s v="2023_03.xlsx"/>
    <x v="7"/>
    <x v="2"/>
  </r>
  <r>
    <s v="MonthlyTradeStatistics 2023_03.xlsx"/>
    <x v="7"/>
    <n v="3166636.1178000001"/>
    <s v="2023_03.xlsx"/>
    <x v="7"/>
    <x v="2"/>
  </r>
  <r>
    <s v="MonthlyTradeStatistics 2023_03.xlsx"/>
    <x v="8"/>
    <n v="14388.7752"/>
    <s v="2023_03.xlsx"/>
    <x v="7"/>
    <x v="2"/>
  </r>
  <r>
    <s v="MonthlyTradeStatistics 2023_03.xlsx"/>
    <x v="9"/>
    <n v="1363.8163999999999"/>
    <s v="2023_03.xlsx"/>
    <x v="7"/>
    <x v="2"/>
  </r>
  <r>
    <s v="MonthlyTradeStatistics 2023_03.xlsx"/>
    <x v="10"/>
    <n v="5000"/>
    <s v="2023_03.xlsx"/>
    <x v="7"/>
    <x v="2"/>
  </r>
  <r>
    <s v="MonthlyTradeStatistics 2023_03.xlsx"/>
    <x v="11"/>
    <n v="915724.55240000004"/>
    <s v="2023_03.xlsx"/>
    <x v="7"/>
    <x v="2"/>
  </r>
  <r>
    <s v="MonthlyTradeStatistics 2023_03.xlsx"/>
    <x v="12"/>
    <n v="0"/>
    <s v="2023_03.xlsx"/>
    <x v="7"/>
    <x v="2"/>
  </r>
  <r>
    <s v="MonthlyTradeStatistics 2023_03.xlsx"/>
    <x v="13"/>
    <n v="115202.853"/>
    <s v="2023_03.xlsx"/>
    <x v="7"/>
    <x v="2"/>
  </r>
  <r>
    <s v="MonthlyTradeStatistics 2023_03.xlsx"/>
    <x v="14"/>
    <n v="123132.3336"/>
    <s v="2023_03.xlsx"/>
    <x v="7"/>
    <x v="2"/>
  </r>
  <r>
    <s v="MonthlyTradeStatistics 2023_03.xlsx"/>
    <x v="15"/>
    <n v="999.99170000000004"/>
    <s v="2023_03.xlsx"/>
    <x v="7"/>
    <x v="2"/>
  </r>
  <r>
    <s v="MonthlyTradeStatistics 2023_03.xlsx"/>
    <x v="16"/>
    <n v="16700"/>
    <s v="2023_03.xlsx"/>
    <x v="7"/>
    <x v="2"/>
  </r>
  <r>
    <s v="MonthlyTradeStatistics 2023_03.xlsx"/>
    <x v="17"/>
    <n v="8330.2739000000001"/>
    <s v="2023_03.xlsx"/>
    <x v="7"/>
    <x v="2"/>
  </r>
  <r>
    <s v="MonthlyTradeStatistics 2023_03.xlsx"/>
    <x v="18"/>
    <n v="53365.671999999999"/>
    <s v="2023_03.xlsx"/>
    <x v="7"/>
    <x v="2"/>
  </r>
  <r>
    <s v="MonthlyTradeStatistics 2023_03.xlsx"/>
    <x v="19"/>
    <n v="64927.540800000002"/>
    <s v="2023_03.xlsx"/>
    <x v="7"/>
    <x v="2"/>
  </r>
  <r>
    <s v="MonthlyTradeStatistics 2023_03.xlsx"/>
    <x v="20"/>
    <n v="0"/>
    <s v="2023_03.xlsx"/>
    <x v="7"/>
    <x v="2"/>
  </r>
  <r>
    <s v="MonthlyTradeStatistics 2023_03.xlsx"/>
    <x v="21"/>
    <n v="178531.28339999999"/>
    <s v="2023_03.xlsx"/>
    <x v="7"/>
    <x v="2"/>
  </r>
  <r>
    <s v="MonthlyTradeStatistics 2023_03.xlsx"/>
    <x v="22"/>
    <n v="0"/>
    <s v="2023_03.xlsx"/>
    <x v="7"/>
    <x v="2"/>
  </r>
  <r>
    <s v="MonthlyTradeStatistics 2023_03.xlsx"/>
    <x v="23"/>
    <n v="232.48869999999999"/>
    <s v="2023_03.xlsx"/>
    <x v="7"/>
    <x v="2"/>
  </r>
  <r>
    <s v="MonthlyTradeStatistics 2023_03.xlsx"/>
    <x v="24"/>
    <n v="360455.84330000001"/>
    <s v="2023_03.xlsx"/>
    <x v="7"/>
    <x v="2"/>
  </r>
  <r>
    <s v="MonthlyTradeStatistics 2023_03.xlsx"/>
    <x v="25"/>
    <n v="19931.383300000001"/>
    <s v="2023_03.xlsx"/>
    <x v="7"/>
    <x v="2"/>
  </r>
  <r>
    <s v="MonthlyTradeStatistics 2023_03.xlsx"/>
    <x v="26"/>
    <n v="6.5438000000000001"/>
    <s v="2023_03.xlsx"/>
    <x v="7"/>
    <x v="2"/>
  </r>
  <r>
    <s v="MonthlyTradeStatistics 2023_03.xlsx"/>
    <x v="27"/>
    <n v="120"/>
    <s v="2023_03.xlsx"/>
    <x v="7"/>
    <x v="2"/>
  </r>
  <r>
    <s v="MonthlyTradeStatistics 2023_03.xlsx"/>
    <x v="28"/>
    <n v="633984.22829999996"/>
    <s v="2023_03.xlsx"/>
    <x v="7"/>
    <x v="2"/>
  </r>
  <r>
    <s v="MonthlyTradeStatistics 2023_03.xlsx"/>
    <x v="29"/>
    <n v="786702.5834"/>
    <s v="2023_03.xlsx"/>
    <x v="7"/>
    <x v="2"/>
  </r>
  <r>
    <s v="MonthlyTradeStatistics 2023_03.xlsx"/>
    <x v="30"/>
    <n v="462927.0294"/>
    <s v="2023_03.xlsx"/>
    <x v="7"/>
    <x v="2"/>
  </r>
  <r>
    <s v="MonthlyTradeStatistics 2023_03.xlsx"/>
    <x v="31"/>
    <n v="1048.8991000000001"/>
    <s v="2023_03.xlsx"/>
    <x v="7"/>
    <x v="2"/>
  </r>
  <r>
    <s v="MonthlyTradeStatistics 2023_03.xlsx"/>
    <x v="32"/>
    <n v="72240.056100000002"/>
    <s v="2023_03.xlsx"/>
    <x v="7"/>
    <x v="2"/>
  </r>
  <r>
    <s v="MonthlyTradeStatistics 2023_03.xlsx"/>
    <x v="33"/>
    <n v="122100.0046"/>
    <s v="2023_03.xlsx"/>
    <x v="7"/>
    <x v="2"/>
  </r>
  <r>
    <s v="MonthlyTradeStatistics 2023_03.xlsx"/>
    <x v="34"/>
    <n v="0"/>
    <s v="2023_03.xlsx"/>
    <x v="7"/>
    <x v="2"/>
  </r>
  <r>
    <s v="MonthlyTradeStatistics 2023_03.xlsx"/>
    <x v="35"/>
    <n v="9.9199999999999997E-2"/>
    <s v="2023_03.xlsx"/>
    <x v="7"/>
    <x v="2"/>
  </r>
  <r>
    <s v="MonthlyTradeStatistics 2023_03.xlsx"/>
    <x v="36"/>
    <n v="609.3175"/>
    <s v="2023_03.xlsx"/>
    <x v="7"/>
    <x v="2"/>
  </r>
  <r>
    <s v="MonthlyTradeStatistics 2023_03.xlsx"/>
    <x v="37"/>
    <n v="275800.0074"/>
    <s v="2023_03.xlsx"/>
    <x v="7"/>
    <x v="2"/>
  </r>
  <r>
    <s v="MonthlyTradeStatistics 2023_03.xlsx"/>
    <x v="38"/>
    <n v="39.083300000000001"/>
    <s v="2023_03.xlsx"/>
    <x v="7"/>
    <x v="2"/>
  </r>
  <r>
    <s v="MonthlyTradeStatistics 2023_03.xlsx"/>
    <x v="39"/>
    <n v="349192.29300000001"/>
    <s v="2023_03.xlsx"/>
    <x v="7"/>
    <x v="2"/>
  </r>
  <r>
    <s v="MonthlyTradeStatistics 2023_03.xlsx"/>
    <x v="40"/>
    <n v="0"/>
    <s v="2023_03.xlsx"/>
    <x v="7"/>
    <x v="2"/>
  </r>
  <r>
    <s v="MonthlyTradeStatistics 2023_03.xlsx"/>
    <x v="41"/>
    <n v="4064.8516"/>
    <s v="2023_03.xlsx"/>
    <x v="7"/>
    <x v="2"/>
  </r>
  <r>
    <s v="MonthlyTradeStatistics 2023_03.xlsx"/>
    <x v="42"/>
    <n v="44707.67"/>
    <s v="2023_03.xlsx"/>
    <x v="7"/>
    <x v="2"/>
  </r>
  <r>
    <s v="MonthlyTradeStatistics 2023_03.xlsx"/>
    <x v="43"/>
    <n v="0.41670000000000001"/>
    <s v="2023_03.xlsx"/>
    <x v="7"/>
    <x v="2"/>
  </r>
  <r>
    <s v="MonthlyTradeStatistics 2023_03.xlsx"/>
    <x v="44"/>
    <n v="46324.825499999999"/>
    <s v="2023_03.xlsx"/>
    <x v="7"/>
    <x v="2"/>
  </r>
  <r>
    <s v="MonthlyTradeStatistics 2023_03.xlsx"/>
    <x v="45"/>
    <n v="27.7333"/>
    <s v="2023_03.xlsx"/>
    <x v="7"/>
    <x v="2"/>
  </r>
  <r>
    <s v="MonthlyTradeStatistics 2023_03.xlsx"/>
    <x v="46"/>
    <n v="18090.0137"/>
    <s v="2023_03.xlsx"/>
    <x v="7"/>
    <x v="2"/>
  </r>
  <r>
    <s v="MonthlyTradeStatistics 2023_03.xlsx"/>
    <x v="47"/>
    <n v="1100"/>
    <s v="2023_03.xlsx"/>
    <x v="7"/>
    <x v="2"/>
  </r>
  <r>
    <s v="MonthlyTradeStatistics 2023_03.xlsx"/>
    <x v="48"/>
    <n v="107.971"/>
    <s v="2023_03.xlsx"/>
    <x v="7"/>
    <x v="2"/>
  </r>
  <r>
    <s v="MonthlyTradeStatistics 2023_03.xlsx"/>
    <x v="49"/>
    <n v="90774.02"/>
    <s v="2023_03.xlsx"/>
    <x v="7"/>
    <x v="2"/>
  </r>
  <r>
    <s v="MonthlyTradeStatistics 2023_03.xlsx"/>
    <x v="50"/>
    <n v="17522.742699999999"/>
    <s v="2023_03.xlsx"/>
    <x v="7"/>
    <x v="2"/>
  </r>
  <r>
    <s v="MonthlyTradeStatistics 2023_03.xlsx"/>
    <x v="51"/>
    <n v="4619"/>
    <s v="2023_03.xlsx"/>
    <x v="7"/>
    <x v="2"/>
  </r>
  <r>
    <s v="MonthlyTradeStatistics 2023_03.xlsx"/>
    <x v="52"/>
    <n v="10524.3333"/>
    <s v="2023_03.xlsx"/>
    <x v="7"/>
    <x v="2"/>
  </r>
  <r>
    <s v="MonthlyTradeStatistics 2023_03.xlsx"/>
    <x v="53"/>
    <n v="676.10670000000005"/>
    <s v="2023_03.xlsx"/>
    <x v="7"/>
    <x v="2"/>
  </r>
  <r>
    <s v="MonthlyTradeStatistics 2023_03.xlsx"/>
    <x v="54"/>
    <n v="487796.99"/>
    <s v="2023_03.xlsx"/>
    <x v="7"/>
    <x v="2"/>
  </r>
  <r>
    <s v="MonthlyTradeStatistics 2023_03.xlsx"/>
    <x v="55"/>
    <n v="4400"/>
    <s v="2023_03.xlsx"/>
    <x v="7"/>
    <x v="2"/>
  </r>
  <r>
    <s v="MonthlyTradeStatistics 2023_03.xlsx"/>
    <x v="56"/>
    <n v="3469574.4712"/>
    <s v="2023_03.xlsx"/>
    <x v="7"/>
    <x v="2"/>
  </r>
  <r>
    <s v="MonthlyTradeStatistics 2023_03.xlsx"/>
    <x v="57"/>
    <n v="4812.7776000000003"/>
    <s v="2023_03.xlsx"/>
    <x v="7"/>
    <x v="2"/>
  </r>
  <r>
    <s v="MonthlyTradeStatistics 2023_03.xlsx"/>
    <x v="58"/>
    <n v="4901.3132999999998"/>
    <s v="2023_03.xlsx"/>
    <x v="7"/>
    <x v="2"/>
  </r>
  <r>
    <s v="MonthlyTradeStatistics 2023_03.xlsx"/>
    <x v="59"/>
    <n v="2.9950000000000001"/>
    <s v="2023_03.xlsx"/>
    <x v="7"/>
    <x v="2"/>
  </r>
  <r>
    <s v="MonthlyTradeStatistics 2023_04.xlsx"/>
    <x v="0"/>
    <n v="9816595.6026000008"/>
    <s v="2023_04.xlsx"/>
    <x v="7"/>
    <x v="3"/>
  </r>
  <r>
    <s v="MonthlyTradeStatistics 2023_04.xlsx"/>
    <x v="1"/>
    <n v="897105.74789999996"/>
    <s v="2023_04.xlsx"/>
    <x v="7"/>
    <x v="3"/>
  </r>
  <r>
    <s v="MonthlyTradeStatistics 2023_04.xlsx"/>
    <x v="2"/>
    <n v="2499345.0783000002"/>
    <s v="2023_04.xlsx"/>
    <x v="7"/>
    <x v="3"/>
  </r>
  <r>
    <s v="MonthlyTradeStatistics 2023_04.xlsx"/>
    <x v="3"/>
    <n v="2586288.2026"/>
    <s v="2023_04.xlsx"/>
    <x v="7"/>
    <x v="3"/>
  </r>
  <r>
    <s v="MonthlyTradeStatistics 2023_04.xlsx"/>
    <x v="4"/>
    <n v="3833856.5737999999"/>
    <s v="2023_04.xlsx"/>
    <x v="7"/>
    <x v="3"/>
  </r>
  <r>
    <s v="MonthlyTradeStatistics 2023_04.xlsx"/>
    <x v="5"/>
    <n v="331.6542"/>
    <s v="2023_04.xlsx"/>
    <x v="7"/>
    <x v="3"/>
  </r>
  <r>
    <s v="MonthlyTradeStatistics 2023_04.xlsx"/>
    <x v="6"/>
    <n v="571.34"/>
    <s v="2023_04.xlsx"/>
    <x v="7"/>
    <x v="3"/>
  </r>
  <r>
    <s v="MonthlyTradeStatistics 2023_04.xlsx"/>
    <x v="7"/>
    <n v="2495688.7404"/>
    <s v="2023_04.xlsx"/>
    <x v="7"/>
    <x v="3"/>
  </r>
  <r>
    <s v="MonthlyTradeStatistics 2023_04.xlsx"/>
    <x v="8"/>
    <n v="14388.7752"/>
    <s v="2023_04.xlsx"/>
    <x v="7"/>
    <x v="3"/>
  </r>
  <r>
    <s v="MonthlyTradeStatistics 2023_04.xlsx"/>
    <x v="9"/>
    <n v="6096.26"/>
    <s v="2023_04.xlsx"/>
    <x v="7"/>
    <x v="3"/>
  </r>
  <r>
    <s v="MonthlyTradeStatistics 2023_04.xlsx"/>
    <x v="10"/>
    <n v="5000"/>
    <s v="2023_04.xlsx"/>
    <x v="7"/>
    <x v="3"/>
  </r>
  <r>
    <s v="MonthlyTradeStatistics 2023_04.xlsx"/>
    <x v="11"/>
    <n v="733241.93090000004"/>
    <s v="2023_04.xlsx"/>
    <x v="7"/>
    <x v="3"/>
  </r>
  <r>
    <s v="MonthlyTradeStatistics 2023_04.xlsx"/>
    <x v="12"/>
    <n v="0"/>
    <s v="2023_04.xlsx"/>
    <x v="7"/>
    <x v="3"/>
  </r>
  <r>
    <s v="MonthlyTradeStatistics 2023_04.xlsx"/>
    <x v="13"/>
    <n v="85118.675399999993"/>
    <s v="2023_04.xlsx"/>
    <x v="7"/>
    <x v="3"/>
  </r>
  <r>
    <s v="MonthlyTradeStatistics 2023_04.xlsx"/>
    <x v="14"/>
    <n v="50910.1826"/>
    <s v="2023_04.xlsx"/>
    <x v="7"/>
    <x v="3"/>
  </r>
  <r>
    <s v="MonthlyTradeStatistics 2023_04.xlsx"/>
    <x v="15"/>
    <n v="499.9957"/>
    <s v="2023_04.xlsx"/>
    <x v="7"/>
    <x v="3"/>
  </r>
  <r>
    <s v="MonthlyTradeStatistics 2023_04.xlsx"/>
    <x v="16"/>
    <n v="16800"/>
    <s v="2023_04.xlsx"/>
    <x v="7"/>
    <x v="3"/>
  </r>
  <r>
    <s v="MonthlyTradeStatistics 2023_04.xlsx"/>
    <x v="17"/>
    <n v="12626.2899"/>
    <s v="2023_04.xlsx"/>
    <x v="7"/>
    <x v="3"/>
  </r>
  <r>
    <s v="MonthlyTradeStatistics 2023_04.xlsx"/>
    <x v="18"/>
    <n v="53360.083599999998"/>
    <s v="2023_04.xlsx"/>
    <x v="7"/>
    <x v="3"/>
  </r>
  <r>
    <s v="MonthlyTradeStatistics 2023_04.xlsx"/>
    <x v="19"/>
    <n v="75112.339300000007"/>
    <s v="2023_04.xlsx"/>
    <x v="7"/>
    <x v="3"/>
  </r>
  <r>
    <s v="MonthlyTradeStatistics 2023_04.xlsx"/>
    <x v="20"/>
    <n v="0"/>
    <s v="2023_04.xlsx"/>
    <x v="7"/>
    <x v="3"/>
  </r>
  <r>
    <s v="MonthlyTradeStatistics 2023_04.xlsx"/>
    <x v="21"/>
    <n v="280000"/>
    <s v="2023_04.xlsx"/>
    <x v="7"/>
    <x v="3"/>
  </r>
  <r>
    <s v="MonthlyTradeStatistics 2023_04.xlsx"/>
    <x v="22"/>
    <n v="0"/>
    <s v="2023_04.xlsx"/>
    <x v="7"/>
    <x v="3"/>
  </r>
  <r>
    <s v="MonthlyTradeStatistics 2023_04.xlsx"/>
    <x v="23"/>
    <n v="410.17599999999999"/>
    <s v="2023_04.xlsx"/>
    <x v="7"/>
    <x v="3"/>
  </r>
  <r>
    <s v="MonthlyTradeStatistics 2023_04.xlsx"/>
    <x v="24"/>
    <n v="399411.74190000002"/>
    <s v="2023_04.xlsx"/>
    <x v="7"/>
    <x v="3"/>
  </r>
  <r>
    <s v="MonthlyTradeStatistics 2023_04.xlsx"/>
    <x v="25"/>
    <n v="9480.6666999999998"/>
    <s v="2023_04.xlsx"/>
    <x v="7"/>
    <x v="3"/>
  </r>
  <r>
    <s v="MonthlyTradeStatistics 2023_04.xlsx"/>
    <x v="26"/>
    <n v="80.899900000000002"/>
    <s v="2023_04.xlsx"/>
    <x v="7"/>
    <x v="3"/>
  </r>
  <r>
    <s v="MonthlyTradeStatistics 2023_04.xlsx"/>
    <x v="27"/>
    <n v="349.99990000000003"/>
    <s v="2023_04.xlsx"/>
    <x v="7"/>
    <x v="3"/>
  </r>
  <r>
    <s v="MonthlyTradeStatistics 2023_04.xlsx"/>
    <x v="28"/>
    <n v="745144.83829999994"/>
    <s v="2023_04.xlsx"/>
    <x v="7"/>
    <x v="3"/>
  </r>
  <r>
    <s v="MonthlyTradeStatistics 2023_04.xlsx"/>
    <x v="29"/>
    <n v="576083.93500000006"/>
    <s v="2023_04.xlsx"/>
    <x v="7"/>
    <x v="3"/>
  </r>
  <r>
    <s v="MonthlyTradeStatistics 2023_04.xlsx"/>
    <x v="30"/>
    <n v="282201.03080000001"/>
    <s v="2023_04.xlsx"/>
    <x v="7"/>
    <x v="3"/>
  </r>
  <r>
    <s v="MonthlyTradeStatistics 2023_04.xlsx"/>
    <x v="31"/>
    <n v="847.84889999999996"/>
    <s v="2023_04.xlsx"/>
    <x v="7"/>
    <x v="3"/>
  </r>
  <r>
    <s v="MonthlyTradeStatistics 2023_04.xlsx"/>
    <x v="32"/>
    <n v="99276.626999999993"/>
    <s v="2023_04.xlsx"/>
    <x v="7"/>
    <x v="3"/>
  </r>
  <r>
    <s v="MonthlyTradeStatistics 2023_04.xlsx"/>
    <x v="33"/>
    <n v="68799.998000000007"/>
    <s v="2023_04.xlsx"/>
    <x v="7"/>
    <x v="3"/>
  </r>
  <r>
    <s v="MonthlyTradeStatistics 2023_04.xlsx"/>
    <x v="34"/>
    <n v="0"/>
    <s v="2023_04.xlsx"/>
    <x v="7"/>
    <x v="3"/>
  </r>
  <r>
    <s v="MonthlyTradeStatistics 2023_04.xlsx"/>
    <x v="35"/>
    <n v="0"/>
    <s v="2023_04.xlsx"/>
    <x v="7"/>
    <x v="3"/>
  </r>
  <r>
    <s v="MonthlyTradeStatistics 2023_04.xlsx"/>
    <x v="36"/>
    <n v="609.3175"/>
    <s v="2023_04.xlsx"/>
    <x v="7"/>
    <x v="3"/>
  </r>
  <r>
    <s v="MonthlyTradeStatistics 2023_04.xlsx"/>
    <x v="37"/>
    <n v="263650.0048"/>
    <s v="2023_04.xlsx"/>
    <x v="7"/>
    <x v="3"/>
  </r>
  <r>
    <s v="MonthlyTradeStatistics 2023_04.xlsx"/>
    <x v="38"/>
    <n v="261.7167"/>
    <s v="2023_04.xlsx"/>
    <x v="7"/>
    <x v="3"/>
  </r>
  <r>
    <s v="MonthlyTradeStatistics 2023_04.xlsx"/>
    <x v="39"/>
    <n v="321179.92700000003"/>
    <s v="2023_04.xlsx"/>
    <x v="7"/>
    <x v="3"/>
  </r>
  <r>
    <s v="MonthlyTradeStatistics 2023_04.xlsx"/>
    <x v="40"/>
    <n v="458.33330000000001"/>
    <s v="2023_04.xlsx"/>
    <x v="7"/>
    <x v="3"/>
  </r>
  <r>
    <s v="MonthlyTradeStatistics 2023_04.xlsx"/>
    <x v="41"/>
    <n v="3320.2404999999999"/>
    <s v="2023_04.xlsx"/>
    <x v="7"/>
    <x v="3"/>
  </r>
  <r>
    <s v="MonthlyTradeStatistics 2023_04.xlsx"/>
    <x v="42"/>
    <n v="44209.16"/>
    <s v="2023_04.xlsx"/>
    <x v="7"/>
    <x v="3"/>
  </r>
  <r>
    <s v="MonthlyTradeStatistics 2023_04.xlsx"/>
    <x v="43"/>
    <n v="0"/>
    <s v="2023_04.xlsx"/>
    <x v="7"/>
    <x v="3"/>
  </r>
  <r>
    <s v="MonthlyTradeStatistics 2023_04.xlsx"/>
    <x v="44"/>
    <n v="39140.918700000002"/>
    <s v="2023_04.xlsx"/>
    <x v="7"/>
    <x v="3"/>
  </r>
  <r>
    <s v="MonthlyTradeStatistics 2023_04.xlsx"/>
    <x v="45"/>
    <n v="124.54"/>
    <s v="2023_04.xlsx"/>
    <x v="7"/>
    <x v="3"/>
  </r>
  <r>
    <s v="MonthlyTradeStatistics 2023_04.xlsx"/>
    <x v="46"/>
    <n v="16080.005800000001"/>
    <s v="2023_04.xlsx"/>
    <x v="7"/>
    <x v="3"/>
  </r>
  <r>
    <s v="MonthlyTradeStatistics 2023_04.xlsx"/>
    <x v="47"/>
    <n v="2800"/>
    <s v="2023_04.xlsx"/>
    <x v="7"/>
    <x v="3"/>
  </r>
  <r>
    <s v="MonthlyTradeStatistics 2023_04.xlsx"/>
    <x v="48"/>
    <n v="5.5214999999999996"/>
    <s v="2023_04.xlsx"/>
    <x v="7"/>
    <x v="3"/>
  </r>
  <r>
    <s v="MonthlyTradeStatistics 2023_04.xlsx"/>
    <x v="49"/>
    <n v="74643.86"/>
    <s v="2023_04.xlsx"/>
    <x v="7"/>
    <x v="3"/>
  </r>
  <r>
    <s v="MonthlyTradeStatistics 2023_04.xlsx"/>
    <x v="50"/>
    <n v="17366.238300000001"/>
    <s v="2023_04.xlsx"/>
    <x v="7"/>
    <x v="3"/>
  </r>
  <r>
    <s v="MonthlyTradeStatistics 2023_04.xlsx"/>
    <x v="51"/>
    <n v="4514.5"/>
    <s v="2023_04.xlsx"/>
    <x v="7"/>
    <x v="3"/>
  </r>
  <r>
    <s v="MonthlyTradeStatistics 2023_04.xlsx"/>
    <x v="52"/>
    <n v="11840.3333"/>
    <s v="2023_04.xlsx"/>
    <x v="7"/>
    <x v="3"/>
  </r>
  <r>
    <s v="MonthlyTradeStatistics 2023_04.xlsx"/>
    <x v="53"/>
    <n v="258.0204"/>
    <s v="2023_04.xlsx"/>
    <x v="7"/>
    <x v="3"/>
  </r>
  <r>
    <s v="MonthlyTradeStatistics 2023_04.xlsx"/>
    <x v="54"/>
    <n v="373610"/>
    <s v="2023_04.xlsx"/>
    <x v="7"/>
    <x v="3"/>
  </r>
  <r>
    <s v="MonthlyTradeStatistics 2023_04.xlsx"/>
    <x v="55"/>
    <n v="1600"/>
    <s v="2023_04.xlsx"/>
    <x v="7"/>
    <x v="3"/>
  </r>
  <r>
    <s v="MonthlyTradeStatistics 2023_04.xlsx"/>
    <x v="56"/>
    <n v="2618318.2127"/>
    <s v="2023_04.xlsx"/>
    <x v="7"/>
    <x v="3"/>
  </r>
  <r>
    <s v="MonthlyTradeStatistics 2023_04.xlsx"/>
    <x v="57"/>
    <n v="2412.7224999999999"/>
    <s v="2023_04.xlsx"/>
    <x v="7"/>
    <x v="3"/>
  </r>
  <r>
    <s v="MonthlyTradeStatistics 2023_04.xlsx"/>
    <x v="58"/>
    <n v="8358"/>
    <s v="2023_04.xlsx"/>
    <x v="7"/>
    <x v="3"/>
  </r>
  <r>
    <s v="MonthlyTradeStatistics 2023_04.xlsx"/>
    <x v="59"/>
    <n v="0"/>
    <s v="2023_04.xlsx"/>
    <x v="7"/>
    <x v="3"/>
  </r>
  <r>
    <s v="MonthlyTradeStatistics 2023_05.xlsx"/>
    <x v="0"/>
    <n v="10941104.7005"/>
    <s v="2023_05.xlsx"/>
    <x v="7"/>
    <x v="4"/>
  </r>
  <r>
    <s v="MonthlyTradeStatistics 2023_05.xlsx"/>
    <x v="1"/>
    <n v="1001349.8747"/>
    <s v="2023_05.xlsx"/>
    <x v="7"/>
    <x v="4"/>
  </r>
  <r>
    <s v="MonthlyTradeStatistics 2023_05.xlsx"/>
    <x v="2"/>
    <n v="2777473.4725000001"/>
    <s v="2023_05.xlsx"/>
    <x v="7"/>
    <x v="4"/>
  </r>
  <r>
    <s v="MonthlyTradeStatistics 2023_05.xlsx"/>
    <x v="3"/>
    <n v="2886151.7584000002"/>
    <s v="2023_05.xlsx"/>
    <x v="7"/>
    <x v="4"/>
  </r>
  <r>
    <s v="MonthlyTradeStatistics 2023_05.xlsx"/>
    <x v="4"/>
    <n v="4276129.5948999999"/>
    <s v="2023_05.xlsx"/>
    <x v="7"/>
    <x v="4"/>
  </r>
  <r>
    <s v="MonthlyTradeStatistics 2023_05.xlsx"/>
    <x v="5"/>
    <n v="1711.1267"/>
    <s v="2023_05.xlsx"/>
    <x v="7"/>
    <x v="4"/>
  </r>
  <r>
    <s v="MonthlyTradeStatistics 2023_05.xlsx"/>
    <x v="6"/>
    <n v="1881.5"/>
    <s v="2023_05.xlsx"/>
    <x v="7"/>
    <x v="4"/>
  </r>
  <r>
    <s v="MonthlyTradeStatistics 2023_05.xlsx"/>
    <x v="7"/>
    <n v="2667981.5397999999"/>
    <s v="2023_05.xlsx"/>
    <x v="7"/>
    <x v="4"/>
  </r>
  <r>
    <s v="MonthlyTradeStatistics 2023_05.xlsx"/>
    <x v="8"/>
    <n v="14388.7752"/>
    <s v="2023_05.xlsx"/>
    <x v="7"/>
    <x v="4"/>
  </r>
  <r>
    <s v="MonthlyTradeStatistics 2023_05.xlsx"/>
    <x v="9"/>
    <n v="22180.6263"/>
    <s v="2023_05.xlsx"/>
    <x v="7"/>
    <x v="4"/>
  </r>
  <r>
    <s v="MonthlyTradeStatistics 2023_05.xlsx"/>
    <x v="10"/>
    <n v="2000"/>
    <s v="2023_05.xlsx"/>
    <x v="7"/>
    <x v="4"/>
  </r>
  <r>
    <s v="MonthlyTradeStatistics 2023_05.xlsx"/>
    <x v="11"/>
    <n v="853739.50179999997"/>
    <s v="2023_05.xlsx"/>
    <x v="7"/>
    <x v="4"/>
  </r>
  <r>
    <s v="MonthlyTradeStatistics 2023_05.xlsx"/>
    <x v="12"/>
    <n v="0"/>
    <s v="2023_05.xlsx"/>
    <x v="7"/>
    <x v="4"/>
  </r>
  <r>
    <s v="MonthlyTradeStatistics 2023_05.xlsx"/>
    <x v="13"/>
    <n v="141326.29"/>
    <s v="2023_05.xlsx"/>
    <x v="7"/>
    <x v="4"/>
  </r>
  <r>
    <s v="MonthlyTradeStatistics 2023_05.xlsx"/>
    <x v="14"/>
    <n v="97664.583899999998"/>
    <s v="2023_05.xlsx"/>
    <x v="7"/>
    <x v="4"/>
  </r>
  <r>
    <s v="MonthlyTradeStatistics 2023_05.xlsx"/>
    <x v="15"/>
    <n v="499.9957"/>
    <s v="2023_05.xlsx"/>
    <x v="7"/>
    <x v="4"/>
  </r>
  <r>
    <s v="MonthlyTradeStatistics 2023_05.xlsx"/>
    <x v="16"/>
    <n v="16700"/>
    <s v="2023_05.xlsx"/>
    <x v="7"/>
    <x v="4"/>
  </r>
  <r>
    <s v="MonthlyTradeStatistics 2023_05.xlsx"/>
    <x v="17"/>
    <n v="13106.4935"/>
    <s v="2023_05.xlsx"/>
    <x v="7"/>
    <x v="4"/>
  </r>
  <r>
    <s v="MonthlyTradeStatistics 2023_05.xlsx"/>
    <x v="18"/>
    <n v="48228.61"/>
    <s v="2023_05.xlsx"/>
    <x v="7"/>
    <x v="4"/>
  </r>
  <r>
    <s v="MonthlyTradeStatistics 2023_05.xlsx"/>
    <x v="19"/>
    <n v="71083.884600000005"/>
    <s v="2023_05.xlsx"/>
    <x v="7"/>
    <x v="4"/>
  </r>
  <r>
    <s v="MonthlyTradeStatistics 2023_05.xlsx"/>
    <x v="20"/>
    <n v="0"/>
    <s v="2023_05.xlsx"/>
    <x v="7"/>
    <x v="4"/>
  </r>
  <r>
    <s v="MonthlyTradeStatistics 2023_05.xlsx"/>
    <x v="21"/>
    <n v="350000"/>
    <s v="2023_05.xlsx"/>
    <x v="7"/>
    <x v="4"/>
  </r>
  <r>
    <s v="MonthlyTradeStatistics 2023_05.xlsx"/>
    <x v="23"/>
    <n v="547.92449999999997"/>
    <s v="2023_05.xlsx"/>
    <x v="7"/>
    <x v="4"/>
  </r>
  <r>
    <s v="MonthlyTradeStatistics 2023_05.xlsx"/>
    <x v="24"/>
    <n v="405153.91369999998"/>
    <s v="2023_05.xlsx"/>
    <x v="7"/>
    <x v="4"/>
  </r>
  <r>
    <s v="MonthlyTradeStatistics 2023_05.xlsx"/>
    <x v="25"/>
    <n v="8220"/>
    <s v="2023_05.xlsx"/>
    <x v="7"/>
    <x v="4"/>
  </r>
  <r>
    <s v="MonthlyTradeStatistics 2023_05.xlsx"/>
    <x v="26"/>
    <n v="82.555199999999999"/>
    <s v="2023_05.xlsx"/>
    <x v="7"/>
    <x v="4"/>
  </r>
  <r>
    <s v="MonthlyTradeStatistics 2023_05.xlsx"/>
    <x v="27"/>
    <n v="240.00389999999999"/>
    <s v="2023_05.xlsx"/>
    <x v="7"/>
    <x v="4"/>
  </r>
  <r>
    <s v="MonthlyTradeStatistics 2023_05.xlsx"/>
    <x v="28"/>
    <n v="826028.94"/>
    <s v="2023_05.xlsx"/>
    <x v="7"/>
    <x v="4"/>
  </r>
  <r>
    <s v="MonthlyTradeStatistics 2023_05.xlsx"/>
    <x v="29"/>
    <n v="642470.02489999996"/>
    <s v="2023_05.xlsx"/>
    <x v="7"/>
    <x v="4"/>
  </r>
  <r>
    <s v="MonthlyTradeStatistics 2023_05.xlsx"/>
    <x v="30"/>
    <n v="619533.94790000003"/>
    <s v="2023_05.xlsx"/>
    <x v="7"/>
    <x v="4"/>
  </r>
  <r>
    <s v="MonthlyTradeStatistics 2023_05.xlsx"/>
    <x v="31"/>
    <n v="747.68679999999995"/>
    <s v="2023_05.xlsx"/>
    <x v="7"/>
    <x v="4"/>
  </r>
  <r>
    <s v="MonthlyTradeStatistics 2023_05.xlsx"/>
    <x v="32"/>
    <n v="91206.739600000001"/>
    <s v="2023_05.xlsx"/>
    <x v="7"/>
    <x v="4"/>
  </r>
  <r>
    <s v="MonthlyTradeStatistics 2023_05.xlsx"/>
    <x v="33"/>
    <n v="89399.997600000002"/>
    <s v="2023_05.xlsx"/>
    <x v="7"/>
    <x v="4"/>
  </r>
  <r>
    <s v="MonthlyTradeStatistics 2023_05.xlsx"/>
    <x v="35"/>
    <n v="5.9499999999999997E-2"/>
    <s v="2023_05.xlsx"/>
    <x v="7"/>
    <x v="4"/>
  </r>
  <r>
    <s v="MonthlyTradeStatistics 2023_05.xlsx"/>
    <x v="36"/>
    <n v="609.3175"/>
    <s v="2023_05.xlsx"/>
    <x v="7"/>
    <x v="4"/>
  </r>
  <r>
    <s v="MonthlyTradeStatistics 2023_05.xlsx"/>
    <x v="37"/>
    <n v="277800.01199999999"/>
    <s v="2023_05.xlsx"/>
    <x v="7"/>
    <x v="4"/>
  </r>
  <r>
    <s v="MonthlyTradeStatistics 2023_05.xlsx"/>
    <x v="38"/>
    <n v="330"/>
    <s v="2023_05.xlsx"/>
    <x v="7"/>
    <x v="4"/>
  </r>
  <r>
    <s v="MonthlyTradeStatistics 2023_05.xlsx"/>
    <x v="39"/>
    <n v="328427.76699999999"/>
    <s v="2023_05.xlsx"/>
    <x v="7"/>
    <x v="4"/>
  </r>
  <r>
    <s v="MonthlyTradeStatistics 2023_05.xlsx"/>
    <x v="40"/>
    <n v="0"/>
    <s v="2023_05.xlsx"/>
    <x v="7"/>
    <x v="4"/>
  </r>
  <r>
    <s v="MonthlyTradeStatistics 2023_05.xlsx"/>
    <x v="41"/>
    <n v="3981.9103"/>
    <s v="2023_05.xlsx"/>
    <x v="7"/>
    <x v="4"/>
  </r>
  <r>
    <s v="MonthlyTradeStatistics 2023_05.xlsx"/>
    <x v="42"/>
    <n v="52822"/>
    <s v="2023_05.xlsx"/>
    <x v="7"/>
    <x v="4"/>
  </r>
  <r>
    <s v="MonthlyTradeStatistics 2023_05.xlsx"/>
    <x v="43"/>
    <n v="0"/>
    <s v="2023_05.xlsx"/>
    <x v="7"/>
    <x v="4"/>
  </r>
  <r>
    <s v="MonthlyTradeStatistics 2023_05.xlsx"/>
    <x v="44"/>
    <n v="103649.3594"/>
    <s v="2023_05.xlsx"/>
    <x v="7"/>
    <x v="4"/>
  </r>
  <r>
    <s v="MonthlyTradeStatistics 2023_05.xlsx"/>
    <x v="45"/>
    <n v="83.6267"/>
    <s v="2023_05.xlsx"/>
    <x v="7"/>
    <x v="4"/>
  </r>
  <r>
    <s v="MonthlyTradeStatistics 2023_05.xlsx"/>
    <x v="46"/>
    <n v="7040.0099"/>
    <s v="2023_05.xlsx"/>
    <x v="7"/>
    <x v="4"/>
  </r>
  <r>
    <s v="MonthlyTradeStatistics 2023_05.xlsx"/>
    <x v="47"/>
    <n v="3400"/>
    <s v="2023_05.xlsx"/>
    <x v="7"/>
    <x v="4"/>
  </r>
  <r>
    <s v="MonthlyTradeStatistics 2023_05.xlsx"/>
    <x v="48"/>
    <n v="31.088899999999999"/>
    <s v="2023_05.xlsx"/>
    <x v="7"/>
    <x v="4"/>
  </r>
  <r>
    <s v="MonthlyTradeStatistics 2023_05.xlsx"/>
    <x v="49"/>
    <n v="111757.8833"/>
    <s v="2023_05.xlsx"/>
    <x v="7"/>
    <x v="4"/>
  </r>
  <r>
    <s v="MonthlyTradeStatistics 2023_05.xlsx"/>
    <x v="50"/>
    <n v="17842.993900000001"/>
    <s v="2023_05.xlsx"/>
    <x v="7"/>
    <x v="4"/>
  </r>
  <r>
    <s v="MonthlyTradeStatistics 2023_05.xlsx"/>
    <x v="51"/>
    <n v="4743.3333000000002"/>
    <s v="2023_05.xlsx"/>
    <x v="7"/>
    <x v="4"/>
  </r>
  <r>
    <s v="MonthlyTradeStatistics 2023_05.xlsx"/>
    <x v="52"/>
    <n v="25480.240000000002"/>
    <s v="2023_05.xlsx"/>
    <x v="7"/>
    <x v="4"/>
  </r>
  <r>
    <s v="MonthlyTradeStatistics 2023_05.xlsx"/>
    <x v="53"/>
    <n v="514.44079999999997"/>
    <s v="2023_05.xlsx"/>
    <x v="7"/>
    <x v="4"/>
  </r>
  <r>
    <s v="MonthlyTradeStatistics 2023_05.xlsx"/>
    <x v="54"/>
    <n v="453169"/>
    <s v="2023_05.xlsx"/>
    <x v="7"/>
    <x v="4"/>
  </r>
  <r>
    <s v="MonthlyTradeStatistics 2023_05.xlsx"/>
    <x v="55"/>
    <n v="2400"/>
    <s v="2023_05.xlsx"/>
    <x v="7"/>
    <x v="4"/>
  </r>
  <r>
    <s v="MonthlyTradeStatistics 2023_05.xlsx"/>
    <x v="56"/>
    <n v="2550065.1157999998"/>
    <s v="2023_05.xlsx"/>
    <x v="7"/>
    <x v="4"/>
  </r>
  <r>
    <s v="MonthlyTradeStatistics 2023_05.xlsx"/>
    <x v="57"/>
    <n v="5678.8806000000004"/>
    <s v="2023_05.xlsx"/>
    <x v="7"/>
    <x v="4"/>
  </r>
  <r>
    <s v="MonthlyTradeStatistics 2023_05.xlsx"/>
    <x v="58"/>
    <n v="5153"/>
    <s v="2023_05.xlsx"/>
    <x v="7"/>
    <x v="4"/>
  </r>
  <r>
    <s v="MonthlyTradeStatistics 2023_05.xlsx"/>
    <x v="59"/>
    <n v="0"/>
    <s v="2023_05.xlsx"/>
    <x v="7"/>
    <x v="4"/>
  </r>
  <r>
    <s v="MonthlyTradeStatistics 2023_06.xlsx"/>
    <x v="0"/>
    <n v="10295761.3884"/>
    <s v="2023_06.xlsx"/>
    <x v="7"/>
    <x v="5"/>
  </r>
  <r>
    <s v="MonthlyTradeStatistics 2023_06.xlsx"/>
    <x v="1"/>
    <n v="898416.02139999997"/>
    <s v="2023_06.xlsx"/>
    <x v="7"/>
    <x v="5"/>
  </r>
  <r>
    <s v="MonthlyTradeStatistics 2023_06.xlsx"/>
    <x v="2"/>
    <n v="2535520.8037"/>
    <s v="2023_06.xlsx"/>
    <x v="7"/>
    <x v="5"/>
  </r>
  <r>
    <s v="MonthlyTradeStatistics 2023_06.xlsx"/>
    <x v="3"/>
    <n v="2751931.8097000001"/>
    <s v="2023_06.xlsx"/>
    <x v="7"/>
    <x v="5"/>
  </r>
  <r>
    <s v="MonthlyTradeStatistics 2023_06.xlsx"/>
    <x v="4"/>
    <n v="4109892.7535999999"/>
    <s v="2023_06.xlsx"/>
    <x v="7"/>
    <x v="5"/>
  </r>
  <r>
    <s v="MonthlyTradeStatistics 2023_06.xlsx"/>
    <x v="5"/>
    <n v="4.6867000000000001"/>
    <s v="2023_06.xlsx"/>
    <x v="7"/>
    <x v="5"/>
  </r>
  <r>
    <s v="MonthlyTradeStatistics 2023_06.xlsx"/>
    <x v="6"/>
    <n v="1106.1333"/>
    <s v="2023_06.xlsx"/>
    <x v="7"/>
    <x v="5"/>
  </r>
  <r>
    <s v="MonthlyTradeStatistics 2023_06.xlsx"/>
    <x v="7"/>
    <n v="2658586.2069000001"/>
    <s v="2023_06.xlsx"/>
    <x v="7"/>
    <x v="5"/>
  </r>
  <r>
    <s v="MonthlyTradeStatistics 2023_06.xlsx"/>
    <x v="8"/>
    <n v="14388.7752"/>
    <s v="2023_06.xlsx"/>
    <x v="7"/>
    <x v="5"/>
  </r>
  <r>
    <s v="MonthlyTradeStatistics 2023_06.xlsx"/>
    <x v="9"/>
    <n v="15743.5"/>
    <s v="2023_06.xlsx"/>
    <x v="7"/>
    <x v="5"/>
  </r>
  <r>
    <s v="MonthlyTradeStatistics 2023_06.xlsx"/>
    <x v="10"/>
    <n v="300"/>
    <s v="2023_06.xlsx"/>
    <x v="7"/>
    <x v="5"/>
  </r>
  <r>
    <s v="MonthlyTradeStatistics 2023_06.xlsx"/>
    <x v="11"/>
    <n v="759481.86529999995"/>
    <s v="2023_06.xlsx"/>
    <x v="7"/>
    <x v="5"/>
  </r>
  <r>
    <s v="MonthlyTradeStatistics 2023_06.xlsx"/>
    <x v="12"/>
    <n v="0"/>
    <s v="2023_06.xlsx"/>
    <x v="7"/>
    <x v="5"/>
  </r>
  <r>
    <s v="MonthlyTradeStatistics 2023_06.xlsx"/>
    <x v="13"/>
    <n v="140121.37419999999"/>
    <s v="2023_06.xlsx"/>
    <x v="7"/>
    <x v="5"/>
  </r>
  <r>
    <s v="MonthlyTradeStatistics 2023_06.xlsx"/>
    <x v="14"/>
    <n v="74032.767399999997"/>
    <s v="2023_06.xlsx"/>
    <x v="7"/>
    <x v="5"/>
  </r>
  <r>
    <s v="MonthlyTradeStatistics 2023_06.xlsx"/>
    <x v="15"/>
    <n v="300"/>
    <s v="2023_06.xlsx"/>
    <x v="7"/>
    <x v="5"/>
  </r>
  <r>
    <s v="MonthlyTradeStatistics 2023_06.xlsx"/>
    <x v="16"/>
    <n v="20900"/>
    <s v="2023_06.xlsx"/>
    <x v="7"/>
    <x v="5"/>
  </r>
  <r>
    <s v="MonthlyTradeStatistics 2023_06.xlsx"/>
    <x v="17"/>
    <n v="10579.7114"/>
    <s v="2023_06.xlsx"/>
    <x v="7"/>
    <x v="5"/>
  </r>
  <r>
    <s v="MonthlyTradeStatistics 2023_06.xlsx"/>
    <x v="18"/>
    <n v="60622.868000000002"/>
    <s v="2023_06.xlsx"/>
    <x v="7"/>
    <x v="5"/>
  </r>
  <r>
    <s v="MonthlyTradeStatistics 2023_06.xlsx"/>
    <x v="19"/>
    <n v="66145.190700000006"/>
    <s v="2023_06.xlsx"/>
    <x v="7"/>
    <x v="5"/>
  </r>
  <r>
    <s v="MonthlyTradeStatistics 2023_06.xlsx"/>
    <x v="20"/>
    <n v="0"/>
    <s v="2023_06.xlsx"/>
    <x v="7"/>
    <x v="5"/>
  </r>
  <r>
    <s v="MonthlyTradeStatistics 2023_06.xlsx"/>
    <x v="21"/>
    <n v="400000"/>
    <s v="2023_06.xlsx"/>
    <x v="7"/>
    <x v="5"/>
  </r>
  <r>
    <s v="MonthlyTradeStatistics 2023_06.xlsx"/>
    <x v="23"/>
    <n v="164.74529999999999"/>
    <s v="2023_06.xlsx"/>
    <x v="7"/>
    <x v="5"/>
  </r>
  <r>
    <s v="MonthlyTradeStatistics 2023_06.xlsx"/>
    <x v="24"/>
    <n v="417060.5122"/>
    <s v="2023_06.xlsx"/>
    <x v="7"/>
    <x v="5"/>
  </r>
  <r>
    <s v="MonthlyTradeStatistics 2023_06.xlsx"/>
    <x v="25"/>
    <n v="9439.1666999999998"/>
    <s v="2023_06.xlsx"/>
    <x v="7"/>
    <x v="5"/>
  </r>
  <r>
    <s v="MonthlyTradeStatistics 2023_06.xlsx"/>
    <x v="26"/>
    <n v="44.136099999999999"/>
    <s v="2023_06.xlsx"/>
    <x v="7"/>
    <x v="5"/>
  </r>
  <r>
    <s v="MonthlyTradeStatistics 2023_06.xlsx"/>
    <x v="27"/>
    <n v="79.995999999999995"/>
    <s v="2023_06.xlsx"/>
    <x v="7"/>
    <x v="5"/>
  </r>
  <r>
    <s v="MonthlyTradeStatistics 2023_06.xlsx"/>
    <x v="28"/>
    <n v="617136.16"/>
    <s v="2023_06.xlsx"/>
    <x v="7"/>
    <x v="5"/>
  </r>
  <r>
    <s v="MonthlyTradeStatistics 2023_06.xlsx"/>
    <x v="29"/>
    <n v="586804.67260000005"/>
    <s v="2023_06.xlsx"/>
    <x v="7"/>
    <x v="5"/>
  </r>
  <r>
    <s v="MonthlyTradeStatistics 2023_06.xlsx"/>
    <x v="30"/>
    <n v="489471.08679999999"/>
    <s v="2023_06.xlsx"/>
    <x v="7"/>
    <x v="5"/>
  </r>
  <r>
    <s v="MonthlyTradeStatistics 2023_06.xlsx"/>
    <x v="31"/>
    <n v="1138.6627000000001"/>
    <s v="2023_06.xlsx"/>
    <x v="7"/>
    <x v="5"/>
  </r>
  <r>
    <s v="MonthlyTradeStatistics 2023_06.xlsx"/>
    <x v="32"/>
    <n v="112238.7561"/>
    <s v="2023_06.xlsx"/>
    <x v="7"/>
    <x v="5"/>
  </r>
  <r>
    <s v="MonthlyTradeStatistics 2023_06.xlsx"/>
    <x v="33"/>
    <n v="54599.994299999998"/>
    <s v="2023_06.xlsx"/>
    <x v="7"/>
    <x v="5"/>
  </r>
  <r>
    <s v="MonthlyTradeStatistics 2023_06.xlsx"/>
    <x v="35"/>
    <n v="0"/>
    <s v="2023_06.xlsx"/>
    <x v="7"/>
    <x v="5"/>
  </r>
  <r>
    <s v="MonthlyTradeStatistics 2023_06.xlsx"/>
    <x v="36"/>
    <n v="609.3175"/>
    <s v="2023_06.xlsx"/>
    <x v="7"/>
    <x v="5"/>
  </r>
  <r>
    <s v="MonthlyTradeStatistics 2023_06.xlsx"/>
    <x v="37"/>
    <n v="279649.98979999998"/>
    <s v="2023_06.xlsx"/>
    <x v="7"/>
    <x v="5"/>
  </r>
  <r>
    <s v="MonthlyTradeStatistics 2023_06.xlsx"/>
    <x v="38"/>
    <n v="139.08949999999999"/>
    <s v="2023_06.xlsx"/>
    <x v="7"/>
    <x v="5"/>
  </r>
  <r>
    <s v="MonthlyTradeStatistics 2023_06.xlsx"/>
    <x v="39"/>
    <n v="301177.9277"/>
    <s v="2023_06.xlsx"/>
    <x v="7"/>
    <x v="5"/>
  </r>
  <r>
    <s v="MonthlyTradeStatistics 2023_06.xlsx"/>
    <x v="40"/>
    <n v="0"/>
    <s v="2023_06.xlsx"/>
    <x v="7"/>
    <x v="5"/>
  </r>
  <r>
    <s v="MonthlyTradeStatistics 2023_06.xlsx"/>
    <x v="41"/>
    <n v="4367.7853999999998"/>
    <s v="2023_06.xlsx"/>
    <x v="7"/>
    <x v="5"/>
  </r>
  <r>
    <s v="MonthlyTradeStatistics 2023_06.xlsx"/>
    <x v="42"/>
    <n v="60680.67"/>
    <s v="2023_06.xlsx"/>
    <x v="7"/>
    <x v="5"/>
  </r>
  <r>
    <s v="MonthlyTradeStatistics 2023_06.xlsx"/>
    <x v="43"/>
    <n v="5.7533000000000003"/>
    <s v="2023_06.xlsx"/>
    <x v="7"/>
    <x v="5"/>
  </r>
  <r>
    <s v="MonthlyTradeStatistics 2023_06.xlsx"/>
    <x v="44"/>
    <n v="137482.5595"/>
    <s v="2023_06.xlsx"/>
    <x v="7"/>
    <x v="5"/>
  </r>
  <r>
    <s v="MonthlyTradeStatistics 2023_06.xlsx"/>
    <x v="45"/>
    <n v="246.51669999999999"/>
    <s v="2023_06.xlsx"/>
    <x v="7"/>
    <x v="5"/>
  </r>
  <r>
    <s v="MonthlyTradeStatistics 2023_06.xlsx"/>
    <x v="46"/>
    <n v="13070.0098"/>
    <s v="2023_06.xlsx"/>
    <x v="7"/>
    <x v="5"/>
  </r>
  <r>
    <s v="MonthlyTradeStatistics 2023_06.xlsx"/>
    <x v="47"/>
    <n v="3600"/>
    <s v="2023_06.xlsx"/>
    <x v="7"/>
    <x v="5"/>
  </r>
  <r>
    <s v="MonthlyTradeStatistics 2023_06.xlsx"/>
    <x v="48"/>
    <n v="30.995799999999999"/>
    <s v="2023_06.xlsx"/>
    <x v="7"/>
    <x v="5"/>
  </r>
  <r>
    <s v="MonthlyTradeStatistics 2023_06.xlsx"/>
    <x v="49"/>
    <n v="73067.066699999996"/>
    <s v="2023_06.xlsx"/>
    <x v="7"/>
    <x v="5"/>
  </r>
  <r>
    <s v="MonthlyTradeStatistics 2023_06.xlsx"/>
    <x v="50"/>
    <n v="18564.096600000001"/>
    <s v="2023_06.xlsx"/>
    <x v="7"/>
    <x v="5"/>
  </r>
  <r>
    <s v="MonthlyTradeStatistics 2023_06.xlsx"/>
    <x v="51"/>
    <n v="6723.8333000000002"/>
    <s v="2023_06.xlsx"/>
    <x v="7"/>
    <x v="5"/>
  </r>
  <r>
    <s v="MonthlyTradeStatistics 2023_06.xlsx"/>
    <x v="52"/>
    <n v="16848.583299999998"/>
    <s v="2023_06.xlsx"/>
    <x v="7"/>
    <x v="5"/>
  </r>
  <r>
    <s v="MonthlyTradeStatistics 2023_06.xlsx"/>
    <x v="53"/>
    <n v="429.80630000000002"/>
    <s v="2023_06.xlsx"/>
    <x v="7"/>
    <x v="5"/>
  </r>
  <r>
    <s v="MonthlyTradeStatistics 2023_06.xlsx"/>
    <x v="54"/>
    <n v="563832"/>
    <s v="2023_06.xlsx"/>
    <x v="7"/>
    <x v="5"/>
  </r>
  <r>
    <s v="MonthlyTradeStatistics 2023_06.xlsx"/>
    <x v="55"/>
    <n v="2900"/>
    <s v="2023_06.xlsx"/>
    <x v="7"/>
    <x v="5"/>
  </r>
  <r>
    <s v="MonthlyTradeStatistics 2023_06.xlsx"/>
    <x v="56"/>
    <n v="2293233.3692000001"/>
    <s v="2023_06.xlsx"/>
    <x v="7"/>
    <x v="5"/>
  </r>
  <r>
    <s v="MonthlyTradeStatistics 2023_06.xlsx"/>
    <x v="57"/>
    <n v="5489.2084000000004"/>
    <s v="2023_06.xlsx"/>
    <x v="7"/>
    <x v="5"/>
  </r>
  <r>
    <s v="MonthlyTradeStatistics 2023_06.xlsx"/>
    <x v="58"/>
    <n v="3121.8416999999999"/>
    <s v="2023_06.xlsx"/>
    <x v="7"/>
    <x v="5"/>
  </r>
  <r>
    <s v="MonthlyTradeStatistics 2023_06.xlsx"/>
    <x v="59"/>
    <n v="0"/>
    <s v="2023_06.xlsx"/>
    <x v="7"/>
    <x v="5"/>
  </r>
  <r>
    <s v="MonthlyTradeStatistics 2023_07.xlsx"/>
    <x v="0"/>
    <n v="10186917.1249"/>
    <s v="2023_07.xlsx"/>
    <x v="7"/>
    <x v="6"/>
  </r>
  <r>
    <s v="MonthlyTradeStatistics 2023_07.xlsx"/>
    <x v="1"/>
    <n v="971843.5588"/>
    <s v="2023_07.xlsx"/>
    <x v="7"/>
    <x v="6"/>
  </r>
  <r>
    <s v="MonthlyTradeStatistics 2023_07.xlsx"/>
    <x v="2"/>
    <n v="2256618.6752999998"/>
    <s v="2023_07.xlsx"/>
    <x v="7"/>
    <x v="6"/>
  </r>
  <r>
    <s v="MonthlyTradeStatistics 2023_07.xlsx"/>
    <x v="3"/>
    <n v="2931529.6639"/>
    <s v="2023_07.xlsx"/>
    <x v="7"/>
    <x v="6"/>
  </r>
  <r>
    <s v="MonthlyTradeStatistics 2023_07.xlsx"/>
    <x v="4"/>
    <n v="4026925.2269000001"/>
    <s v="2023_07.xlsx"/>
    <x v="7"/>
    <x v="6"/>
  </r>
  <r>
    <s v="MonthlyTradeStatistics 2023_07.xlsx"/>
    <x v="5"/>
    <n v="2265.6133"/>
    <s v="2023_07.xlsx"/>
    <x v="7"/>
    <x v="6"/>
  </r>
  <r>
    <s v="MonthlyTradeStatistics 2023_07.xlsx"/>
    <x v="6"/>
    <n v="497.9"/>
    <s v="2023_07.xlsx"/>
    <x v="7"/>
    <x v="6"/>
  </r>
  <r>
    <s v="MonthlyTradeStatistics 2023_07.xlsx"/>
    <x v="7"/>
    <n v="3152174.0872"/>
    <s v="2023_07.xlsx"/>
    <x v="7"/>
    <x v="6"/>
  </r>
  <r>
    <s v="MonthlyTradeStatistics 2023_07.xlsx"/>
    <x v="8"/>
    <n v="14388.7752"/>
    <s v="2023_07.xlsx"/>
    <x v="7"/>
    <x v="6"/>
  </r>
  <r>
    <s v="MonthlyTradeStatistics 2023_07.xlsx"/>
    <x v="9"/>
    <n v="23423.482"/>
    <s v="2023_07.xlsx"/>
    <x v="7"/>
    <x v="6"/>
  </r>
  <r>
    <s v="MonthlyTradeStatistics 2023_07.xlsx"/>
    <x v="10"/>
    <n v="100"/>
    <s v="2023_07.xlsx"/>
    <x v="7"/>
    <x v="6"/>
  </r>
  <r>
    <s v="MonthlyTradeStatistics 2023_07.xlsx"/>
    <x v="11"/>
    <n v="860922.65469999996"/>
    <s v="2023_07.xlsx"/>
    <x v="7"/>
    <x v="6"/>
  </r>
  <r>
    <s v="MonthlyTradeStatistics 2023_07.xlsx"/>
    <x v="12"/>
    <n v="0"/>
    <s v="2023_07.xlsx"/>
    <x v="7"/>
    <x v="6"/>
  </r>
  <r>
    <s v="MonthlyTradeStatistics 2023_07.xlsx"/>
    <x v="13"/>
    <n v="121412.7887"/>
    <s v="2023_07.xlsx"/>
    <x v="7"/>
    <x v="6"/>
  </r>
  <r>
    <s v="MonthlyTradeStatistics 2023_07.xlsx"/>
    <x v="14"/>
    <n v="108746.867"/>
    <s v="2023_07.xlsx"/>
    <x v="7"/>
    <x v="6"/>
  </r>
  <r>
    <s v="MonthlyTradeStatistics 2023_07.xlsx"/>
    <x v="15"/>
    <n v="499.9957"/>
    <s v="2023_07.xlsx"/>
    <x v="7"/>
    <x v="6"/>
  </r>
  <r>
    <s v="MonthlyTradeStatistics 2023_07.xlsx"/>
    <x v="16"/>
    <n v="20900"/>
    <s v="2023_07.xlsx"/>
    <x v="7"/>
    <x v="6"/>
  </r>
  <r>
    <s v="MonthlyTradeStatistics 2023_07.xlsx"/>
    <x v="17"/>
    <n v="1755.9004"/>
    <s v="2023_07.xlsx"/>
    <x v="7"/>
    <x v="6"/>
  </r>
  <r>
    <s v="MonthlyTradeStatistics 2023_07.xlsx"/>
    <x v="18"/>
    <n v="43111.83"/>
    <s v="2023_07.xlsx"/>
    <x v="7"/>
    <x v="6"/>
  </r>
  <r>
    <s v="MonthlyTradeStatistics 2023_07.xlsx"/>
    <x v="19"/>
    <n v="41381.862500000003"/>
    <s v="2023_07.xlsx"/>
    <x v="7"/>
    <x v="6"/>
  </r>
  <r>
    <s v="MonthlyTradeStatistics 2023_07.xlsx"/>
    <x v="20"/>
    <n v="0"/>
    <s v="2023_07.xlsx"/>
    <x v="7"/>
    <x v="6"/>
  </r>
  <r>
    <s v="MonthlyTradeStatistics 2023_07.xlsx"/>
    <x v="21"/>
    <n v="440000"/>
    <s v="2023_07.xlsx"/>
    <x v="7"/>
    <x v="6"/>
  </r>
  <r>
    <s v="MonthlyTradeStatistics 2023_07.xlsx"/>
    <x v="23"/>
    <n v="202.5703"/>
    <s v="2023_07.xlsx"/>
    <x v="7"/>
    <x v="6"/>
  </r>
  <r>
    <s v="MonthlyTradeStatistics 2023_07.xlsx"/>
    <x v="24"/>
    <n v="322293.35330000002"/>
    <s v="2023_07.xlsx"/>
    <x v="7"/>
    <x v="6"/>
  </r>
  <r>
    <s v="MonthlyTradeStatistics 2023_07.xlsx"/>
    <x v="25"/>
    <n v="13133.3333"/>
    <s v="2023_07.xlsx"/>
    <x v="7"/>
    <x v="6"/>
  </r>
  <r>
    <s v="MonthlyTradeStatistics 2023_07.xlsx"/>
    <x v="26"/>
    <n v="13.4217"/>
    <s v="2023_07.xlsx"/>
    <x v="7"/>
    <x v="6"/>
  </r>
  <r>
    <s v="MonthlyTradeStatistics 2023_07.xlsx"/>
    <x v="27"/>
    <n v="329.99990000000003"/>
    <s v="2023_07.xlsx"/>
    <x v="7"/>
    <x v="6"/>
  </r>
  <r>
    <s v="MonthlyTradeStatistics 2023_07.xlsx"/>
    <x v="28"/>
    <n v="528747.95830000006"/>
    <s v="2023_07.xlsx"/>
    <x v="7"/>
    <x v="6"/>
  </r>
  <r>
    <s v="MonthlyTradeStatistics 2023_07.xlsx"/>
    <x v="29"/>
    <n v="510201.16820000001"/>
    <s v="2023_07.xlsx"/>
    <x v="7"/>
    <x v="6"/>
  </r>
  <r>
    <s v="MonthlyTradeStatistics 2023_07.xlsx"/>
    <x v="30"/>
    <n v="504261.70360000001"/>
    <s v="2023_07.xlsx"/>
    <x v="7"/>
    <x v="6"/>
  </r>
  <r>
    <s v="MonthlyTradeStatistics 2023_07.xlsx"/>
    <x v="31"/>
    <n v="1952.4503999999999"/>
    <s v="2023_07.xlsx"/>
    <x v="7"/>
    <x v="6"/>
  </r>
  <r>
    <s v="MonthlyTradeStatistics 2023_07.xlsx"/>
    <x v="32"/>
    <n v="83394.637400000007"/>
    <s v="2023_07.xlsx"/>
    <x v="7"/>
    <x v="6"/>
  </r>
  <r>
    <s v="MonthlyTradeStatistics 2023_07.xlsx"/>
    <x v="33"/>
    <n v="42500.000699999997"/>
    <s v="2023_07.xlsx"/>
    <x v="7"/>
    <x v="6"/>
  </r>
  <r>
    <s v="MonthlyTradeStatistics 2023_07.xlsx"/>
    <x v="35"/>
    <n v="984.78330000000005"/>
    <s v="2023_07.xlsx"/>
    <x v="7"/>
    <x v="6"/>
  </r>
  <r>
    <s v="MonthlyTradeStatistics 2023_07.xlsx"/>
    <x v="36"/>
    <n v="609.3175"/>
    <s v="2023_07.xlsx"/>
    <x v="7"/>
    <x v="6"/>
  </r>
  <r>
    <s v="MonthlyTradeStatistics 2023_07.xlsx"/>
    <x v="37"/>
    <n v="261350.0049"/>
    <s v="2023_07.xlsx"/>
    <x v="7"/>
    <x v="6"/>
  </r>
  <r>
    <s v="MonthlyTradeStatistics 2023_07.xlsx"/>
    <x v="38"/>
    <n v="166.9725"/>
    <s v="2023_07.xlsx"/>
    <x v="7"/>
    <x v="6"/>
  </r>
  <r>
    <s v="MonthlyTradeStatistics 2023_07.xlsx"/>
    <x v="39"/>
    <n v="195933.72440000001"/>
    <s v="2023_07.xlsx"/>
    <x v="7"/>
    <x v="6"/>
  </r>
  <r>
    <s v="MonthlyTradeStatistics 2023_07.xlsx"/>
    <x v="40"/>
    <n v="423.33330000000001"/>
    <s v="2023_07.xlsx"/>
    <x v="7"/>
    <x v="6"/>
  </r>
  <r>
    <s v="MonthlyTradeStatistics 2023_07.xlsx"/>
    <x v="41"/>
    <n v="3840.0542"/>
    <s v="2023_07.xlsx"/>
    <x v="7"/>
    <x v="6"/>
  </r>
  <r>
    <s v="MonthlyTradeStatistics 2023_07.xlsx"/>
    <x v="42"/>
    <n v="77168.33"/>
    <s v="2023_07.xlsx"/>
    <x v="7"/>
    <x v="6"/>
  </r>
  <r>
    <s v="MonthlyTradeStatistics 2023_07.xlsx"/>
    <x v="43"/>
    <n v="0"/>
    <s v="2023_07.xlsx"/>
    <x v="7"/>
    <x v="6"/>
  </r>
  <r>
    <s v="MonthlyTradeStatistics 2023_07.xlsx"/>
    <x v="44"/>
    <n v="250902.23259999999"/>
    <s v="2023_07.xlsx"/>
    <x v="7"/>
    <x v="6"/>
  </r>
  <r>
    <s v="MonthlyTradeStatistics 2023_07.xlsx"/>
    <x v="45"/>
    <n v="695.36670000000004"/>
    <s v="2023_07.xlsx"/>
    <x v="7"/>
    <x v="6"/>
  </r>
  <r>
    <s v="MonthlyTradeStatistics 2023_07.xlsx"/>
    <x v="46"/>
    <n v="18080.003700000001"/>
    <s v="2023_07.xlsx"/>
    <x v="7"/>
    <x v="6"/>
  </r>
  <r>
    <s v="MonthlyTradeStatistics 2023_07.xlsx"/>
    <x v="47"/>
    <n v="3000"/>
    <s v="2023_07.xlsx"/>
    <x v="7"/>
    <x v="6"/>
  </r>
  <r>
    <s v="MonthlyTradeStatistics 2023_07.xlsx"/>
    <x v="48"/>
    <n v="31.603300000000001"/>
    <s v="2023_07.xlsx"/>
    <x v="7"/>
    <x v="6"/>
  </r>
  <r>
    <s v="MonthlyTradeStatistics 2023_07.xlsx"/>
    <x v="49"/>
    <n v="47220.833400000003"/>
    <s v="2023_07.xlsx"/>
    <x v="7"/>
    <x v="6"/>
  </r>
  <r>
    <s v="MonthlyTradeStatistics 2023_07.xlsx"/>
    <x v="50"/>
    <n v="12399.153700000001"/>
    <s v="2023_07.xlsx"/>
    <x v="7"/>
    <x v="6"/>
  </r>
  <r>
    <s v="MonthlyTradeStatistics 2023_07.xlsx"/>
    <x v="51"/>
    <n v="9690.0570000000007"/>
    <s v="2023_07.xlsx"/>
    <x v="7"/>
    <x v="6"/>
  </r>
  <r>
    <s v="MonthlyTradeStatistics 2023_07.xlsx"/>
    <x v="52"/>
    <n v="988.88670000000002"/>
    <s v="2023_07.xlsx"/>
    <x v="7"/>
    <x v="6"/>
  </r>
  <r>
    <s v="MonthlyTradeStatistics 2023_07.xlsx"/>
    <x v="53"/>
    <n v="296.14780000000002"/>
    <s v="2023_07.xlsx"/>
    <x v="7"/>
    <x v="6"/>
  </r>
  <r>
    <s v="MonthlyTradeStatistics 2023_07.xlsx"/>
    <x v="54"/>
    <n v="645832"/>
    <s v="2023_07.xlsx"/>
    <x v="7"/>
    <x v="6"/>
  </r>
  <r>
    <s v="MonthlyTradeStatistics 2023_07.xlsx"/>
    <x v="55"/>
    <n v="1300"/>
    <s v="2023_07.xlsx"/>
    <x v="7"/>
    <x v="6"/>
  </r>
  <r>
    <s v="MonthlyTradeStatistics 2023_07.xlsx"/>
    <x v="56"/>
    <n v="1814149.7485"/>
    <s v="2023_07.xlsx"/>
    <x v="7"/>
    <x v="6"/>
  </r>
  <r>
    <s v="MonthlyTradeStatistics 2023_07.xlsx"/>
    <x v="57"/>
    <n v="3000.2175999999999"/>
    <s v="2023_07.xlsx"/>
    <x v="7"/>
    <x v="6"/>
  </r>
  <r>
    <s v="MonthlyTradeStatistics 2023_07.xlsx"/>
    <x v="58"/>
    <n v="242"/>
    <s v="2023_07.xlsx"/>
    <x v="7"/>
    <x v="6"/>
  </r>
  <r>
    <s v="MonthlyTradeStatistics 2023_07.xlsx"/>
    <x v="59"/>
    <n v="0"/>
    <s v="2023_07.xlsx"/>
    <x v="7"/>
    <x v="6"/>
  </r>
  <r>
    <s v="MonthlyTradeStatistics 2023_08.xlsx"/>
    <x v="0"/>
    <n v="10442278.873500001"/>
    <s v="2023_08.xlsx"/>
    <x v="7"/>
    <x v="7"/>
  </r>
  <r>
    <s v="MonthlyTradeStatistics 2023_08.xlsx"/>
    <x v="1"/>
    <n v="916639.7426"/>
    <s v="2023_08.xlsx"/>
    <x v="7"/>
    <x v="7"/>
  </r>
  <r>
    <s v="MonthlyTradeStatistics 2023_08.xlsx"/>
    <x v="2"/>
    <n v="2124066.6527"/>
    <s v="2023_08.xlsx"/>
    <x v="7"/>
    <x v="7"/>
  </r>
  <r>
    <s v="MonthlyTradeStatistics 2023_08.xlsx"/>
    <x v="3"/>
    <n v="3455337.1685000001"/>
    <s v="2023_08.xlsx"/>
    <x v="7"/>
    <x v="7"/>
  </r>
  <r>
    <s v="MonthlyTradeStatistics 2023_08.xlsx"/>
    <x v="4"/>
    <n v="3946235.3097000001"/>
    <s v="2023_08.xlsx"/>
    <x v="7"/>
    <x v="7"/>
  </r>
  <r>
    <s v="MonthlyTradeStatistics 2023_08.xlsx"/>
    <x v="5"/>
    <n v="26"/>
    <s v="2023_08.xlsx"/>
    <x v="7"/>
    <x v="7"/>
  </r>
  <r>
    <s v="MonthlyTradeStatistics 2023_08.xlsx"/>
    <x v="6"/>
    <n v="659.41669999999999"/>
    <s v="2023_08.xlsx"/>
    <x v="7"/>
    <x v="7"/>
  </r>
  <r>
    <s v="MonthlyTradeStatistics 2023_08.xlsx"/>
    <x v="7"/>
    <n v="3815631.5874999999"/>
    <s v="2023_08.xlsx"/>
    <x v="7"/>
    <x v="7"/>
  </r>
  <r>
    <s v="MonthlyTradeStatistics 2023_08.xlsx"/>
    <x v="8"/>
    <n v="14388.7752"/>
    <s v="2023_08.xlsx"/>
    <x v="7"/>
    <x v="7"/>
  </r>
  <r>
    <s v="MonthlyTradeStatistics 2023_08.xlsx"/>
    <x v="9"/>
    <n v="43284.628299999997"/>
    <s v="2023_08.xlsx"/>
    <x v="7"/>
    <x v="7"/>
  </r>
  <r>
    <s v="MonthlyTradeStatistics 2023_08.xlsx"/>
    <x v="10"/>
    <n v="300"/>
    <s v="2023_08.xlsx"/>
    <x v="7"/>
    <x v="7"/>
  </r>
  <r>
    <s v="MonthlyTradeStatistics 2023_08.xlsx"/>
    <x v="11"/>
    <n v="827171.40980000002"/>
    <s v="2023_08.xlsx"/>
    <x v="7"/>
    <x v="7"/>
  </r>
  <r>
    <s v="MonthlyTradeStatistics 2023_08.xlsx"/>
    <x v="12"/>
    <n v="0"/>
    <s v="2023_08.xlsx"/>
    <x v="7"/>
    <x v="7"/>
  </r>
  <r>
    <s v="MonthlyTradeStatistics 2023_08.xlsx"/>
    <x v="13"/>
    <n v="114223.3621"/>
    <s v="2023_08.xlsx"/>
    <x v="7"/>
    <x v="7"/>
  </r>
  <r>
    <s v="MonthlyTradeStatistics 2023_08.xlsx"/>
    <x v="14"/>
    <n v="39428.183700000001"/>
    <s v="2023_08.xlsx"/>
    <x v="7"/>
    <x v="7"/>
  </r>
  <r>
    <s v="MonthlyTradeStatistics 2023_08.xlsx"/>
    <x v="15"/>
    <n v="200"/>
    <s v="2023_08.xlsx"/>
    <x v="7"/>
    <x v="7"/>
  </r>
  <r>
    <s v="MonthlyTradeStatistics 2023_08.xlsx"/>
    <x v="16"/>
    <n v="16600"/>
    <s v="2023_08.xlsx"/>
    <x v="7"/>
    <x v="7"/>
  </r>
  <r>
    <s v="MonthlyTradeStatistics 2023_08.xlsx"/>
    <x v="17"/>
    <n v="1444.7937999999999"/>
    <s v="2023_08.xlsx"/>
    <x v="7"/>
    <x v="7"/>
  </r>
  <r>
    <s v="MonthlyTradeStatistics 2023_08.xlsx"/>
    <x v="18"/>
    <n v="57446.784"/>
    <s v="2023_08.xlsx"/>
    <x v="7"/>
    <x v="7"/>
  </r>
  <r>
    <s v="MonthlyTradeStatistics 2023_08.xlsx"/>
    <x v="19"/>
    <n v="28456.661"/>
    <s v="2023_08.xlsx"/>
    <x v="7"/>
    <x v="7"/>
  </r>
  <r>
    <s v="MonthlyTradeStatistics 2023_08.xlsx"/>
    <x v="20"/>
    <n v="0"/>
    <s v="2023_08.xlsx"/>
    <x v="7"/>
    <x v="7"/>
  </r>
  <r>
    <s v="MonthlyTradeStatistics 2023_08.xlsx"/>
    <x v="21"/>
    <n v="370000"/>
    <s v="2023_08.xlsx"/>
    <x v="7"/>
    <x v="7"/>
  </r>
  <r>
    <s v="MonthlyTradeStatistics 2023_08.xlsx"/>
    <x v="23"/>
    <n v="326.06599999999997"/>
    <s v="2023_08.xlsx"/>
    <x v="7"/>
    <x v="7"/>
  </r>
  <r>
    <s v="MonthlyTradeStatistics 2023_08.xlsx"/>
    <x v="24"/>
    <n v="207504.31280000001"/>
    <s v="2023_08.xlsx"/>
    <x v="7"/>
    <x v="7"/>
  </r>
  <r>
    <s v="MonthlyTradeStatistics 2023_08.xlsx"/>
    <x v="25"/>
    <n v="19673.833500000001"/>
    <s v="2023_08.xlsx"/>
    <x v="7"/>
    <x v="7"/>
  </r>
  <r>
    <s v="MonthlyTradeStatistics 2023_08.xlsx"/>
    <x v="26"/>
    <n v="0"/>
    <s v="2023_08.xlsx"/>
    <x v="7"/>
    <x v="7"/>
  </r>
  <r>
    <s v="MonthlyTradeStatistics 2023_08.xlsx"/>
    <x v="27"/>
    <n v="69.995999999999995"/>
    <s v="2023_08.xlsx"/>
    <x v="7"/>
    <x v="7"/>
  </r>
  <r>
    <s v="MonthlyTradeStatistics 2023_08.xlsx"/>
    <x v="28"/>
    <n v="390371.08029999997"/>
    <s v="2023_08.xlsx"/>
    <x v="7"/>
    <x v="7"/>
  </r>
  <r>
    <s v="MonthlyTradeStatistics 2023_08.xlsx"/>
    <x v="29"/>
    <n v="454822.93689999997"/>
    <s v="2023_08.xlsx"/>
    <x v="7"/>
    <x v="7"/>
  </r>
  <r>
    <s v="MonthlyTradeStatistics 2023_08.xlsx"/>
    <x v="30"/>
    <n v="677442.45059999998"/>
    <s v="2023_08.xlsx"/>
    <x v="7"/>
    <x v="7"/>
  </r>
  <r>
    <s v="MonthlyTradeStatistics 2023_08.xlsx"/>
    <x v="31"/>
    <n v="1265.829"/>
    <s v="2023_08.xlsx"/>
    <x v="7"/>
    <x v="7"/>
  </r>
  <r>
    <s v="MonthlyTradeStatistics 2023_08.xlsx"/>
    <x v="32"/>
    <n v="69290.252800000002"/>
    <s v="2023_08.xlsx"/>
    <x v="7"/>
    <x v="7"/>
  </r>
  <r>
    <s v="MonthlyTradeStatistics 2023_08.xlsx"/>
    <x v="33"/>
    <n v="30600.010999999999"/>
    <s v="2023_08.xlsx"/>
    <x v="7"/>
    <x v="7"/>
  </r>
  <r>
    <s v="MonthlyTradeStatistics 2023_08.xlsx"/>
    <x v="35"/>
    <n v="9.9199999999999997E-2"/>
    <s v="2023_08.xlsx"/>
    <x v="7"/>
    <x v="7"/>
  </r>
  <r>
    <s v="MonthlyTradeStatistics 2023_08.xlsx"/>
    <x v="36"/>
    <n v="609.3175"/>
    <s v="2023_08.xlsx"/>
    <x v="7"/>
    <x v="7"/>
  </r>
  <r>
    <s v="MonthlyTradeStatistics 2023_08.xlsx"/>
    <x v="37"/>
    <n v="244350.00440000001"/>
    <s v="2023_08.xlsx"/>
    <x v="7"/>
    <x v="7"/>
  </r>
  <r>
    <s v="MonthlyTradeStatistics 2023_08.xlsx"/>
    <x v="38"/>
    <n v="113.66670000000001"/>
    <s v="2023_08.xlsx"/>
    <x v="7"/>
    <x v="7"/>
  </r>
  <r>
    <s v="MonthlyTradeStatistics 2023_08.xlsx"/>
    <x v="39"/>
    <n v="167089.467"/>
    <s v="2023_08.xlsx"/>
    <x v="7"/>
    <x v="7"/>
  </r>
  <r>
    <s v="MonthlyTradeStatistics 2023_08.xlsx"/>
    <x v="40"/>
    <n v="0"/>
    <s v="2023_08.xlsx"/>
    <x v="7"/>
    <x v="7"/>
  </r>
  <r>
    <s v="MonthlyTradeStatistics 2023_08.xlsx"/>
    <x v="41"/>
    <n v="3809.0855000000001"/>
    <s v="2023_08.xlsx"/>
    <x v="7"/>
    <x v="7"/>
  </r>
  <r>
    <s v="MonthlyTradeStatistics 2023_08.xlsx"/>
    <x v="42"/>
    <n v="109228.5"/>
    <s v="2023_08.xlsx"/>
    <x v="7"/>
    <x v="7"/>
  </r>
  <r>
    <s v="MonthlyTradeStatistics 2023_08.xlsx"/>
    <x v="43"/>
    <n v="3.4125000000000001"/>
    <s v="2023_08.xlsx"/>
    <x v="7"/>
    <x v="7"/>
  </r>
  <r>
    <s v="MonthlyTradeStatistics 2023_08.xlsx"/>
    <x v="44"/>
    <n v="422962.10960000003"/>
    <s v="2023_08.xlsx"/>
    <x v="7"/>
    <x v="7"/>
  </r>
  <r>
    <s v="MonthlyTradeStatistics 2023_08.xlsx"/>
    <x v="45"/>
    <n v="918.66499999999996"/>
    <s v="2023_08.xlsx"/>
    <x v="7"/>
    <x v="7"/>
  </r>
  <r>
    <s v="MonthlyTradeStatistics 2023_08.xlsx"/>
    <x v="46"/>
    <n v="20089.9997"/>
    <s v="2023_08.xlsx"/>
    <x v="7"/>
    <x v="7"/>
  </r>
  <r>
    <s v="MonthlyTradeStatistics 2023_08.xlsx"/>
    <x v="47"/>
    <n v="2200"/>
    <s v="2023_08.xlsx"/>
    <x v="7"/>
    <x v="7"/>
  </r>
  <r>
    <s v="MonthlyTradeStatistics 2023_08.xlsx"/>
    <x v="48"/>
    <n v="21.886500000000002"/>
    <s v="2023_08.xlsx"/>
    <x v="7"/>
    <x v="7"/>
  </r>
  <r>
    <s v="MonthlyTradeStatistics 2023_08.xlsx"/>
    <x v="49"/>
    <n v="41139.86"/>
    <s v="2023_08.xlsx"/>
    <x v="7"/>
    <x v="7"/>
  </r>
  <r>
    <s v="MonthlyTradeStatistics 2023_08.xlsx"/>
    <x v="50"/>
    <n v="19883.124"/>
    <s v="2023_08.xlsx"/>
    <x v="7"/>
    <x v="7"/>
  </r>
  <r>
    <s v="MonthlyTradeStatistics 2023_08.xlsx"/>
    <x v="51"/>
    <n v="16539.466700000001"/>
    <s v="2023_08.xlsx"/>
    <x v="7"/>
    <x v="7"/>
  </r>
  <r>
    <s v="MonthlyTradeStatistics 2023_08.xlsx"/>
    <x v="52"/>
    <n v="10013.25"/>
    <s v="2023_08.xlsx"/>
    <x v="7"/>
    <x v="7"/>
  </r>
  <r>
    <s v="MonthlyTradeStatistics 2023_08.xlsx"/>
    <x v="53"/>
    <n v="509.72579999999999"/>
    <s v="2023_08.xlsx"/>
    <x v="7"/>
    <x v="7"/>
  </r>
  <r>
    <s v="MonthlyTradeStatistics 2023_08.xlsx"/>
    <x v="54"/>
    <n v="743517"/>
    <s v="2023_08.xlsx"/>
    <x v="7"/>
    <x v="7"/>
  </r>
  <r>
    <s v="MonthlyTradeStatistics 2023_08.xlsx"/>
    <x v="55"/>
    <n v="1700"/>
    <s v="2023_08.xlsx"/>
    <x v="7"/>
    <x v="7"/>
  </r>
  <r>
    <s v="MonthlyTradeStatistics 2023_08.xlsx"/>
    <x v="56"/>
    <n v="1443567.3607000001"/>
    <s v="2023_08.xlsx"/>
    <x v="7"/>
    <x v="7"/>
  </r>
  <r>
    <s v="MonthlyTradeStatistics 2023_08.xlsx"/>
    <x v="57"/>
    <n v="4134.6683999999996"/>
    <s v="2023_08.xlsx"/>
    <x v="7"/>
    <x v="7"/>
  </r>
  <r>
    <s v="MonthlyTradeStatistics 2023_08.xlsx"/>
    <x v="58"/>
    <n v="9249.8333000000002"/>
    <s v="2023_08.xlsx"/>
    <x v="7"/>
    <x v="7"/>
  </r>
  <r>
    <s v="MonthlyTradeStatistics 2023_08.xlsx"/>
    <x v="59"/>
    <n v="0"/>
    <s v="2023_08.xlsx"/>
    <x v="7"/>
    <x v="7"/>
  </r>
  <r>
    <s v="MonthlyTradeStatistics 2023_09.xlsx"/>
    <x v="0"/>
    <n v="9144849.8333000001"/>
    <s v="2023_09.xlsx"/>
    <x v="7"/>
    <x v="8"/>
  </r>
  <r>
    <s v="MonthlyTradeStatistics 2023_09.xlsx"/>
    <x v="1"/>
    <n v="912291.66209999996"/>
    <s v="2023_09.xlsx"/>
    <x v="7"/>
    <x v="8"/>
  </r>
  <r>
    <s v="MonthlyTradeStatistics 2023_09.xlsx"/>
    <x v="2"/>
    <n v="1783759.3836999999"/>
    <s v="2023_09.xlsx"/>
    <x v="7"/>
    <x v="8"/>
  </r>
  <r>
    <s v="MonthlyTradeStatistics 2023_09.xlsx"/>
    <x v="3"/>
    <n v="3284844.1606999999"/>
    <s v="2023_09.xlsx"/>
    <x v="7"/>
    <x v="8"/>
  </r>
  <r>
    <s v="MonthlyTradeStatistics 2023_09.xlsx"/>
    <x v="4"/>
    <n v="3163954.6268000002"/>
    <s v="2023_09.xlsx"/>
    <x v="7"/>
    <x v="8"/>
  </r>
  <r>
    <s v="MonthlyTradeStatistics 2023_09.xlsx"/>
    <x v="5"/>
    <n v="1664.8957"/>
    <s v="2023_09.xlsx"/>
    <x v="7"/>
    <x v="8"/>
  </r>
  <r>
    <s v="MonthlyTradeStatistics 2023_09.xlsx"/>
    <x v="6"/>
    <n v="1833.5166999999999"/>
    <s v="2023_09.xlsx"/>
    <x v="7"/>
    <x v="8"/>
  </r>
  <r>
    <s v="MonthlyTradeStatistics 2023_09.xlsx"/>
    <x v="7"/>
    <n v="3765915.8426000001"/>
    <s v="2023_09.xlsx"/>
    <x v="7"/>
    <x v="8"/>
  </r>
  <r>
    <s v="MonthlyTradeStatistics 2023_09.xlsx"/>
    <x v="8"/>
    <n v="14388.7752"/>
    <s v="2023_09.xlsx"/>
    <x v="7"/>
    <x v="8"/>
  </r>
  <r>
    <s v="MonthlyTradeStatistics 2023_09.xlsx"/>
    <x v="9"/>
    <n v="36303.446400000001"/>
    <s v="2023_09.xlsx"/>
    <x v="7"/>
    <x v="8"/>
  </r>
  <r>
    <s v="MonthlyTradeStatistics 2023_09.xlsx"/>
    <x v="10"/>
    <n v="300"/>
    <s v="2023_09.xlsx"/>
    <x v="7"/>
    <x v="8"/>
  </r>
  <r>
    <s v="MonthlyTradeStatistics 2023_09.xlsx"/>
    <x v="11"/>
    <n v="852898.61679999996"/>
    <s v="2023_09.xlsx"/>
    <x v="7"/>
    <x v="8"/>
  </r>
  <r>
    <s v="MonthlyTradeStatistics 2023_09.xlsx"/>
    <x v="12"/>
    <n v="0"/>
    <s v="2023_09.xlsx"/>
    <x v="7"/>
    <x v="8"/>
  </r>
  <r>
    <s v="MonthlyTradeStatistics 2023_09.xlsx"/>
    <x v="13"/>
    <n v="32275.706099999999"/>
    <s v="2023_09.xlsx"/>
    <x v="7"/>
    <x v="8"/>
  </r>
  <r>
    <s v="MonthlyTradeStatistics 2023_09.xlsx"/>
    <x v="14"/>
    <n v="100828.7831"/>
    <s v="2023_09.xlsx"/>
    <x v="7"/>
    <x v="8"/>
  </r>
  <r>
    <s v="MonthlyTradeStatistics 2023_09.xlsx"/>
    <x v="15"/>
    <n v="100"/>
    <s v="2023_09.xlsx"/>
    <x v="7"/>
    <x v="8"/>
  </r>
  <r>
    <s v="MonthlyTradeStatistics 2023_09.xlsx"/>
    <x v="16"/>
    <n v="16500"/>
    <s v="2023_09.xlsx"/>
    <x v="7"/>
    <x v="8"/>
  </r>
  <r>
    <s v="MonthlyTradeStatistics 2023_09.xlsx"/>
    <x v="17"/>
    <n v="2066.3013000000001"/>
    <s v="2023_09.xlsx"/>
    <x v="7"/>
    <x v="8"/>
  </r>
  <r>
    <s v="MonthlyTradeStatistics 2023_09.xlsx"/>
    <x v="18"/>
    <n v="56500.872000000003"/>
    <s v="2023_09.xlsx"/>
    <x v="7"/>
    <x v="8"/>
  </r>
  <r>
    <s v="MonthlyTradeStatistics 2023_09.xlsx"/>
    <x v="19"/>
    <n v="19083.410500000002"/>
    <s v="2023_09.xlsx"/>
    <x v="7"/>
    <x v="8"/>
  </r>
  <r>
    <s v="MonthlyTradeStatistics 2023_09.xlsx"/>
    <x v="20"/>
    <n v="0"/>
    <s v="2023_09.xlsx"/>
    <x v="7"/>
    <x v="8"/>
  </r>
  <r>
    <s v="MonthlyTradeStatistics 2023_09.xlsx"/>
    <x v="21"/>
    <n v="310000"/>
    <s v="2023_09.xlsx"/>
    <x v="7"/>
    <x v="8"/>
  </r>
  <r>
    <s v="MonthlyTradeStatistics 2023_09.xlsx"/>
    <x v="23"/>
    <n v="416.1884"/>
    <s v="2023_09.xlsx"/>
    <x v="7"/>
    <x v="8"/>
  </r>
  <r>
    <s v="MonthlyTradeStatistics 2023_09.xlsx"/>
    <x v="24"/>
    <n v="193931.4025"/>
    <s v="2023_09.xlsx"/>
    <x v="7"/>
    <x v="8"/>
  </r>
  <r>
    <s v="MonthlyTradeStatistics 2023_09.xlsx"/>
    <x v="25"/>
    <n v="7811.2334000000001"/>
    <s v="2023_09.xlsx"/>
    <x v="7"/>
    <x v="8"/>
  </r>
  <r>
    <s v="MonthlyTradeStatistics 2023_09.xlsx"/>
    <x v="26"/>
    <n v="355.66269999999997"/>
    <s v="2023_09.xlsx"/>
    <x v="7"/>
    <x v="8"/>
  </r>
  <r>
    <s v="MonthlyTradeStatistics 2023_09.xlsx"/>
    <x v="27"/>
    <n v="69.995999999999995"/>
    <s v="2023_09.xlsx"/>
    <x v="7"/>
    <x v="8"/>
  </r>
  <r>
    <s v="MonthlyTradeStatistics 2023_09.xlsx"/>
    <x v="28"/>
    <n v="214212.09"/>
    <s v="2023_09.xlsx"/>
    <x v="7"/>
    <x v="8"/>
  </r>
  <r>
    <s v="MonthlyTradeStatistics 2023_09.xlsx"/>
    <x v="29"/>
    <n v="444618.2254"/>
    <s v="2023_09.xlsx"/>
    <x v="7"/>
    <x v="8"/>
  </r>
  <r>
    <s v="MonthlyTradeStatistics 2023_09.xlsx"/>
    <x v="30"/>
    <n v="434590.5074"/>
    <s v="2023_09.xlsx"/>
    <x v="7"/>
    <x v="8"/>
  </r>
  <r>
    <s v="MonthlyTradeStatistics 2023_09.xlsx"/>
    <x v="31"/>
    <n v="824.3356"/>
    <s v="2023_09.xlsx"/>
    <x v="7"/>
    <x v="8"/>
  </r>
  <r>
    <s v="MonthlyTradeStatistics 2023_09.xlsx"/>
    <x v="32"/>
    <n v="51850.445299999999"/>
    <s v="2023_09.xlsx"/>
    <x v="7"/>
    <x v="8"/>
  </r>
  <r>
    <s v="MonthlyTradeStatistics 2023_09.xlsx"/>
    <x v="33"/>
    <n v="27200.0013"/>
    <s v="2023_09.xlsx"/>
    <x v="7"/>
    <x v="8"/>
  </r>
  <r>
    <s v="MonthlyTradeStatistics 2023_09.xlsx"/>
    <x v="35"/>
    <n v="10"/>
    <s v="2023_09.xlsx"/>
    <x v="7"/>
    <x v="8"/>
  </r>
  <r>
    <s v="MonthlyTradeStatistics 2023_09.xlsx"/>
    <x v="36"/>
    <n v="609.3175"/>
    <s v="2023_09.xlsx"/>
    <x v="7"/>
    <x v="8"/>
  </r>
  <r>
    <s v="MonthlyTradeStatistics 2023_09.xlsx"/>
    <x v="37"/>
    <n v="204199.9883"/>
    <s v="2023_09.xlsx"/>
    <x v="7"/>
    <x v="8"/>
  </r>
  <r>
    <s v="MonthlyTradeStatistics 2023_09.xlsx"/>
    <x v="38"/>
    <n v="23.501100000000001"/>
    <s v="2023_09.xlsx"/>
    <x v="7"/>
    <x v="8"/>
  </r>
  <r>
    <s v="MonthlyTradeStatistics 2023_09.xlsx"/>
    <x v="39"/>
    <n v="91580.162200000006"/>
    <s v="2023_09.xlsx"/>
    <x v="7"/>
    <x v="8"/>
  </r>
  <r>
    <s v="MonthlyTradeStatistics 2023_09.xlsx"/>
    <x v="40"/>
    <n v="0"/>
    <s v="2023_09.xlsx"/>
    <x v="7"/>
    <x v="8"/>
  </r>
  <r>
    <s v="MonthlyTradeStatistics 2023_09.xlsx"/>
    <x v="41"/>
    <n v="5139.1998999999996"/>
    <s v="2023_09.xlsx"/>
    <x v="7"/>
    <x v="8"/>
  </r>
  <r>
    <s v="MonthlyTradeStatistics 2023_09.xlsx"/>
    <x v="42"/>
    <n v="102913.1667"/>
    <s v="2023_09.xlsx"/>
    <x v="7"/>
    <x v="8"/>
  </r>
  <r>
    <s v="MonthlyTradeStatistics 2023_09.xlsx"/>
    <x v="43"/>
    <n v="2.9552999999999998"/>
    <s v="2023_09.xlsx"/>
    <x v="7"/>
    <x v="8"/>
  </r>
  <r>
    <s v="MonthlyTradeStatistics 2023_09.xlsx"/>
    <x v="44"/>
    <n v="535909.08649999998"/>
    <s v="2023_09.xlsx"/>
    <x v="7"/>
    <x v="8"/>
  </r>
  <r>
    <s v="MonthlyTradeStatistics 2023_09.xlsx"/>
    <x v="45"/>
    <n v="0"/>
    <s v="2023_09.xlsx"/>
    <x v="7"/>
    <x v="8"/>
  </r>
  <r>
    <s v="MonthlyTradeStatistics 2023_09.xlsx"/>
    <x v="46"/>
    <n v="26119.999599999999"/>
    <s v="2023_09.xlsx"/>
    <x v="7"/>
    <x v="8"/>
  </r>
  <r>
    <s v="MonthlyTradeStatistics 2023_09.xlsx"/>
    <x v="47"/>
    <n v="2300"/>
    <s v="2023_09.xlsx"/>
    <x v="7"/>
    <x v="8"/>
  </r>
  <r>
    <s v="MonthlyTradeStatistics 2023_09.xlsx"/>
    <x v="48"/>
    <n v="27.4176"/>
    <s v="2023_09.xlsx"/>
    <x v="7"/>
    <x v="8"/>
  </r>
  <r>
    <s v="MonthlyTradeStatistics 2023_09.xlsx"/>
    <x v="49"/>
    <n v="74111.7"/>
    <s v="2023_09.xlsx"/>
    <x v="7"/>
    <x v="8"/>
  </r>
  <r>
    <s v="MonthlyTradeStatistics 2023_09.xlsx"/>
    <x v="50"/>
    <n v="17076.350999999999"/>
    <s v="2023_09.xlsx"/>
    <x v="7"/>
    <x v="8"/>
  </r>
  <r>
    <s v="MonthlyTradeStatistics 2023_09.xlsx"/>
    <x v="51"/>
    <n v="9831.4500000000007"/>
    <s v="2023_09.xlsx"/>
    <x v="7"/>
    <x v="8"/>
  </r>
  <r>
    <s v="MonthlyTradeStatistics 2023_09.xlsx"/>
    <x v="52"/>
    <n v="0"/>
    <s v="2023_09.xlsx"/>
    <x v="7"/>
    <x v="8"/>
  </r>
  <r>
    <s v="MonthlyTradeStatistics 2023_09.xlsx"/>
    <x v="53"/>
    <n v="358.98379999999997"/>
    <s v="2023_09.xlsx"/>
    <x v="7"/>
    <x v="8"/>
  </r>
  <r>
    <s v="MonthlyTradeStatistics 2023_09.xlsx"/>
    <x v="54"/>
    <n v="577073"/>
    <s v="2023_09.xlsx"/>
    <x v="7"/>
    <x v="8"/>
  </r>
  <r>
    <s v="MonthlyTradeStatistics 2023_09.xlsx"/>
    <x v="55"/>
    <n v="2100"/>
    <s v="2023_09.xlsx"/>
    <x v="7"/>
    <x v="8"/>
  </r>
  <r>
    <s v="MonthlyTradeStatistics 2023_09.xlsx"/>
    <x v="56"/>
    <n v="893212.60869999998"/>
    <s v="2023_09.xlsx"/>
    <x v="7"/>
    <x v="8"/>
  </r>
  <r>
    <s v="MonthlyTradeStatistics 2023_09.xlsx"/>
    <x v="57"/>
    <n v="3693.7384000000002"/>
    <s v="2023_09.xlsx"/>
    <x v="7"/>
    <x v="8"/>
  </r>
  <r>
    <s v="MonthlyTradeStatistics 2023_09.xlsx"/>
    <x v="58"/>
    <n v="12016.8333"/>
    <s v="2023_09.xlsx"/>
    <x v="7"/>
    <x v="8"/>
  </r>
  <r>
    <s v="MonthlyTradeStatistics 2023_09.xlsx"/>
    <x v="59"/>
    <n v="0.11899999999999999"/>
    <s v="2023_09.xlsx"/>
    <x v="7"/>
    <x v="8"/>
  </r>
  <r>
    <s v="MonthlyTradeStatistics 2023_10.xlsx"/>
    <x v="0"/>
    <n v="9781275.8179000001"/>
    <s v="2023_10.xlsx"/>
    <x v="7"/>
    <x v="9"/>
  </r>
  <r>
    <s v="MonthlyTradeStatistics 2023_10.xlsx"/>
    <x v="1"/>
    <n v="990570.25170000002"/>
    <s v="2023_10.xlsx"/>
    <x v="7"/>
    <x v="9"/>
  </r>
  <r>
    <s v="MonthlyTradeStatistics 2023_10.xlsx"/>
    <x v="2"/>
    <n v="1692904.9480999999"/>
    <s v="2023_10.xlsx"/>
    <x v="7"/>
    <x v="9"/>
  </r>
  <r>
    <s v="MonthlyTradeStatistics 2023_10.xlsx"/>
    <x v="3"/>
    <n v="3936645.3136999998"/>
    <s v="2023_10.xlsx"/>
    <x v="7"/>
    <x v="9"/>
  </r>
  <r>
    <s v="MonthlyTradeStatistics 2023_10.xlsx"/>
    <x v="4"/>
    <n v="3161155.3043999998"/>
    <s v="2023_10.xlsx"/>
    <x v="7"/>
    <x v="9"/>
  </r>
  <r>
    <s v="MonthlyTradeStatistics 2023_10.xlsx"/>
    <x v="5"/>
    <n v="1200.3900000000001"/>
    <s v="2023_10.xlsx"/>
    <x v="7"/>
    <x v="9"/>
  </r>
  <r>
    <s v="MonthlyTradeStatistics 2023_10.xlsx"/>
    <x v="6"/>
    <n v="3730.8667"/>
    <s v="2023_10.xlsx"/>
    <x v="7"/>
    <x v="9"/>
  </r>
  <r>
    <s v="MonthlyTradeStatistics 2023_10.xlsx"/>
    <x v="7"/>
    <n v="4412709.4688999997"/>
    <s v="2023_10.xlsx"/>
    <x v="7"/>
    <x v="9"/>
  </r>
  <r>
    <s v="MonthlyTradeStatistics 2023_10.xlsx"/>
    <x v="8"/>
    <n v="14388.7752"/>
    <s v="2023_10.xlsx"/>
    <x v="7"/>
    <x v="9"/>
  </r>
  <r>
    <s v="MonthlyTradeStatistics 2023_10.xlsx"/>
    <x v="9"/>
    <n v="20896.916700000002"/>
    <s v="2023_10.xlsx"/>
    <x v="7"/>
    <x v="9"/>
  </r>
  <r>
    <s v="MonthlyTradeStatistics 2023_10.xlsx"/>
    <x v="10"/>
    <n v="500"/>
    <s v="2023_10.xlsx"/>
    <x v="7"/>
    <x v="9"/>
  </r>
  <r>
    <s v="MonthlyTradeStatistics 2023_10.xlsx"/>
    <x v="11"/>
    <n v="914362.99120000005"/>
    <s v="2023_10.xlsx"/>
    <x v="7"/>
    <x v="9"/>
  </r>
  <r>
    <s v="MonthlyTradeStatistics 2023_10.xlsx"/>
    <x v="12"/>
    <n v="0"/>
    <s v="2023_10.xlsx"/>
    <x v="7"/>
    <x v="9"/>
  </r>
  <r>
    <s v="MonthlyTradeStatistics 2023_10.xlsx"/>
    <x v="13"/>
    <n v="28816.7873"/>
    <s v="2023_10.xlsx"/>
    <x v="7"/>
    <x v="9"/>
  </r>
  <r>
    <s v="MonthlyTradeStatistics 2023_10.xlsx"/>
    <x v="14"/>
    <n v="50500.088900000002"/>
    <s v="2023_10.xlsx"/>
    <x v="7"/>
    <x v="9"/>
  </r>
  <r>
    <s v="MonthlyTradeStatistics 2023_10.xlsx"/>
    <x v="15"/>
    <n v="1299.9992999999999"/>
    <s v="2023_10.xlsx"/>
    <x v="7"/>
    <x v="9"/>
  </r>
  <r>
    <s v="MonthlyTradeStatistics 2023_10.xlsx"/>
    <x v="16"/>
    <n v="11000"/>
    <s v="2023_10.xlsx"/>
    <x v="7"/>
    <x v="9"/>
  </r>
  <r>
    <s v="MonthlyTradeStatistics 2023_10.xlsx"/>
    <x v="17"/>
    <n v="534.40179999999998"/>
    <s v="2023_10.xlsx"/>
    <x v="7"/>
    <x v="9"/>
  </r>
  <r>
    <s v="MonthlyTradeStatistics 2023_10.xlsx"/>
    <x v="18"/>
    <n v="43214.0818"/>
    <s v="2023_10.xlsx"/>
    <x v="7"/>
    <x v="9"/>
  </r>
  <r>
    <s v="MonthlyTradeStatistics 2023_10.xlsx"/>
    <x v="19"/>
    <n v="18163.3668"/>
    <s v="2023_10.xlsx"/>
    <x v="7"/>
    <x v="9"/>
  </r>
  <r>
    <s v="MonthlyTradeStatistics 2023_10.xlsx"/>
    <x v="21"/>
    <n v="320000"/>
    <s v="2023_10.xlsx"/>
    <x v="7"/>
    <x v="9"/>
  </r>
  <r>
    <s v="MonthlyTradeStatistics 2023_10.xlsx"/>
    <x v="23"/>
    <n v="827.68430000000001"/>
    <s v="2023_10.xlsx"/>
    <x v="7"/>
    <x v="9"/>
  </r>
  <r>
    <s v="MonthlyTradeStatistics 2023_10.xlsx"/>
    <x v="24"/>
    <n v="120973.3855"/>
    <s v="2023_10.xlsx"/>
    <x v="7"/>
    <x v="9"/>
  </r>
  <r>
    <s v="MonthlyTradeStatistics 2023_10.xlsx"/>
    <x v="25"/>
    <n v="8281.6666999999998"/>
    <s v="2023_10.xlsx"/>
    <x v="7"/>
    <x v="9"/>
  </r>
  <r>
    <s v="MonthlyTradeStatistics 2023_10.xlsx"/>
    <x v="26"/>
    <n v="13.077400000000001"/>
    <s v="2023_10.xlsx"/>
    <x v="7"/>
    <x v="9"/>
  </r>
  <r>
    <s v="MonthlyTradeStatistics 2023_10.xlsx"/>
    <x v="27"/>
    <n v="149.99600000000001"/>
    <s v="2023_10.xlsx"/>
    <x v="7"/>
    <x v="9"/>
  </r>
  <r>
    <s v="MonthlyTradeStatistics 2023_10.xlsx"/>
    <x v="28"/>
    <n v="24843.9483"/>
    <s v="2023_10.xlsx"/>
    <x v="7"/>
    <x v="9"/>
  </r>
  <r>
    <s v="MonthlyTradeStatistics 2023_10.xlsx"/>
    <x v="29"/>
    <n v="485515.62959999999"/>
    <s v="2023_10.xlsx"/>
    <x v="7"/>
    <x v="9"/>
  </r>
  <r>
    <s v="MonthlyTradeStatistics 2023_10.xlsx"/>
    <x v="30"/>
    <n v="740741.49600000004"/>
    <s v="2023_10.xlsx"/>
    <x v="7"/>
    <x v="9"/>
  </r>
  <r>
    <s v="MonthlyTradeStatistics 2023_10.xlsx"/>
    <x v="31"/>
    <n v="1939.0866000000001"/>
    <s v="2023_10.xlsx"/>
    <x v="7"/>
    <x v="9"/>
  </r>
  <r>
    <s v="MonthlyTradeStatistics 2023_10.xlsx"/>
    <x v="32"/>
    <n v="30374.860499999999"/>
    <s v="2023_10.xlsx"/>
    <x v="7"/>
    <x v="9"/>
  </r>
  <r>
    <s v="MonthlyTradeStatistics 2023_10.xlsx"/>
    <x v="33"/>
    <n v="26100.005300000001"/>
    <s v="2023_10.xlsx"/>
    <x v="7"/>
    <x v="9"/>
  </r>
  <r>
    <s v="MonthlyTradeStatistics 2023_10.xlsx"/>
    <x v="35"/>
    <n v="1.9087000000000001"/>
    <s v="2023_10.xlsx"/>
    <x v="7"/>
    <x v="9"/>
  </r>
  <r>
    <s v="MonthlyTradeStatistics 2023_10.xlsx"/>
    <x v="36"/>
    <n v="609.3175"/>
    <s v="2023_10.xlsx"/>
    <x v="7"/>
    <x v="9"/>
  </r>
  <r>
    <s v="MonthlyTradeStatistics 2023_10.xlsx"/>
    <x v="37"/>
    <n v="185599.9952"/>
    <s v="2023_10.xlsx"/>
    <x v="7"/>
    <x v="9"/>
  </r>
  <r>
    <s v="MonthlyTradeStatistics 2023_10.xlsx"/>
    <x v="38"/>
    <n v="17.8125"/>
    <s v="2023_10.xlsx"/>
    <x v="7"/>
    <x v="9"/>
  </r>
  <r>
    <s v="MonthlyTradeStatistics 2023_10.xlsx"/>
    <x v="39"/>
    <n v="73416.469700000001"/>
    <s v="2023_10.xlsx"/>
    <x v="7"/>
    <x v="9"/>
  </r>
  <r>
    <s v="MonthlyTradeStatistics 2023_10.xlsx"/>
    <x v="40"/>
    <n v="0"/>
    <s v="2023_10.xlsx"/>
    <x v="7"/>
    <x v="9"/>
  </r>
  <r>
    <s v="MonthlyTradeStatistics 2023_10.xlsx"/>
    <x v="41"/>
    <n v="662.79039999999998"/>
    <s v="2023_10.xlsx"/>
    <x v="7"/>
    <x v="9"/>
  </r>
  <r>
    <s v="MonthlyTradeStatistics 2023_10.xlsx"/>
    <x v="42"/>
    <n v="118825.5"/>
    <s v="2023_10.xlsx"/>
    <x v="7"/>
    <x v="9"/>
  </r>
  <r>
    <s v="MonthlyTradeStatistics 2023_10.xlsx"/>
    <x v="43"/>
    <n v="0.5"/>
    <s v="2023_10.xlsx"/>
    <x v="7"/>
    <x v="9"/>
  </r>
  <r>
    <s v="MonthlyTradeStatistics 2023_10.xlsx"/>
    <x v="44"/>
    <n v="619416.3504"/>
    <s v="2023_10.xlsx"/>
    <x v="7"/>
    <x v="9"/>
  </r>
  <r>
    <s v="MonthlyTradeStatistics 2023_10.xlsx"/>
    <x v="45"/>
    <n v="230.3117"/>
    <s v="2023_10.xlsx"/>
    <x v="7"/>
    <x v="9"/>
  </r>
  <r>
    <s v="MonthlyTradeStatistics 2023_10.xlsx"/>
    <x v="46"/>
    <n v="30129.995599999998"/>
    <s v="2023_10.xlsx"/>
    <x v="7"/>
    <x v="9"/>
  </r>
  <r>
    <s v="MonthlyTradeStatistics 2023_10.xlsx"/>
    <x v="47"/>
    <n v="2400"/>
    <s v="2023_10.xlsx"/>
    <x v="7"/>
    <x v="9"/>
  </r>
  <r>
    <s v="MonthlyTradeStatistics 2023_10.xlsx"/>
    <x v="48"/>
    <n v="107.88030000000001"/>
    <s v="2023_10.xlsx"/>
    <x v="7"/>
    <x v="9"/>
  </r>
  <r>
    <s v="MonthlyTradeStatistics 2023_10.xlsx"/>
    <x v="49"/>
    <n v="131609.26"/>
    <s v="2023_10.xlsx"/>
    <x v="7"/>
    <x v="9"/>
  </r>
  <r>
    <s v="MonthlyTradeStatistics 2023_10.xlsx"/>
    <x v="50"/>
    <n v="22502.6859"/>
    <s v="2023_10.xlsx"/>
    <x v="7"/>
    <x v="9"/>
  </r>
  <r>
    <s v="MonthlyTradeStatistics 2023_10.xlsx"/>
    <x v="51"/>
    <n v="12107.3"/>
    <s v="2023_10.xlsx"/>
    <x v="7"/>
    <x v="9"/>
  </r>
  <r>
    <s v="MonthlyTradeStatistics 2023_10.xlsx"/>
    <x v="52"/>
    <n v="3470.1167"/>
    <s v="2023_10.xlsx"/>
    <x v="7"/>
    <x v="9"/>
  </r>
  <r>
    <s v="MonthlyTradeStatistics 2023_10.xlsx"/>
    <x v="53"/>
    <n v="540.39700000000005"/>
    <s v="2023_10.xlsx"/>
    <x v="7"/>
    <x v="9"/>
  </r>
  <r>
    <s v="MonthlyTradeStatistics 2023_10.xlsx"/>
    <x v="54"/>
    <n v="470080"/>
    <s v="2023_10.xlsx"/>
    <x v="7"/>
    <x v="9"/>
  </r>
  <r>
    <s v="MonthlyTradeStatistics 2023_10.xlsx"/>
    <x v="55"/>
    <n v="4400"/>
    <s v="2023_10.xlsx"/>
    <x v="7"/>
    <x v="9"/>
  </r>
  <r>
    <s v="MonthlyTradeStatistics 2023_10.xlsx"/>
    <x v="56"/>
    <n v="806779.05539999995"/>
    <s v="2023_10.xlsx"/>
    <x v="7"/>
    <x v="9"/>
  </r>
  <r>
    <s v="MonthlyTradeStatistics 2023_10.xlsx"/>
    <x v="57"/>
    <n v="4145.6333999999997"/>
    <s v="2023_10.xlsx"/>
    <x v="7"/>
    <x v="9"/>
  </r>
  <r>
    <s v="MonthlyTradeStatistics 2023_10.xlsx"/>
    <x v="58"/>
    <n v="13143.566699999999"/>
    <s v="2023_10.xlsx"/>
    <x v="7"/>
    <x v="9"/>
  </r>
  <r>
    <s v="MonthlyTradeStatistics 2023_10.xlsx"/>
    <x v="59"/>
    <n v="0"/>
    <s v="2023_10.xlsx"/>
    <x v="7"/>
    <x v="9"/>
  </r>
  <r>
    <s v="MonthlyTradeStatistics 2023_11.xlsx"/>
    <x v="0"/>
    <n v="10505931.9507"/>
    <s v="2023_11.xlsx"/>
    <x v="7"/>
    <x v="10"/>
  </r>
  <r>
    <s v="MonthlyTradeStatistics 2023_11.xlsx"/>
    <x v="1"/>
    <n v="1176821.3569"/>
    <s v="2023_11.xlsx"/>
    <x v="7"/>
    <x v="10"/>
  </r>
  <r>
    <s v="MonthlyTradeStatistics 2023_11.xlsx"/>
    <x v="2"/>
    <n v="1505630.0984"/>
    <s v="2023_11.xlsx"/>
    <x v="7"/>
    <x v="10"/>
  </r>
  <r>
    <s v="MonthlyTradeStatistics 2023_11.xlsx"/>
    <x v="3"/>
    <n v="3792220.9164"/>
    <s v="2023_11.xlsx"/>
    <x v="7"/>
    <x v="10"/>
  </r>
  <r>
    <s v="MonthlyTradeStatistics 2023_11.xlsx"/>
    <x v="4"/>
    <n v="4031259.5789999999"/>
    <s v="2023_11.xlsx"/>
    <x v="7"/>
    <x v="10"/>
  </r>
  <r>
    <s v="MonthlyTradeStatistics 2023_11.xlsx"/>
    <x v="5"/>
    <n v="1500"/>
    <s v="2023_11.xlsx"/>
    <x v="7"/>
    <x v="10"/>
  </r>
  <r>
    <s v="MonthlyTradeStatistics 2023_11.xlsx"/>
    <x v="6"/>
    <n v="2503.4167000000002"/>
    <s v="2023_11.xlsx"/>
    <x v="7"/>
    <x v="10"/>
  </r>
  <r>
    <s v="MonthlyTradeStatistics 2023_11.xlsx"/>
    <x v="7"/>
    <n v="4329650.4085999997"/>
    <s v="2023_11.xlsx"/>
    <x v="7"/>
    <x v="10"/>
  </r>
  <r>
    <s v="MonthlyTradeStatistics 2023_11.xlsx"/>
    <x v="8"/>
    <n v="14388.7752"/>
    <s v="2023_11.xlsx"/>
    <x v="7"/>
    <x v="10"/>
  </r>
  <r>
    <s v="MonthlyTradeStatistics 2023_11.xlsx"/>
    <x v="9"/>
    <n v="33716.873299999999"/>
    <s v="2023_11.xlsx"/>
    <x v="7"/>
    <x v="10"/>
  </r>
  <r>
    <s v="MonthlyTradeStatistics 2023_11.xlsx"/>
    <x v="10"/>
    <n v="600"/>
    <s v="2023_11.xlsx"/>
    <x v="7"/>
    <x v="10"/>
  </r>
  <r>
    <s v="MonthlyTradeStatistics 2023_11.xlsx"/>
    <x v="11"/>
    <n v="1111555.4665000001"/>
    <s v="2023_11.xlsx"/>
    <x v="7"/>
    <x v="10"/>
  </r>
  <r>
    <s v="MonthlyTradeStatistics 2023_11.xlsx"/>
    <x v="12"/>
    <n v="0"/>
    <s v="2023_11.xlsx"/>
    <x v="7"/>
    <x v="10"/>
  </r>
  <r>
    <s v="MonthlyTradeStatistics 2023_11.xlsx"/>
    <x v="13"/>
    <n v="7238.2415000000001"/>
    <s v="2023_11.xlsx"/>
    <x v="7"/>
    <x v="10"/>
  </r>
  <r>
    <s v="MonthlyTradeStatistics 2023_11.xlsx"/>
    <x v="14"/>
    <n v="74976.483200000002"/>
    <s v="2023_11.xlsx"/>
    <x v="7"/>
    <x v="10"/>
  </r>
  <r>
    <s v="MonthlyTradeStatistics 2023_11.xlsx"/>
    <x v="15"/>
    <n v="1099.9917"/>
    <s v="2023_11.xlsx"/>
    <x v="7"/>
    <x v="10"/>
  </r>
  <r>
    <s v="MonthlyTradeStatistics 2023_11.xlsx"/>
    <x v="16"/>
    <n v="13000"/>
    <s v="2023_11.xlsx"/>
    <x v="7"/>
    <x v="10"/>
  </r>
  <r>
    <s v="MonthlyTradeStatistics 2023_11.xlsx"/>
    <x v="17"/>
    <n v="1759.1309000000001"/>
    <s v="2023_11.xlsx"/>
    <x v="7"/>
    <x v="10"/>
  </r>
  <r>
    <s v="MonthlyTradeStatistics 2023_11.xlsx"/>
    <x v="18"/>
    <n v="47544.9902"/>
    <s v="2023_11.xlsx"/>
    <x v="7"/>
    <x v="10"/>
  </r>
  <r>
    <s v="MonthlyTradeStatistics 2023_11.xlsx"/>
    <x v="19"/>
    <n v="8724.8359"/>
    <s v="2023_11.xlsx"/>
    <x v="7"/>
    <x v="10"/>
  </r>
  <r>
    <s v="MonthlyTradeStatistics 2023_11.xlsx"/>
    <x v="21"/>
    <n v="290000"/>
    <s v="2023_11.xlsx"/>
    <x v="7"/>
    <x v="10"/>
  </r>
  <r>
    <s v="MonthlyTradeStatistics 2023_11.xlsx"/>
    <x v="23"/>
    <n v="208.923"/>
    <s v="2023_11.xlsx"/>
    <x v="7"/>
    <x v="10"/>
  </r>
  <r>
    <s v="MonthlyTradeStatistics 2023_11.xlsx"/>
    <x v="24"/>
    <n v="46634.135000000002"/>
    <s v="2023_11.xlsx"/>
    <x v="7"/>
    <x v="10"/>
  </r>
  <r>
    <s v="MonthlyTradeStatistics 2023_11.xlsx"/>
    <x v="25"/>
    <n v="23541.428400000001"/>
    <s v="2023_11.xlsx"/>
    <x v="7"/>
    <x v="10"/>
  </r>
  <r>
    <s v="MonthlyTradeStatistics 2023_11.xlsx"/>
    <x v="26"/>
    <n v="5.6368"/>
    <s v="2023_11.xlsx"/>
    <x v="7"/>
    <x v="10"/>
  </r>
  <r>
    <s v="MonthlyTradeStatistics 2023_11.xlsx"/>
    <x v="27"/>
    <n v="110"/>
    <s v="2023_11.xlsx"/>
    <x v="7"/>
    <x v="10"/>
  </r>
  <r>
    <s v="MonthlyTradeStatistics 2023_11.xlsx"/>
    <x v="28"/>
    <n v="67454.399999999994"/>
    <s v="2023_11.xlsx"/>
    <x v="7"/>
    <x v="10"/>
  </r>
  <r>
    <s v="MonthlyTradeStatistics 2023_11.xlsx"/>
    <x v="29"/>
    <n v="434068.85989999998"/>
    <s v="2023_11.xlsx"/>
    <x v="7"/>
    <x v="10"/>
  </r>
  <r>
    <s v="MonthlyTradeStatistics 2023_11.xlsx"/>
    <x v="30"/>
    <n v="485004.52179999999"/>
    <s v="2023_11.xlsx"/>
    <x v="7"/>
    <x v="10"/>
  </r>
  <r>
    <s v="MonthlyTradeStatistics 2023_11.xlsx"/>
    <x v="31"/>
    <n v="1452.0817"/>
    <s v="2023_11.xlsx"/>
    <x v="7"/>
    <x v="10"/>
  </r>
  <r>
    <s v="MonthlyTradeStatistics 2023_11.xlsx"/>
    <x v="32"/>
    <n v="32051.5154"/>
    <s v="2023_11.xlsx"/>
    <x v="7"/>
    <x v="10"/>
  </r>
  <r>
    <s v="MonthlyTradeStatistics 2023_11.xlsx"/>
    <x v="33"/>
    <n v="29699.991300000002"/>
    <s v="2023_11.xlsx"/>
    <x v="7"/>
    <x v="10"/>
  </r>
  <r>
    <s v="MonthlyTradeStatistics 2023_11.xlsx"/>
    <x v="35"/>
    <n v="24.133299999999998"/>
    <s v="2023_11.xlsx"/>
    <x v="7"/>
    <x v="10"/>
  </r>
  <r>
    <s v="MonthlyTradeStatistics 2023_11.xlsx"/>
    <x v="36"/>
    <n v="609.3175"/>
    <s v="2023_11.xlsx"/>
    <x v="7"/>
    <x v="10"/>
  </r>
  <r>
    <s v="MonthlyTradeStatistics 2023_11.xlsx"/>
    <x v="37"/>
    <n v="170599.99979999999"/>
    <s v="2023_11.xlsx"/>
    <x v="7"/>
    <x v="10"/>
  </r>
  <r>
    <s v="MonthlyTradeStatistics 2023_11.xlsx"/>
    <x v="38"/>
    <n v="33.485900000000001"/>
    <s v="2023_11.xlsx"/>
    <x v="7"/>
    <x v="10"/>
  </r>
  <r>
    <s v="MonthlyTradeStatistics 2023_11.xlsx"/>
    <x v="39"/>
    <n v="61155.885199999997"/>
    <s v="2023_11.xlsx"/>
    <x v="7"/>
    <x v="10"/>
  </r>
  <r>
    <s v="MonthlyTradeStatistics 2023_11.xlsx"/>
    <x v="40"/>
    <n v="0"/>
    <s v="2023_11.xlsx"/>
    <x v="7"/>
    <x v="10"/>
  </r>
  <r>
    <s v="MonthlyTradeStatistics 2023_11.xlsx"/>
    <x v="41"/>
    <n v="30.126799999999999"/>
    <s v="2023_11.xlsx"/>
    <x v="7"/>
    <x v="10"/>
  </r>
  <r>
    <s v="MonthlyTradeStatistics 2023_11.xlsx"/>
    <x v="42"/>
    <n v="125785.3333"/>
    <s v="2023_11.xlsx"/>
    <x v="7"/>
    <x v="10"/>
  </r>
  <r>
    <s v="MonthlyTradeStatistics 2023_11.xlsx"/>
    <x v="43"/>
    <n v="0.25"/>
    <s v="2023_11.xlsx"/>
    <x v="7"/>
    <x v="10"/>
  </r>
  <r>
    <s v="MonthlyTradeStatistics 2023_11.xlsx"/>
    <x v="44"/>
    <n v="565702.01130000001"/>
    <s v="2023_11.xlsx"/>
    <x v="7"/>
    <x v="10"/>
  </r>
  <r>
    <s v="MonthlyTradeStatistics 2023_11.xlsx"/>
    <x v="45"/>
    <n v="4.9997999999999996"/>
    <s v="2023_11.xlsx"/>
    <x v="7"/>
    <x v="10"/>
  </r>
  <r>
    <s v="MonthlyTradeStatistics 2023_11.xlsx"/>
    <x v="46"/>
    <n v="26119.999599999999"/>
    <s v="2023_11.xlsx"/>
    <x v="7"/>
    <x v="10"/>
  </r>
  <r>
    <s v="MonthlyTradeStatistics 2023_11.xlsx"/>
    <x v="47"/>
    <n v="1400"/>
    <s v="2023_11.xlsx"/>
    <x v="7"/>
    <x v="10"/>
  </r>
  <r>
    <s v="MonthlyTradeStatistics 2023_11.xlsx"/>
    <x v="48"/>
    <n v="58.467599999999997"/>
    <s v="2023_11.xlsx"/>
    <x v="7"/>
    <x v="10"/>
  </r>
  <r>
    <s v="MonthlyTradeStatistics 2023_11.xlsx"/>
    <x v="49"/>
    <n v="82034.741699999999"/>
    <s v="2023_11.xlsx"/>
    <x v="7"/>
    <x v="10"/>
  </r>
  <r>
    <s v="MonthlyTradeStatistics 2023_11.xlsx"/>
    <x v="50"/>
    <n v="19636.9136"/>
    <s v="2023_11.xlsx"/>
    <x v="7"/>
    <x v="10"/>
  </r>
  <r>
    <s v="MonthlyTradeStatistics 2023_11.xlsx"/>
    <x v="51"/>
    <n v="4599.8333000000002"/>
    <s v="2023_11.xlsx"/>
    <x v="7"/>
    <x v="10"/>
  </r>
  <r>
    <s v="MonthlyTradeStatistics 2023_11.xlsx"/>
    <x v="52"/>
    <n v="0"/>
    <s v="2023_11.xlsx"/>
    <x v="7"/>
    <x v="10"/>
  </r>
  <r>
    <s v="MonthlyTradeStatistics 2023_11.xlsx"/>
    <x v="53"/>
    <n v="393.2765"/>
    <s v="2023_11.xlsx"/>
    <x v="7"/>
    <x v="10"/>
  </r>
  <r>
    <s v="MonthlyTradeStatistics 2023_11.xlsx"/>
    <x v="54"/>
    <n v="425379.43"/>
    <s v="2023_11.xlsx"/>
    <x v="7"/>
    <x v="10"/>
  </r>
  <r>
    <s v="MonthlyTradeStatistics 2023_11.xlsx"/>
    <x v="55"/>
    <n v="800"/>
    <s v="2023_11.xlsx"/>
    <x v="7"/>
    <x v="10"/>
  </r>
  <r>
    <s v="MonthlyTradeStatistics 2023_11.xlsx"/>
    <x v="56"/>
    <n v="1944831.8419999999"/>
    <s v="2023_11.xlsx"/>
    <x v="7"/>
    <x v="10"/>
  </r>
  <r>
    <s v="MonthlyTradeStatistics 2023_11.xlsx"/>
    <x v="57"/>
    <n v="3939.7964999999999"/>
    <s v="2023_11.xlsx"/>
    <x v="7"/>
    <x v="10"/>
  </r>
  <r>
    <s v="MonthlyTradeStatistics 2023_11.xlsx"/>
    <x v="58"/>
    <n v="14302"/>
    <s v="2023_11.xlsx"/>
    <x v="7"/>
    <x v="10"/>
  </r>
  <r>
    <s v="MonthlyTradeStatistics 2023_11.xlsx"/>
    <x v="59"/>
    <n v="0"/>
    <s v="2023_11.xlsx"/>
    <x v="7"/>
    <x v="10"/>
  </r>
  <r>
    <s v="MonthlyTradeStatistics 2023_12.xlsx"/>
    <x v="0"/>
    <n v="12127234.4669"/>
    <s v="2023_12.xlsx"/>
    <x v="7"/>
    <x v="11"/>
  </r>
  <r>
    <s v="MonthlyTradeStatistics 2023_12.xlsx"/>
    <x v="1"/>
    <n v="1136748.02"/>
    <s v="2023_12.xlsx"/>
    <x v="7"/>
    <x v="11"/>
  </r>
  <r>
    <s v="MonthlyTradeStatistics 2023_12.xlsx"/>
    <x v="2"/>
    <n v="1596964.49"/>
    <s v="2023_12.xlsx"/>
    <x v="7"/>
    <x v="11"/>
  </r>
  <r>
    <s v="MonthlyTradeStatistics 2023_12.xlsx"/>
    <x v="3"/>
    <n v="4205725.2786999997"/>
    <s v="2023_12.xlsx"/>
    <x v="7"/>
    <x v="11"/>
  </r>
  <r>
    <s v="MonthlyTradeStatistics 2023_12.xlsx"/>
    <x v="4"/>
    <n v="5187796.6782"/>
    <s v="2023_12.xlsx"/>
    <x v="7"/>
    <x v="11"/>
  </r>
  <r>
    <s v="MonthlyTradeStatistics 2023_12.xlsx"/>
    <x v="5"/>
    <n v="1238.5834"/>
    <s v="2023_12.xlsx"/>
    <x v="7"/>
    <x v="11"/>
  </r>
  <r>
    <s v="MonthlyTradeStatistics 2023_12.xlsx"/>
    <x v="6"/>
    <n v="4119.4666999999999"/>
    <s v="2023_12.xlsx"/>
    <x v="7"/>
    <x v="11"/>
  </r>
  <r>
    <s v="MonthlyTradeStatistics 2023_12.xlsx"/>
    <x v="7"/>
    <n v="4186199.7505999999"/>
    <s v="2023_12.xlsx"/>
    <x v="7"/>
    <x v="11"/>
  </r>
  <r>
    <s v="MonthlyTradeStatistics 2023_12.xlsx"/>
    <x v="8"/>
    <n v="14388.7752"/>
    <s v="2023_12.xlsx"/>
    <x v="7"/>
    <x v="11"/>
  </r>
  <r>
    <s v="MonthlyTradeStatistics 2023_12.xlsx"/>
    <x v="9"/>
    <n v="8573.99"/>
    <s v="2023_12.xlsx"/>
    <x v="7"/>
    <x v="11"/>
  </r>
  <r>
    <s v="MonthlyTradeStatistics 2023_12.xlsx"/>
    <x v="10"/>
    <n v="700"/>
    <s v="2023_12.xlsx"/>
    <x v="7"/>
    <x v="11"/>
  </r>
  <r>
    <s v="MonthlyTradeStatistics 2023_12.xlsx"/>
    <x v="11"/>
    <n v="1074456.1654000001"/>
    <s v="2023_12.xlsx"/>
    <x v="7"/>
    <x v="11"/>
  </r>
  <r>
    <s v="MonthlyTradeStatistics 2023_12.xlsx"/>
    <x v="12"/>
    <n v="0"/>
    <s v="2023_12.xlsx"/>
    <x v="7"/>
    <x v="11"/>
  </r>
  <r>
    <s v="MonthlyTradeStatistics 2023_12.xlsx"/>
    <x v="13"/>
    <n v="19833.252799999998"/>
    <s v="2023_12.xlsx"/>
    <x v="7"/>
    <x v="11"/>
  </r>
  <r>
    <s v="MonthlyTradeStatistics 2023_12.xlsx"/>
    <x v="14"/>
    <n v="44328.116800000003"/>
    <s v="2023_12.xlsx"/>
    <x v="7"/>
    <x v="11"/>
  </r>
  <r>
    <s v="MonthlyTradeStatistics 2023_12.xlsx"/>
    <x v="15"/>
    <n v="1099.9917"/>
    <s v="2023_12.xlsx"/>
    <x v="7"/>
    <x v="11"/>
  </r>
  <r>
    <s v="MonthlyTradeStatistics 2023_12.xlsx"/>
    <x v="16"/>
    <n v="8700"/>
    <s v="2023_12.xlsx"/>
    <x v="7"/>
    <x v="11"/>
  </r>
  <r>
    <s v="MonthlyTradeStatistics 2023_12.xlsx"/>
    <x v="17"/>
    <n v="2135.9919"/>
    <s v="2023_12.xlsx"/>
    <x v="7"/>
    <x v="11"/>
  </r>
  <r>
    <s v="MonthlyTradeStatistics 2023_12.xlsx"/>
    <x v="18"/>
    <n v="39602.144"/>
    <s v="2023_12.xlsx"/>
    <x v="7"/>
    <x v="11"/>
  </r>
  <r>
    <s v="MonthlyTradeStatistics 2023_12.xlsx"/>
    <x v="19"/>
    <n v="7510.8621000000003"/>
    <s v="2023_12.xlsx"/>
    <x v="7"/>
    <x v="11"/>
  </r>
  <r>
    <s v="MonthlyTradeStatistics 2023_12.xlsx"/>
    <x v="21"/>
    <n v="440000"/>
    <s v="2023_12.xlsx"/>
    <x v="7"/>
    <x v="11"/>
  </r>
  <r>
    <s v="MonthlyTradeStatistics 2023_12.xlsx"/>
    <x v="23"/>
    <n v="841.14980000000003"/>
    <s v="2023_12.xlsx"/>
    <x v="7"/>
    <x v="11"/>
  </r>
  <r>
    <s v="MonthlyTradeStatistics 2023_12.xlsx"/>
    <x v="24"/>
    <n v="57941.203500000003"/>
    <s v="2023_12.xlsx"/>
    <x v="7"/>
    <x v="11"/>
  </r>
  <r>
    <s v="MonthlyTradeStatistics 2023_12.xlsx"/>
    <x v="25"/>
    <n v="45037.5003"/>
    <s v="2023_12.xlsx"/>
    <x v="7"/>
    <x v="11"/>
  </r>
  <r>
    <s v="MonthlyTradeStatistics 2023_12.xlsx"/>
    <x v="26"/>
    <n v="3.5700000000000003E-2"/>
    <s v="2023_12.xlsx"/>
    <x v="7"/>
    <x v="11"/>
  </r>
  <r>
    <s v="MonthlyTradeStatistics 2023_12.xlsx"/>
    <x v="27"/>
    <n v="120"/>
    <s v="2023_12.xlsx"/>
    <x v="7"/>
    <x v="11"/>
  </r>
  <r>
    <s v="MonthlyTradeStatistics 2023_12.xlsx"/>
    <x v="28"/>
    <n v="213118"/>
    <s v="2023_12.xlsx"/>
    <x v="7"/>
    <x v="11"/>
  </r>
  <r>
    <s v="MonthlyTradeStatistics 2023_12.xlsx"/>
    <x v="29"/>
    <n v="360599.5245"/>
    <s v="2023_12.xlsx"/>
    <x v="7"/>
    <x v="11"/>
  </r>
  <r>
    <s v="MonthlyTradeStatistics 2023_12.xlsx"/>
    <x v="30"/>
    <n v="714312.60120000003"/>
    <s v="2023_12.xlsx"/>
    <x v="7"/>
    <x v="11"/>
  </r>
  <r>
    <s v="MonthlyTradeStatistics 2023_12.xlsx"/>
    <x v="31"/>
    <n v="598.90449999999998"/>
    <s v="2023_12.xlsx"/>
    <x v="7"/>
    <x v="11"/>
  </r>
  <r>
    <s v="MonthlyTradeStatistics 2023_12.xlsx"/>
    <x v="32"/>
    <n v="28509.5746"/>
    <s v="2023_12.xlsx"/>
    <x v="7"/>
    <x v="11"/>
  </r>
  <r>
    <s v="MonthlyTradeStatistics 2023_12.xlsx"/>
    <x v="33"/>
    <n v="42400.000399999997"/>
    <s v="2023_12.xlsx"/>
    <x v="7"/>
    <x v="11"/>
  </r>
  <r>
    <s v="MonthlyTradeStatistics 2023_12.xlsx"/>
    <x v="35"/>
    <n v="2.4268000000000001"/>
    <s v="2023_12.xlsx"/>
    <x v="7"/>
    <x v="11"/>
  </r>
  <r>
    <s v="MonthlyTradeStatistics 2023_12.xlsx"/>
    <x v="36"/>
    <n v="609.3175"/>
    <s v="2023_12.xlsx"/>
    <x v="7"/>
    <x v="11"/>
  </r>
  <r>
    <s v="MonthlyTradeStatistics 2023_12.xlsx"/>
    <x v="37"/>
    <n v="165600.00099999999"/>
    <s v="2023_12.xlsx"/>
    <x v="7"/>
    <x v="11"/>
  </r>
  <r>
    <s v="MonthlyTradeStatistics 2023_12.xlsx"/>
    <x v="38"/>
    <n v="10.850099999999999"/>
    <s v="2023_12.xlsx"/>
    <x v="7"/>
    <x v="11"/>
  </r>
  <r>
    <s v="MonthlyTradeStatistics 2023_12.xlsx"/>
    <x v="39"/>
    <n v="45489.300600000002"/>
    <s v="2023_12.xlsx"/>
    <x v="7"/>
    <x v="11"/>
  </r>
  <r>
    <s v="MonthlyTradeStatistics 2023_12.xlsx"/>
    <x v="40"/>
    <n v="0"/>
    <s v="2023_12.xlsx"/>
    <x v="7"/>
    <x v="11"/>
  </r>
  <r>
    <s v="MonthlyTradeStatistics 2023_12.xlsx"/>
    <x v="41"/>
    <n v="1010.8637"/>
    <s v="2023_12.xlsx"/>
    <x v="7"/>
    <x v="11"/>
  </r>
  <r>
    <s v="MonthlyTradeStatistics 2023_12.xlsx"/>
    <x v="42"/>
    <n v="121315.3333"/>
    <s v="2023_12.xlsx"/>
    <x v="7"/>
    <x v="11"/>
  </r>
  <r>
    <s v="MonthlyTradeStatistics 2023_12.xlsx"/>
    <x v="43"/>
    <n v="11.021699999999999"/>
    <s v="2023_12.xlsx"/>
    <x v="7"/>
    <x v="11"/>
  </r>
  <r>
    <s v="MonthlyTradeStatistics 2023_12.xlsx"/>
    <x v="44"/>
    <n v="464981.946"/>
    <s v="2023_12.xlsx"/>
    <x v="7"/>
    <x v="11"/>
  </r>
  <r>
    <s v="MonthlyTradeStatistics 2023_12.xlsx"/>
    <x v="45"/>
    <n v="4.9997999999999996"/>
    <s v="2023_12.xlsx"/>
    <x v="7"/>
    <x v="11"/>
  </r>
  <r>
    <s v="MonthlyTradeStatistics 2023_12.xlsx"/>
    <x v="46"/>
    <n v="62279.9951"/>
    <s v="2023_12.xlsx"/>
    <x v="7"/>
    <x v="11"/>
  </r>
  <r>
    <s v="MonthlyTradeStatistics 2023_12.xlsx"/>
    <x v="47"/>
    <n v="1500"/>
    <s v="2023_12.xlsx"/>
    <x v="7"/>
    <x v="11"/>
  </r>
  <r>
    <s v="MonthlyTradeStatistics 2023_12.xlsx"/>
    <x v="48"/>
    <n v="28.305199999999999"/>
    <s v="2023_12.xlsx"/>
    <x v="7"/>
    <x v="11"/>
  </r>
  <r>
    <s v="MonthlyTradeStatistics 2023_12.xlsx"/>
    <x v="49"/>
    <n v="56779.68"/>
    <s v="2023_12.xlsx"/>
    <x v="7"/>
    <x v="11"/>
  </r>
  <r>
    <s v="MonthlyTradeStatistics 2023_12.xlsx"/>
    <x v="50"/>
    <n v="19425.786400000001"/>
    <s v="2023_12.xlsx"/>
    <x v="7"/>
    <x v="11"/>
  </r>
  <r>
    <s v="MonthlyTradeStatistics 2023_12.xlsx"/>
    <x v="51"/>
    <n v="6778.7833000000001"/>
    <s v="2023_12.xlsx"/>
    <x v="7"/>
    <x v="11"/>
  </r>
  <r>
    <s v="MonthlyTradeStatistics 2023_12.xlsx"/>
    <x v="52"/>
    <n v="606.82669999999996"/>
    <s v="2023_12.xlsx"/>
    <x v="7"/>
    <x v="11"/>
  </r>
  <r>
    <s v="MonthlyTradeStatistics 2023_12.xlsx"/>
    <x v="53"/>
    <n v="277.91930000000002"/>
    <s v="2023_12.xlsx"/>
    <x v="7"/>
    <x v="11"/>
  </r>
  <r>
    <s v="MonthlyTradeStatistics 2023_12.xlsx"/>
    <x v="54"/>
    <n v="401336"/>
    <s v="2023_12.xlsx"/>
    <x v="7"/>
    <x v="11"/>
  </r>
  <r>
    <s v="MonthlyTradeStatistics 2023_12.xlsx"/>
    <x v="55"/>
    <n v="5000"/>
    <s v="2023_12.xlsx"/>
    <x v="7"/>
    <x v="11"/>
  </r>
  <r>
    <s v="MonthlyTradeStatistics 2023_12.xlsx"/>
    <x v="56"/>
    <n v="3443419.4190000002"/>
    <s v="2023_12.xlsx"/>
    <x v="7"/>
    <x v="11"/>
  </r>
  <r>
    <s v="MonthlyTradeStatistics 2023_12.xlsx"/>
    <x v="57"/>
    <n v="4678.4395999999997"/>
    <s v="2023_12.xlsx"/>
    <x v="7"/>
    <x v="11"/>
  </r>
  <r>
    <s v="MonthlyTradeStatistics 2023_12.xlsx"/>
    <x v="58"/>
    <n v="9401.6666999999998"/>
    <s v="2023_12.xlsx"/>
    <x v="7"/>
    <x v="11"/>
  </r>
  <r>
    <s v="MonthlyTradeStatistics 2023_12.xlsx"/>
    <x v="59"/>
    <n v="320"/>
    <s v="2023_12.xlsx"/>
    <x v="7"/>
    <x v="11"/>
  </r>
  <r>
    <s v="MonthlyTradeStatistics 2024_01.xlsx"/>
    <x v="0"/>
    <n v="12476187.355699999"/>
    <s v="2024_01.xlsx"/>
    <x v="8"/>
    <x v="0"/>
  </r>
  <r>
    <s v="MonthlyTradeStatistics 2024_01.xlsx"/>
    <x v="1"/>
    <n v="1062254.4691000001"/>
    <s v="2024_01.xlsx"/>
    <x v="8"/>
    <x v="0"/>
  </r>
  <r>
    <s v="MonthlyTradeStatistics 2024_01.xlsx"/>
    <x v="2"/>
    <n v="1933711.6673999999"/>
    <s v="2024_01.xlsx"/>
    <x v="8"/>
    <x v="0"/>
  </r>
  <r>
    <s v="MonthlyTradeStatistics 2024_01.xlsx"/>
    <x v="3"/>
    <n v="3760470.0723000001"/>
    <s v="2024_01.xlsx"/>
    <x v="8"/>
    <x v="0"/>
  </r>
  <r>
    <s v="MonthlyTradeStatistics 2024_01.xlsx"/>
    <x v="4"/>
    <n v="5719751.1469000001"/>
    <s v="2024_01.xlsx"/>
    <x v="8"/>
    <x v="0"/>
  </r>
  <r>
    <s v="MonthlyTradeStatistics 2024_01.xlsx"/>
    <x v="5"/>
    <n v="3026.2485000000001"/>
    <s v="2024_01.xlsx"/>
    <x v="8"/>
    <x v="0"/>
  </r>
  <r>
    <s v="MonthlyTradeStatistics 2024_01.xlsx"/>
    <x v="6"/>
    <n v="3850.0832999999998"/>
    <s v="2024_01.xlsx"/>
    <x v="8"/>
    <x v="0"/>
  </r>
  <r>
    <s v="MonthlyTradeStatistics 2024_01.xlsx"/>
    <x v="7"/>
    <n v="3998730.5814999999"/>
    <s v="2024_01.xlsx"/>
    <x v="8"/>
    <x v="0"/>
  </r>
  <r>
    <s v="MonthlyTradeStatistics 2024_01.xlsx"/>
    <x v="8"/>
    <n v="6100"/>
    <s v="2024_01.xlsx"/>
    <x v="8"/>
    <x v="0"/>
  </r>
  <r>
    <s v="MonthlyTradeStatistics 2024_01.xlsx"/>
    <x v="9"/>
    <n v="11091.816699999999"/>
    <s v="2024_01.xlsx"/>
    <x v="8"/>
    <x v="0"/>
  </r>
  <r>
    <s v="MonthlyTradeStatistics 2024_01.xlsx"/>
    <x v="10"/>
    <n v="1000"/>
    <s v="2024_01.xlsx"/>
    <x v="8"/>
    <x v="0"/>
  </r>
  <r>
    <s v="MonthlyTradeStatistics 2024_01.xlsx"/>
    <x v="11"/>
    <n v="943061.63749999995"/>
    <s v="2024_01.xlsx"/>
    <x v="8"/>
    <x v="0"/>
  </r>
  <r>
    <s v="MonthlyTradeStatistics 2024_01.xlsx"/>
    <x v="12"/>
    <n v="0"/>
    <s v="2024_01.xlsx"/>
    <x v="8"/>
    <x v="0"/>
  </r>
  <r>
    <s v="MonthlyTradeStatistics 2024_01.xlsx"/>
    <x v="13"/>
    <n v="60449.552100000001"/>
    <s v="2024_01.xlsx"/>
    <x v="8"/>
    <x v="0"/>
  </r>
  <r>
    <s v="MonthlyTradeStatistics 2024_01.xlsx"/>
    <x v="14"/>
    <n v="70176.917300000001"/>
    <s v="2024_01.xlsx"/>
    <x v="8"/>
    <x v="0"/>
  </r>
  <r>
    <s v="MonthlyTradeStatistics 2024_01.xlsx"/>
    <x v="15"/>
    <n v="1399.9992999999999"/>
    <s v="2024_01.xlsx"/>
    <x v="8"/>
    <x v="0"/>
  </r>
  <r>
    <s v="MonthlyTradeStatistics 2024_01.xlsx"/>
    <x v="16"/>
    <n v="12200"/>
    <s v="2024_01.xlsx"/>
    <x v="8"/>
    <x v="0"/>
  </r>
  <r>
    <s v="MonthlyTradeStatistics 2024_01.xlsx"/>
    <x v="17"/>
    <n v="618.32320000000004"/>
    <s v="2024_01.xlsx"/>
    <x v="8"/>
    <x v="0"/>
  </r>
  <r>
    <s v="MonthlyTradeStatistics 2024_01.xlsx"/>
    <x v="18"/>
    <n v="50388.701999999997"/>
    <s v="2024_01.xlsx"/>
    <x v="8"/>
    <x v="0"/>
  </r>
  <r>
    <s v="MonthlyTradeStatistics 2024_01.xlsx"/>
    <x v="19"/>
    <n v="7924.7143999999998"/>
    <s v="2024_01.xlsx"/>
    <x v="8"/>
    <x v="0"/>
  </r>
  <r>
    <s v="MonthlyTradeStatistics 2024_01.xlsx"/>
    <x v="21"/>
    <n v="210000"/>
    <s v="2024_01.xlsx"/>
    <x v="8"/>
    <x v="0"/>
  </r>
  <r>
    <s v="MonthlyTradeStatistics 2024_01.xlsx"/>
    <x v="23"/>
    <n v="511.9033"/>
    <s v="2024_01.xlsx"/>
    <x v="8"/>
    <x v="0"/>
  </r>
  <r>
    <s v="MonthlyTradeStatistics 2024_01.xlsx"/>
    <x v="24"/>
    <n v="191585.8848"/>
    <s v="2024_01.xlsx"/>
    <x v="8"/>
    <x v="0"/>
  </r>
  <r>
    <s v="MonthlyTradeStatistics 2024_01.xlsx"/>
    <x v="25"/>
    <n v="42305.050199999998"/>
    <s v="2024_01.xlsx"/>
    <x v="8"/>
    <x v="0"/>
  </r>
  <r>
    <s v="MonthlyTradeStatistics 2024_01.xlsx"/>
    <x v="26"/>
    <n v="4.3299999999999998E-2"/>
    <s v="2024_01.xlsx"/>
    <x v="8"/>
    <x v="0"/>
  </r>
  <r>
    <s v="MonthlyTradeStatistics 2024_01.xlsx"/>
    <x v="27"/>
    <n v="20"/>
    <s v="2024_01.xlsx"/>
    <x v="8"/>
    <x v="0"/>
  </r>
  <r>
    <s v="MonthlyTradeStatistics 2024_01.xlsx"/>
    <x v="28"/>
    <n v="342365.86"/>
    <s v="2024_01.xlsx"/>
    <x v="8"/>
    <x v="0"/>
  </r>
  <r>
    <s v="MonthlyTradeStatistics 2024_01.xlsx"/>
    <x v="29"/>
    <n v="431196.10100000002"/>
    <s v="2024_01.xlsx"/>
    <x v="8"/>
    <x v="0"/>
  </r>
  <r>
    <s v="MonthlyTradeStatistics 2024_01.xlsx"/>
    <x v="30"/>
    <n v="464389.7242"/>
    <s v="2024_01.xlsx"/>
    <x v="8"/>
    <x v="0"/>
  </r>
  <r>
    <s v="MonthlyTradeStatistics 2024_01.xlsx"/>
    <x v="31"/>
    <n v="1311.8018"/>
    <s v="2024_01.xlsx"/>
    <x v="8"/>
    <x v="0"/>
  </r>
  <r>
    <s v="MonthlyTradeStatistics 2024_01.xlsx"/>
    <x v="32"/>
    <n v="48869.181600000004"/>
    <s v="2024_01.xlsx"/>
    <x v="8"/>
    <x v="0"/>
  </r>
  <r>
    <s v="MonthlyTradeStatistics 2024_01.xlsx"/>
    <x v="33"/>
    <n v="25399.991999999998"/>
    <s v="2024_01.xlsx"/>
    <x v="8"/>
    <x v="0"/>
  </r>
  <r>
    <s v="MonthlyTradeStatistics 2024_01.xlsx"/>
    <x v="35"/>
    <n v="2.4405000000000001"/>
    <s v="2024_01.xlsx"/>
    <x v="8"/>
    <x v="0"/>
  </r>
  <r>
    <s v="MonthlyTradeStatistics 2024_01.xlsx"/>
    <x v="36"/>
    <n v="1641.7959000000001"/>
    <s v="2024_01.xlsx"/>
    <x v="8"/>
    <x v="0"/>
  </r>
  <r>
    <s v="MonthlyTradeStatistics 2024_01.xlsx"/>
    <x v="37"/>
    <n v="253350.0061"/>
    <s v="2024_01.xlsx"/>
    <x v="8"/>
    <x v="0"/>
  </r>
  <r>
    <s v="MonthlyTradeStatistics 2024_01.xlsx"/>
    <x v="38"/>
    <n v="37.936199999999999"/>
    <s v="2024_01.xlsx"/>
    <x v="8"/>
    <x v="0"/>
  </r>
  <r>
    <s v="MonthlyTradeStatistics 2024_01.xlsx"/>
    <x v="39"/>
    <n v="134399.99069999999"/>
    <s v="2024_01.xlsx"/>
    <x v="8"/>
    <x v="0"/>
  </r>
  <r>
    <s v="MonthlyTradeStatistics 2024_01.xlsx"/>
    <x v="40"/>
    <n v="0"/>
    <s v="2024_01.xlsx"/>
    <x v="8"/>
    <x v="0"/>
  </r>
  <r>
    <s v="MonthlyTradeStatistics 2024_01.xlsx"/>
    <x v="41"/>
    <n v="2029.3142"/>
    <s v="2024_01.xlsx"/>
    <x v="8"/>
    <x v="0"/>
  </r>
  <r>
    <s v="MonthlyTradeStatistics 2024_01.xlsx"/>
    <x v="42"/>
    <n v="58439.06"/>
    <s v="2024_01.xlsx"/>
    <x v="8"/>
    <x v="0"/>
  </r>
  <r>
    <s v="MonthlyTradeStatistics 2024_01.xlsx"/>
    <x v="43"/>
    <n v="0"/>
    <s v="2024_01.xlsx"/>
    <x v="8"/>
    <x v="0"/>
  </r>
  <r>
    <s v="MonthlyTradeStatistics 2024_01.xlsx"/>
    <x v="44"/>
    <n v="437690.84749999997"/>
    <s v="2024_01.xlsx"/>
    <x v="8"/>
    <x v="0"/>
  </r>
  <r>
    <s v="MonthlyTradeStatistics 2024_01.xlsx"/>
    <x v="45"/>
    <n v="0.96550000000000002"/>
    <s v="2024_01.xlsx"/>
    <x v="8"/>
    <x v="0"/>
  </r>
  <r>
    <s v="MonthlyTradeStatistics 2024_01.xlsx"/>
    <x v="46"/>
    <n v="21089.9997"/>
    <s v="2024_01.xlsx"/>
    <x v="8"/>
    <x v="0"/>
  </r>
  <r>
    <s v="MonthlyTradeStatistics 2024_01.xlsx"/>
    <x v="47"/>
    <n v="2200"/>
    <s v="2024_01.xlsx"/>
    <x v="8"/>
    <x v="0"/>
  </r>
  <r>
    <s v="MonthlyTradeStatistics 2024_01.xlsx"/>
    <x v="48"/>
    <n v="22.642700000000001"/>
    <s v="2024_01.xlsx"/>
    <x v="8"/>
    <x v="0"/>
  </r>
  <r>
    <s v="MonthlyTradeStatistics 2024_01.xlsx"/>
    <x v="49"/>
    <n v="98213.23"/>
    <s v="2024_01.xlsx"/>
    <x v="8"/>
    <x v="0"/>
  </r>
  <r>
    <s v="MonthlyTradeStatistics 2024_01.xlsx"/>
    <x v="50"/>
    <n v="15122.193600000001"/>
    <s v="2024_01.xlsx"/>
    <x v="8"/>
    <x v="0"/>
  </r>
  <r>
    <s v="MonthlyTradeStatistics 2024_01.xlsx"/>
    <x v="51"/>
    <n v="4714.3333000000002"/>
    <s v="2024_01.xlsx"/>
    <x v="8"/>
    <x v="0"/>
  </r>
  <r>
    <s v="MonthlyTradeStatistics 2024_01.xlsx"/>
    <x v="52"/>
    <n v="10061.620000000001"/>
    <s v="2024_01.xlsx"/>
    <x v="8"/>
    <x v="0"/>
  </r>
  <r>
    <s v="MonthlyTradeStatistics 2024_01.xlsx"/>
    <x v="53"/>
    <n v="156.15010000000001"/>
    <s v="2024_01.xlsx"/>
    <x v="8"/>
    <x v="0"/>
  </r>
  <r>
    <s v="MonthlyTradeStatistics 2024_01.xlsx"/>
    <x v="54"/>
    <n v="481586"/>
    <s v="2024_01.xlsx"/>
    <x v="8"/>
    <x v="0"/>
  </r>
  <r>
    <s v="MonthlyTradeStatistics 2024_01.xlsx"/>
    <x v="55"/>
    <n v="4400"/>
    <s v="2024_01.xlsx"/>
    <x v="8"/>
    <x v="0"/>
  </r>
  <r>
    <s v="MonthlyTradeStatistics 2024_01.xlsx"/>
    <x v="56"/>
    <n v="4012790.7163"/>
    <s v="2024_01.xlsx"/>
    <x v="8"/>
    <x v="0"/>
  </r>
  <r>
    <s v="MonthlyTradeStatistics 2024_01.xlsx"/>
    <x v="57"/>
    <n v="2500.9953999999998"/>
    <s v="2024_01.xlsx"/>
    <x v="8"/>
    <x v="0"/>
  </r>
  <r>
    <s v="MonthlyTradeStatistics 2024_01.xlsx"/>
    <x v="58"/>
    <n v="6803"/>
    <s v="2024_01.xlsx"/>
    <x v="8"/>
    <x v="0"/>
  </r>
  <r>
    <s v="MonthlyTradeStatistics 2024_01.xlsx"/>
    <x v="59"/>
    <n v="960"/>
    <s v="2024_01.xlsx"/>
    <x v="8"/>
    <x v="0"/>
  </r>
  <r>
    <s v="MonthlyTradeStatistics 2024_02.xlsx"/>
    <x v="0"/>
    <n v="11392962.5152"/>
    <s v="2024_02.xlsx"/>
    <x v="8"/>
    <x v="1"/>
  </r>
  <r>
    <s v="MonthlyTradeStatistics 2024_02.xlsx"/>
    <x v="1"/>
    <n v="1168200.7341"/>
    <s v="2024_02.xlsx"/>
    <x v="8"/>
    <x v="1"/>
  </r>
  <r>
    <s v="MonthlyTradeStatistics 2024_02.xlsx"/>
    <x v="2"/>
    <n v="2119978.7464999999"/>
    <s v="2024_02.xlsx"/>
    <x v="8"/>
    <x v="1"/>
  </r>
  <r>
    <s v="MonthlyTradeStatistics 2024_02.xlsx"/>
    <x v="3"/>
    <n v="3330656.1886"/>
    <s v="2024_02.xlsx"/>
    <x v="8"/>
    <x v="1"/>
  </r>
  <r>
    <s v="MonthlyTradeStatistics 2024_02.xlsx"/>
    <x v="4"/>
    <n v="4774126.8459999999"/>
    <s v="2024_02.xlsx"/>
    <x v="8"/>
    <x v="1"/>
  </r>
  <r>
    <s v="MonthlyTradeStatistics 2024_02.xlsx"/>
    <x v="5"/>
    <n v="920.01670000000001"/>
    <s v="2024_02.xlsx"/>
    <x v="8"/>
    <x v="1"/>
  </r>
  <r>
    <s v="MonthlyTradeStatistics 2024_02.xlsx"/>
    <x v="6"/>
    <n v="2649.107"/>
    <s v="2024_02.xlsx"/>
    <x v="8"/>
    <x v="1"/>
  </r>
  <r>
    <s v="MonthlyTradeStatistics 2024_02.xlsx"/>
    <x v="7"/>
    <n v="3742175.4912"/>
    <s v="2024_02.xlsx"/>
    <x v="8"/>
    <x v="1"/>
  </r>
  <r>
    <s v="MonthlyTradeStatistics 2024_02.xlsx"/>
    <x v="8"/>
    <n v="6300"/>
    <s v="2024_02.xlsx"/>
    <x v="8"/>
    <x v="1"/>
  </r>
  <r>
    <s v="MonthlyTradeStatistics 2024_02.xlsx"/>
    <x v="9"/>
    <n v="10758.266"/>
    <s v="2024_02.xlsx"/>
    <x v="8"/>
    <x v="1"/>
  </r>
  <r>
    <s v="MonthlyTradeStatistics 2024_02.xlsx"/>
    <x v="10"/>
    <n v="600"/>
    <s v="2024_02.xlsx"/>
    <x v="8"/>
    <x v="1"/>
  </r>
  <r>
    <s v="MonthlyTradeStatistics 2024_02.xlsx"/>
    <x v="11"/>
    <n v="1051144.2186"/>
    <s v="2024_02.xlsx"/>
    <x v="8"/>
    <x v="1"/>
  </r>
  <r>
    <s v="MonthlyTradeStatistics 2024_02.xlsx"/>
    <x v="12"/>
    <n v="0"/>
    <s v="2024_02.xlsx"/>
    <x v="8"/>
    <x v="1"/>
  </r>
  <r>
    <s v="MonthlyTradeStatistics 2024_02.xlsx"/>
    <x v="13"/>
    <n v="58899.527999999998"/>
    <s v="2024_02.xlsx"/>
    <x v="8"/>
    <x v="1"/>
  </r>
  <r>
    <s v="MonthlyTradeStatistics 2024_02.xlsx"/>
    <x v="14"/>
    <n v="96570.683099999995"/>
    <s v="2024_02.xlsx"/>
    <x v="8"/>
    <x v="1"/>
  </r>
  <r>
    <s v="MonthlyTradeStatistics 2024_02.xlsx"/>
    <x v="15"/>
    <n v="1599.9992999999999"/>
    <s v="2024_02.xlsx"/>
    <x v="8"/>
    <x v="1"/>
  </r>
  <r>
    <s v="MonthlyTradeStatistics 2024_02.xlsx"/>
    <x v="16"/>
    <n v="13500"/>
    <s v="2024_02.xlsx"/>
    <x v="8"/>
    <x v="1"/>
  </r>
  <r>
    <s v="MonthlyTradeStatistics 2024_02.xlsx"/>
    <x v="17"/>
    <n v="2099.9960999999998"/>
    <s v="2024_02.xlsx"/>
    <x v="8"/>
    <x v="1"/>
  </r>
  <r>
    <s v="MonthlyTradeStatistics 2024_02.xlsx"/>
    <x v="18"/>
    <n v="52789.012199999997"/>
    <s v="2024_02.xlsx"/>
    <x v="8"/>
    <x v="1"/>
  </r>
  <r>
    <s v="MonthlyTradeStatistics 2024_02.xlsx"/>
    <x v="19"/>
    <n v="40786.332999999999"/>
    <s v="2024_02.xlsx"/>
    <x v="8"/>
    <x v="1"/>
  </r>
  <r>
    <s v="MonthlyTradeStatistics 2024_02.xlsx"/>
    <x v="21"/>
    <n v="310000"/>
    <s v="2024_02.xlsx"/>
    <x v="8"/>
    <x v="1"/>
  </r>
  <r>
    <s v="MonthlyTradeStatistics 2024_02.xlsx"/>
    <x v="23"/>
    <n v="2645.7863000000002"/>
    <s v="2024_02.xlsx"/>
    <x v="8"/>
    <x v="1"/>
  </r>
  <r>
    <s v="MonthlyTradeStatistics 2024_02.xlsx"/>
    <x v="24"/>
    <n v="278803.60350000003"/>
    <s v="2024_02.xlsx"/>
    <x v="8"/>
    <x v="1"/>
  </r>
  <r>
    <s v="MonthlyTradeStatistics 2024_02.xlsx"/>
    <x v="25"/>
    <n v="38184.800199999998"/>
    <s v="2024_02.xlsx"/>
    <x v="8"/>
    <x v="1"/>
  </r>
  <r>
    <s v="MonthlyTradeStatistics 2024_02.xlsx"/>
    <x v="26"/>
    <n v="8.5875000000000004"/>
    <s v="2024_02.xlsx"/>
    <x v="8"/>
    <x v="1"/>
  </r>
  <r>
    <s v="MonthlyTradeStatistics 2024_02.xlsx"/>
    <x v="27"/>
    <n v="0"/>
    <s v="2024_02.xlsx"/>
    <x v="8"/>
    <x v="1"/>
  </r>
  <r>
    <s v="MonthlyTradeStatistics 2024_02.xlsx"/>
    <x v="28"/>
    <n v="578716.89"/>
    <s v="2024_02.xlsx"/>
    <x v="8"/>
    <x v="1"/>
  </r>
  <r>
    <s v="MonthlyTradeStatistics 2024_02.xlsx"/>
    <x v="29"/>
    <n v="737736.65249999997"/>
    <s v="2024_02.xlsx"/>
    <x v="8"/>
    <x v="1"/>
  </r>
  <r>
    <s v="MonthlyTradeStatistics 2024_02.xlsx"/>
    <x v="30"/>
    <n v="325487.50410000002"/>
    <s v="2024_02.xlsx"/>
    <x v="8"/>
    <x v="1"/>
  </r>
  <r>
    <s v="MonthlyTradeStatistics 2024_02.xlsx"/>
    <x v="31"/>
    <n v="253.2672"/>
    <s v="2024_02.xlsx"/>
    <x v="8"/>
    <x v="1"/>
  </r>
  <r>
    <s v="MonthlyTradeStatistics 2024_02.xlsx"/>
    <x v="32"/>
    <n v="48797.7255"/>
    <s v="2024_02.xlsx"/>
    <x v="8"/>
    <x v="1"/>
  </r>
  <r>
    <s v="MonthlyTradeStatistics 2024_02.xlsx"/>
    <x v="33"/>
    <n v="36000.004999999997"/>
    <s v="2024_02.xlsx"/>
    <x v="8"/>
    <x v="1"/>
  </r>
  <r>
    <s v="MonthlyTradeStatistics 2024_02.xlsx"/>
    <x v="35"/>
    <n v="0"/>
    <s v="2024_02.xlsx"/>
    <x v="8"/>
    <x v="1"/>
  </r>
  <r>
    <s v="MonthlyTradeStatistics 2024_02.xlsx"/>
    <x v="36"/>
    <n v="1041.7094999999999"/>
    <s v="2024_02.xlsx"/>
    <x v="8"/>
    <x v="1"/>
  </r>
  <r>
    <s v="MonthlyTradeStatistics 2024_02.xlsx"/>
    <x v="37"/>
    <n v="208050.01259999999"/>
    <s v="2024_02.xlsx"/>
    <x v="8"/>
    <x v="1"/>
  </r>
  <r>
    <s v="MonthlyTradeStatistics 2024_02.xlsx"/>
    <x v="38"/>
    <n v="8.2817000000000007"/>
    <s v="2024_02.xlsx"/>
    <x v="8"/>
    <x v="1"/>
  </r>
  <r>
    <s v="MonthlyTradeStatistics 2024_02.xlsx"/>
    <x v="39"/>
    <n v="196599.992"/>
    <s v="2024_02.xlsx"/>
    <x v="8"/>
    <x v="1"/>
  </r>
  <r>
    <s v="MonthlyTradeStatistics 2024_02.xlsx"/>
    <x v="40"/>
    <n v="0"/>
    <s v="2024_02.xlsx"/>
    <x v="8"/>
    <x v="1"/>
  </r>
  <r>
    <s v="MonthlyTradeStatistics 2024_02.xlsx"/>
    <x v="41"/>
    <n v="1610.2722000000001"/>
    <s v="2024_02.xlsx"/>
    <x v="8"/>
    <x v="1"/>
  </r>
  <r>
    <s v="MonthlyTradeStatistics 2024_02.xlsx"/>
    <x v="42"/>
    <n v="83903.32"/>
    <s v="2024_02.xlsx"/>
    <x v="8"/>
    <x v="1"/>
  </r>
  <r>
    <s v="MonthlyTradeStatistics 2024_02.xlsx"/>
    <x v="43"/>
    <n v="19.297799999999999"/>
    <s v="2024_02.xlsx"/>
    <x v="8"/>
    <x v="1"/>
  </r>
  <r>
    <s v="MonthlyTradeStatistics 2024_02.xlsx"/>
    <x v="44"/>
    <n v="180897.7475"/>
    <s v="2024_02.xlsx"/>
    <x v="8"/>
    <x v="1"/>
  </r>
  <r>
    <s v="MonthlyTradeStatistics 2024_02.xlsx"/>
    <x v="45"/>
    <n v="339.33199999999999"/>
    <s v="2024_02.xlsx"/>
    <x v="8"/>
    <x v="1"/>
  </r>
  <r>
    <s v="MonthlyTradeStatistics 2024_02.xlsx"/>
    <x v="46"/>
    <n v="19089.9997"/>
    <s v="2024_02.xlsx"/>
    <x v="8"/>
    <x v="1"/>
  </r>
  <r>
    <s v="MonthlyTradeStatistics 2024_02.xlsx"/>
    <x v="47"/>
    <n v="2100"/>
    <s v="2024_02.xlsx"/>
    <x v="8"/>
    <x v="1"/>
  </r>
  <r>
    <s v="MonthlyTradeStatistics 2024_02.xlsx"/>
    <x v="48"/>
    <n v="46.953699999999998"/>
    <s v="2024_02.xlsx"/>
    <x v="8"/>
    <x v="1"/>
  </r>
  <r>
    <s v="MonthlyTradeStatistics 2024_02.xlsx"/>
    <x v="49"/>
    <n v="100933.07"/>
    <s v="2024_02.xlsx"/>
    <x v="8"/>
    <x v="1"/>
  </r>
  <r>
    <s v="MonthlyTradeStatistics 2024_02.xlsx"/>
    <x v="50"/>
    <n v="16891.169600000001"/>
    <s v="2024_02.xlsx"/>
    <x v="8"/>
    <x v="1"/>
  </r>
  <r>
    <s v="MonthlyTradeStatistics 2024_02.xlsx"/>
    <x v="51"/>
    <n v="12176.6167"/>
    <s v="2024_02.xlsx"/>
    <x v="8"/>
    <x v="1"/>
  </r>
  <r>
    <s v="MonthlyTradeStatistics 2024_02.xlsx"/>
    <x v="52"/>
    <n v="11631.4"/>
    <s v="2024_02.xlsx"/>
    <x v="8"/>
    <x v="1"/>
  </r>
  <r>
    <s v="MonthlyTradeStatistics 2024_02.xlsx"/>
    <x v="53"/>
    <n v="582.55679999999995"/>
    <s v="2024_02.xlsx"/>
    <x v="8"/>
    <x v="1"/>
  </r>
  <r>
    <s v="MonthlyTradeStatistics 2024_02.xlsx"/>
    <x v="54"/>
    <n v="434582"/>
    <s v="2024_02.xlsx"/>
    <x v="8"/>
    <x v="1"/>
  </r>
  <r>
    <s v="MonthlyTradeStatistics 2024_02.xlsx"/>
    <x v="55"/>
    <n v="2900"/>
    <s v="2024_02.xlsx"/>
    <x v="8"/>
    <x v="1"/>
  </r>
  <r>
    <s v="MonthlyTradeStatistics 2024_02.xlsx"/>
    <x v="56"/>
    <n v="2671066.5269999998"/>
    <s v="2024_02.xlsx"/>
    <x v="8"/>
    <x v="1"/>
  </r>
  <r>
    <s v="MonthlyTradeStatistics 2024_02.xlsx"/>
    <x v="57"/>
    <n v="4993.7834000000003"/>
    <s v="2024_02.xlsx"/>
    <x v="8"/>
    <x v="1"/>
  </r>
  <r>
    <s v="MonthlyTradeStatistics 2024_02.xlsx"/>
    <x v="58"/>
    <n v="6071"/>
    <s v="2024_02.xlsx"/>
    <x v="8"/>
    <x v="1"/>
  </r>
  <r>
    <s v="MonthlyTradeStatistics 2024_02.xlsx"/>
    <x v="59"/>
    <n v="0"/>
    <s v="2024_02.xlsx"/>
    <x v="8"/>
    <x v="1"/>
  </r>
  <r>
    <s v="MonthlyTradeStatistics 2024_03.xlsx"/>
    <x v="0"/>
    <n v="12820428.350299999"/>
    <s v="2024_03.xlsx"/>
    <x v="8"/>
    <x v="2"/>
  </r>
  <r>
    <s v="MonthlyTradeStatistics 2024_03.xlsx"/>
    <x v="1"/>
    <n v="1153988.2089"/>
    <s v="2024_03.xlsx"/>
    <x v="8"/>
    <x v="2"/>
  </r>
  <r>
    <s v="MonthlyTradeStatistics 2024_03.xlsx"/>
    <x v="2"/>
    <n v="2429082.0868000002"/>
    <s v="2024_03.xlsx"/>
    <x v="8"/>
    <x v="2"/>
  </r>
  <r>
    <s v="MonthlyTradeStatistics 2024_03.xlsx"/>
    <x v="3"/>
    <n v="3782294.2483000001"/>
    <s v="2024_03.xlsx"/>
    <x v="8"/>
    <x v="2"/>
  </r>
  <r>
    <s v="MonthlyTradeStatistics 2024_03.xlsx"/>
    <x v="4"/>
    <n v="5455063.8063000003"/>
    <s v="2024_03.xlsx"/>
    <x v="8"/>
    <x v="2"/>
  </r>
  <r>
    <s v="MonthlyTradeStatistics 2024_03.xlsx"/>
    <x v="5"/>
    <n v="1505.4149"/>
    <s v="2024_03.xlsx"/>
    <x v="8"/>
    <x v="2"/>
  </r>
  <r>
    <s v="MonthlyTradeStatistics 2024_03.xlsx"/>
    <x v="6"/>
    <n v="2975.4450000000002"/>
    <s v="2024_03.xlsx"/>
    <x v="8"/>
    <x v="2"/>
  </r>
  <r>
    <s v="MonthlyTradeStatistics 2024_03.xlsx"/>
    <x v="7"/>
    <n v="4308615.3492999999"/>
    <s v="2024_03.xlsx"/>
    <x v="8"/>
    <x v="2"/>
  </r>
  <r>
    <s v="MonthlyTradeStatistics 2024_03.xlsx"/>
    <x v="8"/>
    <n v="5100"/>
    <s v="2024_03.xlsx"/>
    <x v="8"/>
    <x v="2"/>
  </r>
  <r>
    <s v="MonthlyTradeStatistics 2024_03.xlsx"/>
    <x v="9"/>
    <n v="6087.0334000000003"/>
    <s v="2024_03.xlsx"/>
    <x v="8"/>
    <x v="2"/>
  </r>
  <r>
    <s v="MonthlyTradeStatistics 2024_03.xlsx"/>
    <x v="10"/>
    <n v="3900"/>
    <s v="2024_03.xlsx"/>
    <x v="8"/>
    <x v="2"/>
  </r>
  <r>
    <s v="MonthlyTradeStatistics 2024_03.xlsx"/>
    <x v="11"/>
    <n v="1012978.8182"/>
    <s v="2024_03.xlsx"/>
    <x v="8"/>
    <x v="2"/>
  </r>
  <r>
    <s v="MonthlyTradeStatistics 2024_03.xlsx"/>
    <x v="12"/>
    <n v="0"/>
    <s v="2024_03.xlsx"/>
    <x v="8"/>
    <x v="2"/>
  </r>
  <r>
    <s v="MonthlyTradeStatistics 2024_03.xlsx"/>
    <x v="13"/>
    <n v="83742.949399999998"/>
    <s v="2024_03.xlsx"/>
    <x v="8"/>
    <x v="2"/>
  </r>
  <r>
    <s v="MonthlyTradeStatistics 2024_03.xlsx"/>
    <x v="14"/>
    <n v="182834.86780000001"/>
    <s v="2024_03.xlsx"/>
    <x v="8"/>
    <x v="2"/>
  </r>
  <r>
    <s v="MonthlyTradeStatistics 2024_03.xlsx"/>
    <x v="15"/>
    <n v="1599.9992999999999"/>
    <s v="2024_03.xlsx"/>
    <x v="8"/>
    <x v="2"/>
  </r>
  <r>
    <s v="MonthlyTradeStatistics 2024_03.xlsx"/>
    <x v="16"/>
    <n v="13300"/>
    <s v="2024_03.xlsx"/>
    <x v="8"/>
    <x v="2"/>
  </r>
  <r>
    <s v="MonthlyTradeStatistics 2024_03.xlsx"/>
    <x v="17"/>
    <n v="2099.9960999999998"/>
    <s v="2024_03.xlsx"/>
    <x v="8"/>
    <x v="2"/>
  </r>
  <r>
    <s v="MonthlyTradeStatistics 2024_03.xlsx"/>
    <x v="18"/>
    <n v="41255.383999999998"/>
    <s v="2024_03.xlsx"/>
    <x v="8"/>
    <x v="2"/>
  </r>
  <r>
    <s v="MonthlyTradeStatistics 2024_03.xlsx"/>
    <x v="19"/>
    <n v="67133.485100000005"/>
    <s v="2024_03.xlsx"/>
    <x v="8"/>
    <x v="2"/>
  </r>
  <r>
    <s v="MonthlyTradeStatistics 2024_03.xlsx"/>
    <x v="21"/>
    <n v="380000"/>
    <s v="2024_03.xlsx"/>
    <x v="8"/>
    <x v="2"/>
  </r>
  <r>
    <s v="MonthlyTradeStatistics 2024_03.xlsx"/>
    <x v="23"/>
    <n v="1016.4473"/>
    <s v="2024_03.xlsx"/>
    <x v="8"/>
    <x v="2"/>
  </r>
  <r>
    <s v="MonthlyTradeStatistics 2024_03.xlsx"/>
    <x v="24"/>
    <n v="340840.91769999999"/>
    <s v="2024_03.xlsx"/>
    <x v="8"/>
    <x v="2"/>
  </r>
  <r>
    <s v="MonthlyTradeStatistics 2024_03.xlsx"/>
    <x v="25"/>
    <n v="44055.333700000003"/>
    <s v="2024_03.xlsx"/>
    <x v="8"/>
    <x v="2"/>
  </r>
  <r>
    <s v="MonthlyTradeStatistics 2024_03.xlsx"/>
    <x v="26"/>
    <n v="5.3891999999999998"/>
    <s v="2024_03.xlsx"/>
    <x v="8"/>
    <x v="2"/>
  </r>
  <r>
    <s v="MonthlyTradeStatistics 2024_03.xlsx"/>
    <x v="27"/>
    <n v="10"/>
    <s v="2024_03.xlsx"/>
    <x v="8"/>
    <x v="2"/>
  </r>
  <r>
    <s v="MonthlyTradeStatistics 2024_03.xlsx"/>
    <x v="28"/>
    <n v="721182.71"/>
    <s v="2024_03.xlsx"/>
    <x v="8"/>
    <x v="2"/>
  </r>
  <r>
    <s v="MonthlyTradeStatistics 2024_03.xlsx"/>
    <x v="29"/>
    <n v="805950.21799999999"/>
    <s v="2024_03.xlsx"/>
    <x v="8"/>
    <x v="2"/>
  </r>
  <r>
    <s v="MonthlyTradeStatistics 2024_03.xlsx"/>
    <x v="30"/>
    <n v="383285.57559999998"/>
    <s v="2024_03.xlsx"/>
    <x v="8"/>
    <x v="2"/>
  </r>
  <r>
    <s v="MonthlyTradeStatistics 2024_03.xlsx"/>
    <x v="31"/>
    <n v="1406.8824"/>
    <s v="2024_03.xlsx"/>
    <x v="8"/>
    <x v="2"/>
  </r>
  <r>
    <s v="MonthlyTradeStatistics 2024_03.xlsx"/>
    <x v="32"/>
    <n v="74411.9807"/>
    <s v="2024_03.xlsx"/>
    <x v="8"/>
    <x v="2"/>
  </r>
  <r>
    <s v="MonthlyTradeStatistics 2024_03.xlsx"/>
    <x v="33"/>
    <n v="63699.996400000004"/>
    <s v="2024_03.xlsx"/>
    <x v="8"/>
    <x v="2"/>
  </r>
  <r>
    <s v="MonthlyTradeStatistics 2024_03.xlsx"/>
    <x v="35"/>
    <n v="2.5329000000000002"/>
    <s v="2024_03.xlsx"/>
    <x v="8"/>
    <x v="2"/>
  </r>
  <r>
    <s v="MonthlyTradeStatistics 2024_03.xlsx"/>
    <x v="36"/>
    <n v="1279.9974"/>
    <s v="2024_03.xlsx"/>
    <x v="8"/>
    <x v="2"/>
  </r>
  <r>
    <s v="MonthlyTradeStatistics 2024_03.xlsx"/>
    <x v="37"/>
    <n v="217050.00260000001"/>
    <s v="2024_03.xlsx"/>
    <x v="8"/>
    <x v="2"/>
  </r>
  <r>
    <s v="MonthlyTradeStatistics 2024_03.xlsx"/>
    <x v="38"/>
    <n v="185.21"/>
    <s v="2024_03.xlsx"/>
    <x v="8"/>
    <x v="2"/>
  </r>
  <r>
    <s v="MonthlyTradeStatistics 2024_03.xlsx"/>
    <x v="39"/>
    <n v="247700.0116"/>
    <s v="2024_03.xlsx"/>
    <x v="8"/>
    <x v="2"/>
  </r>
  <r>
    <s v="MonthlyTradeStatistics 2024_03.xlsx"/>
    <x v="40"/>
    <n v="0"/>
    <s v="2024_03.xlsx"/>
    <x v="8"/>
    <x v="2"/>
  </r>
  <r>
    <s v="MonthlyTradeStatistics 2024_03.xlsx"/>
    <x v="41"/>
    <n v="2089.1839"/>
    <s v="2024_03.xlsx"/>
    <x v="8"/>
    <x v="2"/>
  </r>
  <r>
    <s v="MonthlyTradeStatistics 2024_03.xlsx"/>
    <x v="42"/>
    <n v="67752.509999999995"/>
    <s v="2024_03.xlsx"/>
    <x v="8"/>
    <x v="2"/>
  </r>
  <r>
    <s v="MonthlyTradeStatistics 2024_03.xlsx"/>
    <x v="43"/>
    <n v="0.41670000000000001"/>
    <s v="2024_03.xlsx"/>
    <x v="8"/>
    <x v="2"/>
  </r>
  <r>
    <s v="MonthlyTradeStatistics 2024_03.xlsx"/>
    <x v="44"/>
    <n v="142870.36129999999"/>
    <s v="2024_03.xlsx"/>
    <x v="8"/>
    <x v="2"/>
  </r>
  <r>
    <s v="MonthlyTradeStatistics 2024_03.xlsx"/>
    <x v="45"/>
    <n v="693.58669999999995"/>
    <s v="2024_03.xlsx"/>
    <x v="8"/>
    <x v="2"/>
  </r>
  <r>
    <s v="MonthlyTradeStatistics 2024_03.xlsx"/>
    <x v="46"/>
    <n v="19089.9997"/>
    <s v="2024_03.xlsx"/>
    <x v="8"/>
    <x v="2"/>
  </r>
  <r>
    <s v="MonthlyTradeStatistics 2024_03.xlsx"/>
    <x v="47"/>
    <n v="1900"/>
    <s v="2024_03.xlsx"/>
    <x v="8"/>
    <x v="2"/>
  </r>
  <r>
    <s v="MonthlyTradeStatistics 2024_03.xlsx"/>
    <x v="48"/>
    <n v="477.36869999999999"/>
    <s v="2024_03.xlsx"/>
    <x v="8"/>
    <x v="2"/>
  </r>
  <r>
    <s v="MonthlyTradeStatistics 2024_03.xlsx"/>
    <x v="49"/>
    <n v="76299.86"/>
    <s v="2024_03.xlsx"/>
    <x v="8"/>
    <x v="2"/>
  </r>
  <r>
    <s v="MonthlyTradeStatistics 2024_03.xlsx"/>
    <x v="50"/>
    <n v="17555.296399999999"/>
    <s v="2024_03.xlsx"/>
    <x v="8"/>
    <x v="2"/>
  </r>
  <r>
    <s v="MonthlyTradeStatistics 2024_03.xlsx"/>
    <x v="51"/>
    <n v="2260.6667000000002"/>
    <s v="2024_03.xlsx"/>
    <x v="8"/>
    <x v="2"/>
  </r>
  <r>
    <s v="MonthlyTradeStatistics 2024_03.xlsx"/>
    <x v="52"/>
    <n v="10627.82"/>
    <s v="2024_03.xlsx"/>
    <x v="8"/>
    <x v="2"/>
  </r>
  <r>
    <s v="MonthlyTradeStatistics 2024_03.xlsx"/>
    <x v="53"/>
    <n v="464.70850000000002"/>
    <s v="2024_03.xlsx"/>
    <x v="8"/>
    <x v="2"/>
  </r>
  <r>
    <s v="MonthlyTradeStatistics 2024_03.xlsx"/>
    <x v="54"/>
    <n v="329686"/>
    <s v="2024_03.xlsx"/>
    <x v="8"/>
    <x v="2"/>
  </r>
  <r>
    <s v="MonthlyTradeStatistics 2024_03.xlsx"/>
    <x v="55"/>
    <n v="3100"/>
    <s v="2024_03.xlsx"/>
    <x v="8"/>
    <x v="2"/>
  </r>
  <r>
    <s v="MonthlyTradeStatistics 2024_03.xlsx"/>
    <x v="56"/>
    <n v="3118877.6973000001"/>
    <s v="2024_03.xlsx"/>
    <x v="8"/>
    <x v="2"/>
  </r>
  <r>
    <s v="MonthlyTradeStatistics 2024_03.xlsx"/>
    <x v="57"/>
    <n v="3476.4931000000001"/>
    <s v="2024_03.xlsx"/>
    <x v="8"/>
    <x v="2"/>
  </r>
  <r>
    <s v="MonthlyTradeStatistics 2024_03.xlsx"/>
    <x v="58"/>
    <n v="7994.4332999999997"/>
    <s v="2024_03.xlsx"/>
    <x v="8"/>
    <x v="2"/>
  </r>
  <r>
    <s v="MonthlyTradeStatistics 2024_03.xlsx"/>
    <x v="59"/>
    <n v="0"/>
    <s v="2024_03.xlsx"/>
    <x v="8"/>
    <x v="2"/>
  </r>
  <r>
    <s v="MonthlyTradeStatistics 2024_04.xlsx"/>
    <x v="0"/>
    <n v="11992984.8869"/>
    <s v="2024_04.xlsx"/>
    <x v="8"/>
    <x v="3"/>
  </r>
  <r>
    <s v="MonthlyTradeStatistics 2024_04.xlsx"/>
    <x v="1"/>
    <n v="941224.64630000002"/>
    <s v="2024_04.xlsx"/>
    <x v="8"/>
    <x v="3"/>
  </r>
  <r>
    <s v="MonthlyTradeStatistics 2024_04.xlsx"/>
    <x v="2"/>
    <n v="2403770.0731000002"/>
    <s v="2024_04.xlsx"/>
    <x v="8"/>
    <x v="3"/>
  </r>
  <r>
    <s v="MonthlyTradeStatistics 2024_04.xlsx"/>
    <x v="3"/>
    <n v="3952021.7448999998"/>
    <s v="2024_04.xlsx"/>
    <x v="8"/>
    <x v="3"/>
  </r>
  <r>
    <s v="MonthlyTradeStatistics 2024_04.xlsx"/>
    <x v="4"/>
    <n v="4695968.4226000002"/>
    <s v="2024_04.xlsx"/>
    <x v="8"/>
    <x v="3"/>
  </r>
  <r>
    <s v="MonthlyTradeStatistics 2024_04.xlsx"/>
    <x v="5"/>
    <n v="680.15"/>
    <s v="2024_04.xlsx"/>
    <x v="8"/>
    <x v="3"/>
  </r>
  <r>
    <s v="MonthlyTradeStatistics 2024_04.xlsx"/>
    <x v="6"/>
    <n v="2483.6333"/>
    <s v="2024_04.xlsx"/>
    <x v="8"/>
    <x v="3"/>
  </r>
  <r>
    <s v="MonthlyTradeStatistics 2024_04.xlsx"/>
    <x v="7"/>
    <n v="4276347.5065000001"/>
    <s v="2024_04.xlsx"/>
    <x v="8"/>
    <x v="3"/>
  </r>
  <r>
    <s v="MonthlyTradeStatistics 2024_04.xlsx"/>
    <x v="8"/>
    <n v="4000"/>
    <s v="2024_04.xlsx"/>
    <x v="8"/>
    <x v="3"/>
  </r>
  <r>
    <s v="MonthlyTradeStatistics 2024_04.xlsx"/>
    <x v="9"/>
    <n v="10097.5669"/>
    <s v="2024_04.xlsx"/>
    <x v="8"/>
    <x v="3"/>
  </r>
  <r>
    <s v="MonthlyTradeStatistics 2024_04.xlsx"/>
    <x v="10"/>
    <n v="3000"/>
    <s v="2024_04.xlsx"/>
    <x v="8"/>
    <x v="3"/>
  </r>
  <r>
    <s v="MonthlyTradeStatistics 2024_04.xlsx"/>
    <x v="11"/>
    <n v="795891.58109999995"/>
    <s v="2024_04.xlsx"/>
    <x v="8"/>
    <x v="3"/>
  </r>
  <r>
    <s v="MonthlyTradeStatistics 2024_04.xlsx"/>
    <x v="12"/>
    <n v="0"/>
    <s v="2024_04.xlsx"/>
    <x v="8"/>
    <x v="3"/>
  </r>
  <r>
    <s v="MonthlyTradeStatistics 2024_04.xlsx"/>
    <x v="13"/>
    <n v="138338.85339999999"/>
    <s v="2024_04.xlsx"/>
    <x v="8"/>
    <x v="3"/>
  </r>
  <r>
    <s v="MonthlyTradeStatistics 2024_04.xlsx"/>
    <x v="14"/>
    <n v="154022.01699999999"/>
    <s v="2024_04.xlsx"/>
    <x v="8"/>
    <x v="3"/>
  </r>
  <r>
    <s v="MonthlyTradeStatistics 2024_04.xlsx"/>
    <x v="15"/>
    <n v="1699.9992999999999"/>
    <s v="2024_04.xlsx"/>
    <x v="8"/>
    <x v="3"/>
  </r>
  <r>
    <s v="MonthlyTradeStatistics 2024_04.xlsx"/>
    <x v="16"/>
    <n v="15100"/>
    <s v="2024_04.xlsx"/>
    <x v="8"/>
    <x v="3"/>
  </r>
  <r>
    <s v="MonthlyTradeStatistics 2024_04.xlsx"/>
    <x v="17"/>
    <n v="3499.9974000000002"/>
    <s v="2024_04.xlsx"/>
    <x v="8"/>
    <x v="3"/>
  </r>
  <r>
    <s v="MonthlyTradeStatistics 2024_04.xlsx"/>
    <x v="18"/>
    <n v="43038.5602"/>
    <s v="2024_04.xlsx"/>
    <x v="8"/>
    <x v="3"/>
  </r>
  <r>
    <s v="MonthlyTradeStatistics 2024_04.xlsx"/>
    <x v="19"/>
    <n v="36205.170899999997"/>
    <s v="2024_04.xlsx"/>
    <x v="8"/>
    <x v="3"/>
  </r>
  <r>
    <s v="MonthlyTradeStatistics 2024_04.xlsx"/>
    <x v="21"/>
    <n v="570000"/>
    <s v="2024_04.xlsx"/>
    <x v="8"/>
    <x v="3"/>
  </r>
  <r>
    <s v="MonthlyTradeStatistics 2024_04.xlsx"/>
    <x v="23"/>
    <n v="549.93470000000002"/>
    <s v="2024_04.xlsx"/>
    <x v="8"/>
    <x v="3"/>
  </r>
  <r>
    <s v="MonthlyTradeStatistics 2024_04.xlsx"/>
    <x v="24"/>
    <n v="414359.9792"/>
    <s v="2024_04.xlsx"/>
    <x v="8"/>
    <x v="3"/>
  </r>
  <r>
    <s v="MonthlyTradeStatistics 2024_04.xlsx"/>
    <x v="25"/>
    <n v="23042.0003"/>
    <s v="2024_04.xlsx"/>
    <x v="8"/>
    <x v="3"/>
  </r>
  <r>
    <s v="MonthlyTradeStatistics 2024_04.xlsx"/>
    <x v="26"/>
    <n v="56.3645"/>
    <s v="2024_04.xlsx"/>
    <x v="8"/>
    <x v="3"/>
  </r>
  <r>
    <s v="MonthlyTradeStatistics 2024_04.xlsx"/>
    <x v="27"/>
    <n v="1300"/>
    <s v="2024_04.xlsx"/>
    <x v="8"/>
    <x v="3"/>
  </r>
  <r>
    <s v="MonthlyTradeStatistics 2024_04.xlsx"/>
    <x v="28"/>
    <n v="549097.27"/>
    <s v="2024_04.xlsx"/>
    <x v="8"/>
    <x v="3"/>
  </r>
  <r>
    <s v="MonthlyTradeStatistics 2024_04.xlsx"/>
    <x v="29"/>
    <n v="663787.63679999998"/>
    <s v="2024_04.xlsx"/>
    <x v="8"/>
    <x v="3"/>
  </r>
  <r>
    <s v="MonthlyTradeStatistics 2024_04.xlsx"/>
    <x v="30"/>
    <n v="403760.8406"/>
    <s v="2024_04.xlsx"/>
    <x v="8"/>
    <x v="3"/>
  </r>
  <r>
    <s v="MonthlyTradeStatistics 2024_04.xlsx"/>
    <x v="31"/>
    <n v="1841.7436"/>
    <s v="2024_04.xlsx"/>
    <x v="8"/>
    <x v="3"/>
  </r>
  <r>
    <s v="MonthlyTradeStatistics 2024_04.xlsx"/>
    <x v="32"/>
    <n v="93133.060200000007"/>
    <s v="2024_04.xlsx"/>
    <x v="8"/>
    <x v="3"/>
  </r>
  <r>
    <s v="MonthlyTradeStatistics 2024_04.xlsx"/>
    <x v="33"/>
    <n v="80600.009000000005"/>
    <s v="2024_04.xlsx"/>
    <x v="8"/>
    <x v="3"/>
  </r>
  <r>
    <s v="MonthlyTradeStatistics 2024_04.xlsx"/>
    <x v="35"/>
    <n v="2.5819999999999999"/>
    <s v="2024_04.xlsx"/>
    <x v="8"/>
    <x v="3"/>
  </r>
  <r>
    <s v="MonthlyTradeStatistics 2024_04.xlsx"/>
    <x v="36"/>
    <n v="710.00260000000003"/>
    <s v="2024_04.xlsx"/>
    <x v="8"/>
    <x v="3"/>
  </r>
  <r>
    <s v="MonthlyTradeStatistics 2024_04.xlsx"/>
    <x v="37"/>
    <n v="310650.005"/>
    <s v="2024_04.xlsx"/>
    <x v="8"/>
    <x v="3"/>
  </r>
  <r>
    <s v="MonthlyTradeStatistics 2024_04.xlsx"/>
    <x v="38"/>
    <n v="112.42"/>
    <s v="2024_04.xlsx"/>
    <x v="8"/>
    <x v="3"/>
  </r>
  <r>
    <s v="MonthlyTradeStatistics 2024_04.xlsx"/>
    <x v="39"/>
    <n v="247700.0116"/>
    <s v="2024_04.xlsx"/>
    <x v="8"/>
    <x v="3"/>
  </r>
  <r>
    <s v="MonthlyTradeStatistics 2024_04.xlsx"/>
    <x v="40"/>
    <n v="0"/>
    <s v="2024_04.xlsx"/>
    <x v="8"/>
    <x v="3"/>
  </r>
  <r>
    <s v="MonthlyTradeStatistics 2024_04.xlsx"/>
    <x v="41"/>
    <n v="4008.0735"/>
    <s v="2024_04.xlsx"/>
    <x v="8"/>
    <x v="3"/>
  </r>
  <r>
    <s v="MonthlyTradeStatistics 2024_04.xlsx"/>
    <x v="42"/>
    <n v="52752.75"/>
    <s v="2024_04.xlsx"/>
    <x v="8"/>
    <x v="3"/>
  </r>
  <r>
    <s v="MonthlyTradeStatistics 2024_04.xlsx"/>
    <x v="43"/>
    <n v="18.0017"/>
    <s v="2024_04.xlsx"/>
    <x v="8"/>
    <x v="3"/>
  </r>
  <r>
    <s v="MonthlyTradeStatistics 2024_04.xlsx"/>
    <x v="44"/>
    <n v="75025.780799999993"/>
    <s v="2024_04.xlsx"/>
    <x v="8"/>
    <x v="3"/>
  </r>
  <r>
    <s v="MonthlyTradeStatistics 2024_04.xlsx"/>
    <x v="45"/>
    <n v="687.96"/>
    <s v="2024_04.xlsx"/>
    <x v="8"/>
    <x v="3"/>
  </r>
  <r>
    <s v="MonthlyTradeStatistics 2024_04.xlsx"/>
    <x v="46"/>
    <n v="17080.003700000001"/>
    <s v="2024_04.xlsx"/>
    <x v="8"/>
    <x v="3"/>
  </r>
  <r>
    <s v="MonthlyTradeStatistics 2024_04.xlsx"/>
    <x v="47"/>
    <n v="2400"/>
    <s v="2024_04.xlsx"/>
    <x v="8"/>
    <x v="3"/>
  </r>
  <r>
    <s v="MonthlyTradeStatistics 2024_04.xlsx"/>
    <x v="48"/>
    <n v="10.193"/>
    <s v="2024_04.xlsx"/>
    <x v="8"/>
    <x v="3"/>
  </r>
  <r>
    <s v="MonthlyTradeStatistics 2024_04.xlsx"/>
    <x v="49"/>
    <n v="76400.009999999995"/>
    <s v="2024_04.xlsx"/>
    <x v="8"/>
    <x v="3"/>
  </r>
  <r>
    <s v="MonthlyTradeStatistics 2024_04.xlsx"/>
    <x v="50"/>
    <n v="18160.2245"/>
    <s v="2024_04.xlsx"/>
    <x v="8"/>
    <x v="3"/>
  </r>
  <r>
    <s v="MonthlyTradeStatistics 2024_04.xlsx"/>
    <x v="51"/>
    <n v="2580.6667000000002"/>
    <s v="2024_04.xlsx"/>
    <x v="8"/>
    <x v="3"/>
  </r>
  <r>
    <s v="MonthlyTradeStatistics 2024_04.xlsx"/>
    <x v="52"/>
    <n v="9427.8534"/>
    <s v="2024_04.xlsx"/>
    <x v="8"/>
    <x v="3"/>
  </r>
  <r>
    <s v="MonthlyTradeStatistics 2024_04.xlsx"/>
    <x v="53"/>
    <n v="294.44380000000001"/>
    <s v="2024_04.xlsx"/>
    <x v="8"/>
    <x v="3"/>
  </r>
  <r>
    <s v="MonthlyTradeStatistics 2024_04.xlsx"/>
    <x v="54"/>
    <n v="390977"/>
    <s v="2024_04.xlsx"/>
    <x v="8"/>
    <x v="3"/>
  </r>
  <r>
    <s v="MonthlyTradeStatistics 2024_04.xlsx"/>
    <x v="55"/>
    <n v="500"/>
    <s v="2024_04.xlsx"/>
    <x v="8"/>
    <x v="3"/>
  </r>
  <r>
    <s v="MonthlyTradeStatistics 2024_04.xlsx"/>
    <x v="56"/>
    <n v="2485465.0471999999"/>
    <s v="2024_04.xlsx"/>
    <x v="8"/>
    <x v="3"/>
  </r>
  <r>
    <s v="MonthlyTradeStatistics 2024_04.xlsx"/>
    <x v="57"/>
    <n v="2281.6333"/>
    <s v="2024_04.xlsx"/>
    <x v="8"/>
    <x v="3"/>
  </r>
  <r>
    <s v="MonthlyTradeStatistics 2024_04.xlsx"/>
    <x v="58"/>
    <n v="9806.3492000000006"/>
    <s v="2024_04.xlsx"/>
    <x v="8"/>
    <x v="3"/>
  </r>
  <r>
    <s v="MonthlyTradeStatistics 2024_04.xlsx"/>
    <x v="59"/>
    <n v="0"/>
    <s v="2024_04.xlsx"/>
    <x v="8"/>
    <x v="3"/>
  </r>
  <r>
    <s v="MonthlyTradeStatistics 2024_05.xlsx"/>
    <x v="0"/>
    <n v="12355469.823000001"/>
    <s v="2024_05.xlsx"/>
    <x v="8"/>
    <x v="4"/>
  </r>
  <r>
    <s v="MonthlyTradeStatistics 2024_05.xlsx"/>
    <x v="1"/>
    <n v="1079267.7117999999"/>
    <s v="2024_05.xlsx"/>
    <x v="8"/>
    <x v="4"/>
  </r>
  <r>
    <s v="MonthlyTradeStatistics 2024_05.xlsx"/>
    <x v="2"/>
    <n v="2868969.9813999999"/>
    <s v="2024_05.xlsx"/>
    <x v="8"/>
    <x v="4"/>
  </r>
  <r>
    <s v="MonthlyTradeStatistics 2024_05.xlsx"/>
    <x v="3"/>
    <n v="4025086.2974999999"/>
    <s v="2024_05.xlsx"/>
    <x v="8"/>
    <x v="4"/>
  </r>
  <r>
    <s v="MonthlyTradeStatistics 2024_05.xlsx"/>
    <x v="4"/>
    <n v="4382145.8322999999"/>
    <s v="2024_05.xlsx"/>
    <x v="8"/>
    <x v="4"/>
  </r>
  <r>
    <s v="MonthlyTradeStatistics 2024_05.xlsx"/>
    <x v="5"/>
    <n v="623.5"/>
    <s v="2024_05.xlsx"/>
    <x v="8"/>
    <x v="4"/>
  </r>
  <r>
    <s v="MonthlyTradeStatistics 2024_05.xlsx"/>
    <x v="6"/>
    <n v="1205.8966"/>
    <s v="2024_05.xlsx"/>
    <x v="8"/>
    <x v="4"/>
  </r>
  <r>
    <s v="MonthlyTradeStatistics 2024_05.xlsx"/>
    <x v="7"/>
    <n v="4446510.5935000004"/>
    <s v="2024_05.xlsx"/>
    <x v="8"/>
    <x v="4"/>
  </r>
  <r>
    <s v="MonthlyTradeStatistics 2024_05.xlsx"/>
    <x v="8"/>
    <n v="21000"/>
    <s v="2024_05.xlsx"/>
    <x v="8"/>
    <x v="4"/>
  </r>
  <r>
    <s v="MonthlyTradeStatistics 2024_05.xlsx"/>
    <x v="9"/>
    <n v="9025.8984"/>
    <s v="2024_05.xlsx"/>
    <x v="8"/>
    <x v="4"/>
  </r>
  <r>
    <s v="MonthlyTradeStatistics 2024_05.xlsx"/>
    <x v="10"/>
    <n v="2600"/>
    <s v="2024_05.xlsx"/>
    <x v="8"/>
    <x v="4"/>
  </r>
  <r>
    <s v="MonthlyTradeStatistics 2024_05.xlsx"/>
    <x v="11"/>
    <n v="944415.64839999995"/>
    <s v="2024_05.xlsx"/>
    <x v="8"/>
    <x v="4"/>
  </r>
  <r>
    <s v="MonthlyTradeStatistics 2024_05.xlsx"/>
    <x v="12"/>
    <n v="0"/>
    <s v="2024_05.xlsx"/>
    <x v="8"/>
    <x v="4"/>
  </r>
  <r>
    <s v="MonthlyTradeStatistics 2024_05.xlsx"/>
    <x v="13"/>
    <n v="141338.88130000001"/>
    <s v="2024_05.xlsx"/>
    <x v="8"/>
    <x v="4"/>
  </r>
  <r>
    <s v="MonthlyTradeStatistics 2024_05.xlsx"/>
    <x v="14"/>
    <n v="214280.8995"/>
    <s v="2024_05.xlsx"/>
    <x v="8"/>
    <x v="4"/>
  </r>
  <r>
    <s v="MonthlyTradeStatistics 2024_05.xlsx"/>
    <x v="15"/>
    <n v="2199.9998000000001"/>
    <s v="2024_05.xlsx"/>
    <x v="8"/>
    <x v="4"/>
  </r>
  <r>
    <s v="MonthlyTradeStatistics 2024_05.xlsx"/>
    <x v="16"/>
    <n v="10500"/>
    <s v="2024_05.xlsx"/>
    <x v="8"/>
    <x v="4"/>
  </r>
  <r>
    <s v="MonthlyTradeStatistics 2024_05.xlsx"/>
    <x v="17"/>
    <n v="9099.9982"/>
    <s v="2024_05.xlsx"/>
    <x v="8"/>
    <x v="4"/>
  </r>
  <r>
    <s v="MonthlyTradeStatistics 2024_05.xlsx"/>
    <x v="18"/>
    <n v="52930.087599999999"/>
    <s v="2024_05.xlsx"/>
    <x v="8"/>
    <x v="4"/>
  </r>
  <r>
    <s v="MonthlyTradeStatistics 2024_05.xlsx"/>
    <x v="19"/>
    <n v="46492.720200000003"/>
    <s v="2024_05.xlsx"/>
    <x v="8"/>
    <x v="4"/>
  </r>
  <r>
    <s v="MonthlyTradeStatistics 2024_05.xlsx"/>
    <x v="21"/>
    <n v="690000"/>
    <s v="2024_05.xlsx"/>
    <x v="8"/>
    <x v="4"/>
  </r>
  <r>
    <s v="MonthlyTradeStatistics 2024_05.xlsx"/>
    <x v="23"/>
    <n v="2481.0792999999999"/>
    <s v="2024_05.xlsx"/>
    <x v="8"/>
    <x v="4"/>
  </r>
  <r>
    <s v="MonthlyTradeStatistics 2024_05.xlsx"/>
    <x v="24"/>
    <n v="479368.6"/>
    <s v="2024_05.xlsx"/>
    <x v="8"/>
    <x v="4"/>
  </r>
  <r>
    <s v="MonthlyTradeStatistics 2024_05.xlsx"/>
    <x v="25"/>
    <n v="34384.500200000002"/>
    <s v="2024_05.xlsx"/>
    <x v="8"/>
    <x v="4"/>
  </r>
  <r>
    <s v="MonthlyTradeStatistics 2024_05.xlsx"/>
    <x v="26"/>
    <n v="20.154499999999999"/>
    <s v="2024_05.xlsx"/>
    <x v="8"/>
    <x v="4"/>
  </r>
  <r>
    <s v="MonthlyTradeStatistics 2024_05.xlsx"/>
    <x v="27"/>
    <n v="370"/>
    <s v="2024_05.xlsx"/>
    <x v="8"/>
    <x v="4"/>
  </r>
  <r>
    <s v="MonthlyTradeStatistics 2024_05.xlsx"/>
    <x v="28"/>
    <n v="773566.34"/>
    <s v="2024_05.xlsx"/>
    <x v="8"/>
    <x v="4"/>
  </r>
  <r>
    <s v="MonthlyTradeStatistics 2024_05.xlsx"/>
    <x v="29"/>
    <n v="780153.32499999995"/>
    <s v="2024_05.xlsx"/>
    <x v="8"/>
    <x v="4"/>
  </r>
  <r>
    <s v="MonthlyTradeStatistics 2024_05.xlsx"/>
    <x v="30"/>
    <n v="444125.62400000001"/>
    <s v="2024_05.xlsx"/>
    <x v="8"/>
    <x v="4"/>
  </r>
  <r>
    <s v="MonthlyTradeStatistics 2024_05.xlsx"/>
    <x v="31"/>
    <n v="1069.0291"/>
    <s v="2024_05.xlsx"/>
    <x v="8"/>
    <x v="4"/>
  </r>
  <r>
    <s v="MonthlyTradeStatistics 2024_05.xlsx"/>
    <x v="32"/>
    <n v="81652.058399999994"/>
    <s v="2024_05.xlsx"/>
    <x v="8"/>
    <x v="4"/>
  </r>
  <r>
    <s v="MonthlyTradeStatistics 2024_05.xlsx"/>
    <x v="33"/>
    <n v="87999.992400000003"/>
    <s v="2024_05.xlsx"/>
    <x v="8"/>
    <x v="4"/>
  </r>
  <r>
    <s v="MonthlyTradeStatistics 2024_05.xlsx"/>
    <x v="35"/>
    <n v="5404.6563999999998"/>
    <s v="2024_05.xlsx"/>
    <x v="8"/>
    <x v="4"/>
  </r>
  <r>
    <s v="MonthlyTradeStatistics 2024_05.xlsx"/>
    <x v="36"/>
    <n v="909.99829999999997"/>
    <s v="2024_05.xlsx"/>
    <x v="8"/>
    <x v="4"/>
  </r>
  <r>
    <s v="MonthlyTradeStatistics 2024_05.xlsx"/>
    <x v="37"/>
    <n v="347800.00719999999"/>
    <s v="2024_05.xlsx"/>
    <x v="8"/>
    <x v="4"/>
  </r>
  <r>
    <s v="MonthlyTradeStatistics 2024_05.xlsx"/>
    <x v="38"/>
    <n v="342.05329999999998"/>
    <s v="2024_05.xlsx"/>
    <x v="8"/>
    <x v="4"/>
  </r>
  <r>
    <s v="MonthlyTradeStatistics 2024_05.xlsx"/>
    <x v="39"/>
    <n v="247700.0116"/>
    <s v="2024_05.xlsx"/>
    <x v="8"/>
    <x v="4"/>
  </r>
  <r>
    <s v="MonthlyTradeStatistics 2024_05.xlsx"/>
    <x v="40"/>
    <n v="0"/>
    <s v="2024_05.xlsx"/>
    <x v="8"/>
    <x v="4"/>
  </r>
  <r>
    <s v="MonthlyTradeStatistics 2024_05.xlsx"/>
    <x v="41"/>
    <n v="2675.0805"/>
    <s v="2024_05.xlsx"/>
    <x v="8"/>
    <x v="4"/>
  </r>
  <r>
    <s v="MonthlyTradeStatistics 2024_05.xlsx"/>
    <x v="42"/>
    <n v="60615.3"/>
    <s v="2024_05.xlsx"/>
    <x v="8"/>
    <x v="4"/>
  </r>
  <r>
    <s v="MonthlyTradeStatistics 2024_05.xlsx"/>
    <x v="43"/>
    <n v="0"/>
    <s v="2024_05.xlsx"/>
    <x v="8"/>
    <x v="4"/>
  </r>
  <r>
    <s v="MonthlyTradeStatistics 2024_05.xlsx"/>
    <x v="44"/>
    <n v="128711.3404"/>
    <s v="2024_05.xlsx"/>
    <x v="8"/>
    <x v="4"/>
  </r>
  <r>
    <s v="MonthlyTradeStatistics 2024_05.xlsx"/>
    <x v="45"/>
    <n v="57.117100000000001"/>
    <s v="2024_05.xlsx"/>
    <x v="8"/>
    <x v="4"/>
  </r>
  <r>
    <s v="MonthlyTradeStatistics 2024_05.xlsx"/>
    <x v="46"/>
    <n v="16070"/>
    <s v="2024_05.xlsx"/>
    <x v="8"/>
    <x v="4"/>
  </r>
  <r>
    <s v="MonthlyTradeStatistics 2024_05.xlsx"/>
    <x v="47"/>
    <n v="3000"/>
    <s v="2024_05.xlsx"/>
    <x v="8"/>
    <x v="4"/>
  </r>
  <r>
    <s v="MonthlyTradeStatistics 2024_05.xlsx"/>
    <x v="48"/>
    <n v="24.279900000000001"/>
    <s v="2024_05.xlsx"/>
    <x v="8"/>
    <x v="4"/>
  </r>
  <r>
    <s v="MonthlyTradeStatistics 2024_05.xlsx"/>
    <x v="49"/>
    <n v="77400.009999999995"/>
    <s v="2024_05.xlsx"/>
    <x v="8"/>
    <x v="4"/>
  </r>
  <r>
    <s v="MonthlyTradeStatistics 2024_05.xlsx"/>
    <x v="50"/>
    <n v="21315.927899999999"/>
    <s v="2024_05.xlsx"/>
    <x v="8"/>
    <x v="4"/>
  </r>
  <r>
    <s v="MonthlyTradeStatistics 2024_05.xlsx"/>
    <x v="51"/>
    <n v="2229.2833000000001"/>
    <s v="2024_05.xlsx"/>
    <x v="8"/>
    <x v="4"/>
  </r>
  <r>
    <s v="MonthlyTradeStatistics 2024_05.xlsx"/>
    <x v="52"/>
    <n v="6556.46"/>
    <s v="2024_05.xlsx"/>
    <x v="8"/>
    <x v="4"/>
  </r>
  <r>
    <s v="MonthlyTradeStatistics 2024_05.xlsx"/>
    <x v="53"/>
    <n v="647.05690000000004"/>
    <s v="2024_05.xlsx"/>
    <x v="8"/>
    <x v="4"/>
  </r>
  <r>
    <s v="MonthlyTradeStatistics 2024_05.xlsx"/>
    <x v="54"/>
    <n v="553529"/>
    <s v="2024_05.xlsx"/>
    <x v="8"/>
    <x v="4"/>
  </r>
  <r>
    <s v="MonthlyTradeStatistics 2024_05.xlsx"/>
    <x v="55"/>
    <n v="800"/>
    <s v="2024_05.xlsx"/>
    <x v="8"/>
    <x v="4"/>
  </r>
  <r>
    <s v="MonthlyTradeStatistics 2024_05.xlsx"/>
    <x v="56"/>
    <n v="1585529.3130999999"/>
    <s v="2024_05.xlsx"/>
    <x v="8"/>
    <x v="4"/>
  </r>
  <r>
    <s v="MonthlyTradeStatistics 2024_05.xlsx"/>
    <x v="57"/>
    <n v="3688.7437"/>
    <s v="2024_05.xlsx"/>
    <x v="8"/>
    <x v="4"/>
  </r>
  <r>
    <s v="MonthlyTradeStatistics 2024_05.xlsx"/>
    <x v="58"/>
    <n v="13049.357"/>
    <s v="2024_05.xlsx"/>
    <x v="8"/>
    <x v="4"/>
  </r>
  <r>
    <s v="MonthlyTradeStatistics 2024_05.xlsx"/>
    <x v="59"/>
    <n v="0"/>
    <s v="2024_05.xlsx"/>
    <x v="8"/>
    <x v="4"/>
  </r>
  <r>
    <s v="MonthlyTradeStatistics 2024_06.xlsx"/>
    <x v="0"/>
    <n v="11018167.9636"/>
    <s v="2024_06.xlsx"/>
    <x v="8"/>
    <x v="5"/>
  </r>
  <r>
    <s v="MonthlyTradeStatistics 2024_06.xlsx"/>
    <x v="1"/>
    <n v="1090174.7737"/>
    <s v="2024_06.xlsx"/>
    <x v="8"/>
    <x v="5"/>
  </r>
  <r>
    <s v="MonthlyTradeStatistics 2024_06.xlsx"/>
    <x v="2"/>
    <n v="2612455.1203999999"/>
    <s v="2024_06.xlsx"/>
    <x v="8"/>
    <x v="5"/>
  </r>
  <r>
    <s v="MonthlyTradeStatistics 2024_06.xlsx"/>
    <x v="3"/>
    <n v="3394857.1628999999"/>
    <s v="2024_06.xlsx"/>
    <x v="8"/>
    <x v="5"/>
  </r>
  <r>
    <s v="MonthlyTradeStatistics 2024_06.xlsx"/>
    <x v="4"/>
    <n v="3920680.9065999999"/>
    <s v="2024_06.xlsx"/>
    <x v="8"/>
    <x v="5"/>
  </r>
  <r>
    <s v="MonthlyTradeStatistics 2024_06.xlsx"/>
    <x v="5"/>
    <n v="1508.3713"/>
    <s v="2024_06.xlsx"/>
    <x v="8"/>
    <x v="5"/>
  </r>
  <r>
    <s v="MonthlyTradeStatistics 2024_06.xlsx"/>
    <x v="6"/>
    <n v="1590.9504999999999"/>
    <s v="2024_06.xlsx"/>
    <x v="8"/>
    <x v="5"/>
  </r>
  <r>
    <s v="MonthlyTradeStatistics 2024_06.xlsx"/>
    <x v="7"/>
    <n v="3770707.0170999998"/>
    <s v="2024_06.xlsx"/>
    <x v="8"/>
    <x v="5"/>
  </r>
  <r>
    <s v="MonthlyTradeStatistics 2024_06.xlsx"/>
    <x v="8"/>
    <n v="18000"/>
    <s v="2024_06.xlsx"/>
    <x v="8"/>
    <x v="5"/>
  </r>
  <r>
    <s v="MonthlyTradeStatistics 2024_06.xlsx"/>
    <x v="9"/>
    <n v="20723.7333"/>
    <s v="2024_06.xlsx"/>
    <x v="8"/>
    <x v="5"/>
  </r>
  <r>
    <s v="MonthlyTradeStatistics 2024_06.xlsx"/>
    <x v="10"/>
    <n v="900"/>
    <s v="2024_06.xlsx"/>
    <x v="8"/>
    <x v="5"/>
  </r>
  <r>
    <s v="MonthlyTradeStatistics 2024_06.xlsx"/>
    <x v="11"/>
    <n v="986947.23759999999"/>
    <s v="2024_06.xlsx"/>
    <x v="8"/>
    <x v="5"/>
  </r>
  <r>
    <s v="MonthlyTradeStatistics 2024_06.xlsx"/>
    <x v="12"/>
    <n v="0"/>
    <s v="2024_06.xlsx"/>
    <x v="8"/>
    <x v="5"/>
  </r>
  <r>
    <s v="MonthlyTradeStatistics 2024_06.xlsx"/>
    <x v="13"/>
    <n v="112842.3674"/>
    <s v="2024_06.xlsx"/>
    <x v="8"/>
    <x v="5"/>
  </r>
  <r>
    <s v="MonthlyTradeStatistics 2024_06.xlsx"/>
    <x v="14"/>
    <n v="99041.499599999996"/>
    <s v="2024_06.xlsx"/>
    <x v="8"/>
    <x v="5"/>
  </r>
  <r>
    <s v="MonthlyTradeStatistics 2024_06.xlsx"/>
    <x v="15"/>
    <n v="1399.9998000000001"/>
    <s v="2024_06.xlsx"/>
    <x v="8"/>
    <x v="5"/>
  </r>
  <r>
    <s v="MonthlyTradeStatistics 2024_06.xlsx"/>
    <x v="16"/>
    <n v="15000"/>
    <s v="2024_06.xlsx"/>
    <x v="8"/>
    <x v="5"/>
  </r>
  <r>
    <s v="MonthlyTradeStatistics 2024_06.xlsx"/>
    <x v="17"/>
    <n v="4800.0056999999997"/>
    <s v="2024_06.xlsx"/>
    <x v="8"/>
    <x v="5"/>
  </r>
  <r>
    <s v="MonthlyTradeStatistics 2024_06.xlsx"/>
    <x v="18"/>
    <n v="50175.482000000004"/>
    <s v="2024_06.xlsx"/>
    <x v="8"/>
    <x v="5"/>
  </r>
  <r>
    <s v="MonthlyTradeStatistics 2024_06.xlsx"/>
    <x v="19"/>
    <n v="64408.580699999999"/>
    <s v="2024_06.xlsx"/>
    <x v="8"/>
    <x v="5"/>
  </r>
  <r>
    <s v="MonthlyTradeStatistics 2024_06.xlsx"/>
    <x v="21"/>
    <n v="720000"/>
    <s v="2024_06.xlsx"/>
    <x v="8"/>
    <x v="5"/>
  </r>
  <r>
    <s v="MonthlyTradeStatistics 2024_06.xlsx"/>
    <x v="23"/>
    <n v="1461.2072000000001"/>
    <s v="2024_06.xlsx"/>
    <x v="8"/>
    <x v="5"/>
  </r>
  <r>
    <s v="MonthlyTradeStatistics 2024_06.xlsx"/>
    <x v="24"/>
    <n v="412166.24579999998"/>
    <s v="2024_06.xlsx"/>
    <x v="8"/>
    <x v="5"/>
  </r>
  <r>
    <s v="MonthlyTradeStatistics 2024_06.xlsx"/>
    <x v="25"/>
    <n v="5844.6668"/>
    <s v="2024_06.xlsx"/>
    <x v="8"/>
    <x v="5"/>
  </r>
  <r>
    <s v="MonthlyTradeStatistics 2024_06.xlsx"/>
    <x v="26"/>
    <n v="85.431700000000006"/>
    <s v="2024_06.xlsx"/>
    <x v="8"/>
    <x v="5"/>
  </r>
  <r>
    <s v="MonthlyTradeStatistics 2024_06.xlsx"/>
    <x v="27"/>
    <n v="160"/>
    <s v="2024_06.xlsx"/>
    <x v="8"/>
    <x v="5"/>
  </r>
  <r>
    <s v="MonthlyTradeStatistics 2024_06.xlsx"/>
    <x v="28"/>
    <n v="546918.81999999995"/>
    <s v="2024_06.xlsx"/>
    <x v="8"/>
    <x v="5"/>
  </r>
  <r>
    <s v="MonthlyTradeStatistics 2024_06.xlsx"/>
    <x v="29"/>
    <n v="653476.8652"/>
    <s v="2024_06.xlsx"/>
    <x v="8"/>
    <x v="5"/>
  </r>
  <r>
    <s v="MonthlyTradeStatistics 2024_06.xlsx"/>
    <x v="30"/>
    <n v="395756.63439999998"/>
    <s v="2024_06.xlsx"/>
    <x v="8"/>
    <x v="5"/>
  </r>
  <r>
    <s v="MonthlyTradeStatistics 2024_06.xlsx"/>
    <x v="31"/>
    <n v="1683.0685000000001"/>
    <s v="2024_06.xlsx"/>
    <x v="8"/>
    <x v="5"/>
  </r>
  <r>
    <s v="MonthlyTradeStatistics 2024_06.xlsx"/>
    <x v="32"/>
    <n v="98150.876099999994"/>
    <s v="2024_06.xlsx"/>
    <x v="8"/>
    <x v="5"/>
  </r>
  <r>
    <s v="MonthlyTradeStatistics 2024_06.xlsx"/>
    <x v="33"/>
    <n v="66699.996400000004"/>
    <s v="2024_06.xlsx"/>
    <x v="8"/>
    <x v="5"/>
  </r>
  <r>
    <s v="MonthlyTradeStatistics 2024_06.xlsx"/>
    <x v="35"/>
    <n v="4804.0329000000002"/>
    <s v="2024_06.xlsx"/>
    <x v="8"/>
    <x v="5"/>
  </r>
  <r>
    <s v="MonthlyTradeStatistics 2024_06.xlsx"/>
    <x v="36"/>
    <n v="669.99480000000005"/>
    <s v="2024_06.xlsx"/>
    <x v="8"/>
    <x v="5"/>
  </r>
  <r>
    <s v="MonthlyTradeStatistics 2024_06.xlsx"/>
    <x v="37"/>
    <n v="307000.0086"/>
    <s v="2024_06.xlsx"/>
    <x v="8"/>
    <x v="5"/>
  </r>
  <r>
    <s v="MonthlyTradeStatistics 2024_06.xlsx"/>
    <x v="38"/>
    <n v="409.23770000000002"/>
    <s v="2024_06.xlsx"/>
    <x v="8"/>
    <x v="5"/>
  </r>
  <r>
    <s v="MonthlyTradeStatistics 2024_06.xlsx"/>
    <x v="39"/>
    <n v="237700"/>
    <s v="2024_06.xlsx"/>
    <x v="8"/>
    <x v="5"/>
  </r>
  <r>
    <s v="MonthlyTradeStatistics 2024_06.xlsx"/>
    <x v="40"/>
    <n v="0"/>
    <s v="2024_06.xlsx"/>
    <x v="8"/>
    <x v="5"/>
  </r>
  <r>
    <s v="MonthlyTradeStatistics 2024_06.xlsx"/>
    <x v="41"/>
    <n v="4303.5360000000001"/>
    <s v="2024_06.xlsx"/>
    <x v="8"/>
    <x v="5"/>
  </r>
  <r>
    <s v="MonthlyTradeStatistics 2024_06.xlsx"/>
    <x v="42"/>
    <n v="73937.240000000005"/>
    <s v="2024_06.xlsx"/>
    <x v="8"/>
    <x v="5"/>
  </r>
  <r>
    <s v="MonthlyTradeStatistics 2024_06.xlsx"/>
    <x v="43"/>
    <n v="0.41670000000000001"/>
    <s v="2024_06.xlsx"/>
    <x v="8"/>
    <x v="5"/>
  </r>
  <r>
    <s v="MonthlyTradeStatistics 2024_06.xlsx"/>
    <x v="44"/>
    <n v="246284.3118"/>
    <s v="2024_06.xlsx"/>
    <x v="8"/>
    <x v="5"/>
  </r>
  <r>
    <s v="MonthlyTradeStatistics 2024_06.xlsx"/>
    <x v="45"/>
    <n v="35.833399999999997"/>
    <s v="2024_06.xlsx"/>
    <x v="8"/>
    <x v="5"/>
  </r>
  <r>
    <s v="MonthlyTradeStatistics 2024_06.xlsx"/>
    <x v="46"/>
    <n v="21090.000100000001"/>
    <s v="2024_06.xlsx"/>
    <x v="8"/>
    <x v="5"/>
  </r>
  <r>
    <s v="MonthlyTradeStatistics 2024_06.xlsx"/>
    <x v="47"/>
    <n v="5000"/>
    <s v="2024_06.xlsx"/>
    <x v="8"/>
    <x v="5"/>
  </r>
  <r>
    <s v="MonthlyTradeStatistics 2024_06.xlsx"/>
    <x v="48"/>
    <n v="12.917899999999999"/>
    <s v="2024_06.xlsx"/>
    <x v="8"/>
    <x v="5"/>
  </r>
  <r>
    <s v="MonthlyTradeStatistics 2024_06.xlsx"/>
    <x v="49"/>
    <n v="20807.32"/>
    <s v="2024_06.xlsx"/>
    <x v="8"/>
    <x v="5"/>
  </r>
  <r>
    <s v="MonthlyTradeStatistics 2024_06.xlsx"/>
    <x v="50"/>
    <n v="17727.418300000001"/>
    <s v="2024_06.xlsx"/>
    <x v="8"/>
    <x v="5"/>
  </r>
  <r>
    <s v="MonthlyTradeStatistics 2024_06.xlsx"/>
    <x v="51"/>
    <n v="1181.2333000000001"/>
    <s v="2024_06.xlsx"/>
    <x v="8"/>
    <x v="5"/>
  </r>
  <r>
    <s v="MonthlyTradeStatistics 2024_06.xlsx"/>
    <x v="52"/>
    <n v="3026.3733000000002"/>
    <s v="2024_06.xlsx"/>
    <x v="8"/>
    <x v="5"/>
  </r>
  <r>
    <s v="MonthlyTradeStatistics 2024_06.xlsx"/>
    <x v="53"/>
    <n v="757.69619999999998"/>
    <s v="2024_06.xlsx"/>
    <x v="8"/>
    <x v="5"/>
  </r>
  <r>
    <s v="MonthlyTradeStatistics 2024_06.xlsx"/>
    <x v="54"/>
    <n v="667288"/>
    <s v="2024_06.xlsx"/>
    <x v="8"/>
    <x v="5"/>
  </r>
  <r>
    <s v="MonthlyTradeStatistics 2024_06.xlsx"/>
    <x v="55"/>
    <n v="1200"/>
    <s v="2024_06.xlsx"/>
    <x v="8"/>
    <x v="5"/>
  </r>
  <r>
    <s v="MonthlyTradeStatistics 2024_06.xlsx"/>
    <x v="56"/>
    <n v="1349622.1945"/>
    <s v="2024_06.xlsx"/>
    <x v="8"/>
    <x v="5"/>
  </r>
  <r>
    <s v="MonthlyTradeStatistics 2024_06.xlsx"/>
    <x v="57"/>
    <n v="3254.4666999999999"/>
    <s v="2024_06.xlsx"/>
    <x v="8"/>
    <x v="5"/>
  </r>
  <r>
    <s v="MonthlyTradeStatistics 2024_06.xlsx"/>
    <x v="58"/>
    <n v="1606.6742999999999"/>
    <s v="2024_06.xlsx"/>
    <x v="8"/>
    <x v="5"/>
  </r>
  <r>
    <s v="MonthlyTradeStatistics 2024_06.xlsx"/>
    <x v="59"/>
    <n v="0"/>
    <s v="2024_06.xlsx"/>
    <x v="8"/>
    <x v="5"/>
  </r>
  <r>
    <s v="MonthlyTradeStatistics 2024_07.xlsx"/>
    <x v="0"/>
    <n v="11662271.2818"/>
    <s v="2024_07.xlsx"/>
    <x v="8"/>
    <x v="6"/>
  </r>
  <r>
    <s v="MonthlyTradeStatistics 2024_07.xlsx"/>
    <x v="1"/>
    <n v="1155295.8282000001"/>
    <s v="2024_07.xlsx"/>
    <x v="8"/>
    <x v="6"/>
  </r>
  <r>
    <s v="MonthlyTradeStatistics 2024_07.xlsx"/>
    <x v="2"/>
    <n v="2630104.0624000002"/>
    <s v="2024_07.xlsx"/>
    <x v="8"/>
    <x v="6"/>
  </r>
  <r>
    <s v="MonthlyTradeStatistics 2024_07.xlsx"/>
    <x v="3"/>
    <n v="3599141.3665"/>
    <s v="2024_07.xlsx"/>
    <x v="8"/>
    <x v="6"/>
  </r>
  <r>
    <s v="MonthlyTradeStatistics 2024_07.xlsx"/>
    <x v="4"/>
    <n v="4277730.0247"/>
    <s v="2024_07.xlsx"/>
    <x v="8"/>
    <x v="6"/>
  </r>
  <r>
    <s v="MonthlyTradeStatistics 2024_07.xlsx"/>
    <x v="5"/>
    <n v="1123.443"/>
    <s v="2024_07.xlsx"/>
    <x v="8"/>
    <x v="6"/>
  </r>
  <r>
    <s v="MonthlyTradeStatistics 2024_07.xlsx"/>
    <x v="6"/>
    <n v="2104.1228999999998"/>
    <s v="2024_07.xlsx"/>
    <x v="8"/>
    <x v="6"/>
  </r>
  <r>
    <s v="MonthlyTradeStatistics 2024_07.xlsx"/>
    <x v="7"/>
    <n v="3881567.0380000002"/>
    <s v="2024_07.xlsx"/>
    <x v="8"/>
    <x v="6"/>
  </r>
  <r>
    <s v="MonthlyTradeStatistics 2024_07.xlsx"/>
    <x v="8"/>
    <n v="14000"/>
    <s v="2024_07.xlsx"/>
    <x v="8"/>
    <x v="6"/>
  </r>
  <r>
    <s v="MonthlyTradeStatistics 2024_07.xlsx"/>
    <x v="9"/>
    <n v="30188.5834"/>
    <s v="2024_07.xlsx"/>
    <x v="8"/>
    <x v="6"/>
  </r>
  <r>
    <s v="MonthlyTradeStatistics 2024_07.xlsx"/>
    <x v="10"/>
    <n v="100"/>
    <s v="2024_07.xlsx"/>
    <x v="8"/>
    <x v="6"/>
  </r>
  <r>
    <s v="MonthlyTradeStatistics 2024_07.xlsx"/>
    <x v="11"/>
    <n v="1030635.8739"/>
    <s v="2024_07.xlsx"/>
    <x v="8"/>
    <x v="6"/>
  </r>
  <r>
    <s v="MonthlyTradeStatistics 2024_07.xlsx"/>
    <x v="12"/>
    <n v="0"/>
    <s v="2024_07.xlsx"/>
    <x v="8"/>
    <x v="6"/>
  </r>
  <r>
    <s v="MonthlyTradeStatistics 2024_07.xlsx"/>
    <x v="13"/>
    <n v="107698.76579999999"/>
    <s v="2024_07.xlsx"/>
    <x v="8"/>
    <x v="6"/>
  </r>
  <r>
    <s v="MonthlyTradeStatistics 2024_07.xlsx"/>
    <x v="14"/>
    <n v="128352.6991"/>
    <s v="2024_07.xlsx"/>
    <x v="8"/>
    <x v="6"/>
  </r>
  <r>
    <s v="MonthlyTradeStatistics 2024_07.xlsx"/>
    <x v="15"/>
    <n v="500.00009999999997"/>
    <s v="2024_07.xlsx"/>
    <x v="8"/>
    <x v="6"/>
  </r>
  <r>
    <s v="MonthlyTradeStatistics 2024_07.xlsx"/>
    <x v="16"/>
    <n v="16500"/>
    <s v="2024_07.xlsx"/>
    <x v="8"/>
    <x v="6"/>
  </r>
  <r>
    <s v="MonthlyTradeStatistics 2024_07.xlsx"/>
    <x v="17"/>
    <n v="17000.003000000001"/>
    <s v="2024_07.xlsx"/>
    <x v="8"/>
    <x v="6"/>
  </r>
  <r>
    <s v="MonthlyTradeStatistics 2024_07.xlsx"/>
    <x v="18"/>
    <n v="38800.103999999999"/>
    <s v="2024_07.xlsx"/>
    <x v="8"/>
    <x v="6"/>
  </r>
  <r>
    <s v="MonthlyTradeStatistics 2024_07.xlsx"/>
    <x v="19"/>
    <n v="48565.617100000003"/>
    <s v="2024_07.xlsx"/>
    <x v="8"/>
    <x v="6"/>
  </r>
  <r>
    <s v="MonthlyTradeStatistics 2024_07.xlsx"/>
    <x v="21"/>
    <n v="720000"/>
    <s v="2024_07.xlsx"/>
    <x v="8"/>
    <x v="6"/>
  </r>
  <r>
    <s v="MonthlyTradeStatistics 2024_07.xlsx"/>
    <x v="23"/>
    <n v="1485.636"/>
    <s v="2024_07.xlsx"/>
    <x v="8"/>
    <x v="6"/>
  </r>
  <r>
    <s v="MonthlyTradeStatistics 2024_07.xlsx"/>
    <x v="24"/>
    <n v="378357.0796"/>
    <s v="2024_07.xlsx"/>
    <x v="8"/>
    <x v="6"/>
  </r>
  <r>
    <s v="MonthlyTradeStatistics 2024_07.xlsx"/>
    <x v="25"/>
    <n v="23433.1672"/>
    <s v="2024_07.xlsx"/>
    <x v="8"/>
    <x v="6"/>
  </r>
  <r>
    <s v="MonthlyTradeStatistics 2024_07.xlsx"/>
    <x v="26"/>
    <n v="34.408900000000003"/>
    <s v="2024_07.xlsx"/>
    <x v="8"/>
    <x v="6"/>
  </r>
  <r>
    <s v="MonthlyTradeStatistics 2024_07.xlsx"/>
    <x v="27"/>
    <n v="190"/>
    <s v="2024_07.xlsx"/>
    <x v="8"/>
    <x v="6"/>
  </r>
  <r>
    <s v="MonthlyTradeStatistics 2024_07.xlsx"/>
    <x v="28"/>
    <n v="390567.23"/>
    <s v="2024_07.xlsx"/>
    <x v="8"/>
    <x v="6"/>
  </r>
  <r>
    <s v="MonthlyTradeStatistics 2024_07.xlsx"/>
    <x v="29"/>
    <n v="458255.0846"/>
    <s v="2024_07.xlsx"/>
    <x v="8"/>
    <x v="6"/>
  </r>
  <r>
    <s v="MonthlyTradeStatistics 2024_07.xlsx"/>
    <x v="30"/>
    <n v="793155.59459999995"/>
    <s v="2024_07.xlsx"/>
    <x v="8"/>
    <x v="6"/>
  </r>
  <r>
    <s v="MonthlyTradeStatistics 2024_07.xlsx"/>
    <x v="31"/>
    <n v="944.78200000000004"/>
    <s v="2024_07.xlsx"/>
    <x v="8"/>
    <x v="6"/>
  </r>
  <r>
    <s v="MonthlyTradeStatistics 2024_07.xlsx"/>
    <x v="32"/>
    <n v="118412.4243"/>
    <s v="2024_07.xlsx"/>
    <x v="8"/>
    <x v="6"/>
  </r>
  <r>
    <s v="MonthlyTradeStatistics 2024_07.xlsx"/>
    <x v="33"/>
    <n v="45599.992100000003"/>
    <s v="2024_07.xlsx"/>
    <x v="8"/>
    <x v="6"/>
  </r>
  <r>
    <s v="MonthlyTradeStatistics 2024_07.xlsx"/>
    <x v="35"/>
    <n v="8675.0691000000006"/>
    <s v="2024_07.xlsx"/>
    <x v="8"/>
    <x v="6"/>
  </r>
  <r>
    <s v="MonthlyTradeStatistics 2024_07.xlsx"/>
    <x v="36"/>
    <n v="669.99480000000005"/>
    <s v="2024_07.xlsx"/>
    <x v="8"/>
    <x v="6"/>
  </r>
  <r>
    <s v="MonthlyTradeStatistics 2024_07.xlsx"/>
    <x v="37"/>
    <n v="302999.995"/>
    <s v="2024_07.xlsx"/>
    <x v="8"/>
    <x v="6"/>
  </r>
  <r>
    <s v="MonthlyTradeStatistics 2024_07.xlsx"/>
    <x v="38"/>
    <n v="183.255"/>
    <s v="2024_07.xlsx"/>
    <x v="8"/>
    <x v="6"/>
  </r>
  <r>
    <s v="MonthlyTradeStatistics 2024_07.xlsx"/>
    <x v="39"/>
    <n v="268699.9976"/>
    <s v="2024_07.xlsx"/>
    <x v="8"/>
    <x v="6"/>
  </r>
  <r>
    <s v="MonthlyTradeStatistics 2024_07.xlsx"/>
    <x v="40"/>
    <n v="0"/>
    <s v="2024_07.xlsx"/>
    <x v="8"/>
    <x v="6"/>
  </r>
  <r>
    <s v="MonthlyTradeStatistics 2024_07.xlsx"/>
    <x v="41"/>
    <n v="3610.9140000000002"/>
    <s v="2024_07.xlsx"/>
    <x v="8"/>
    <x v="6"/>
  </r>
  <r>
    <s v="MonthlyTradeStatistics 2024_07.xlsx"/>
    <x v="42"/>
    <n v="89294.371799999994"/>
    <s v="2024_07.xlsx"/>
    <x v="8"/>
    <x v="6"/>
  </r>
  <r>
    <s v="MonthlyTradeStatistics 2024_07.xlsx"/>
    <x v="43"/>
    <n v="4.7117000000000004"/>
    <s v="2024_07.xlsx"/>
    <x v="8"/>
    <x v="6"/>
  </r>
  <r>
    <s v="MonthlyTradeStatistics 2024_07.xlsx"/>
    <x v="44"/>
    <n v="501784.0514"/>
    <s v="2024_07.xlsx"/>
    <x v="8"/>
    <x v="6"/>
  </r>
  <r>
    <s v="MonthlyTradeStatistics 2024_07.xlsx"/>
    <x v="45"/>
    <n v="461.29199999999997"/>
    <s v="2024_07.xlsx"/>
    <x v="8"/>
    <x v="6"/>
  </r>
  <r>
    <s v="MonthlyTradeStatistics 2024_07.xlsx"/>
    <x v="46"/>
    <n v="22099.995699999999"/>
    <s v="2024_07.xlsx"/>
    <x v="8"/>
    <x v="6"/>
  </r>
  <r>
    <s v="MonthlyTradeStatistics 2024_07.xlsx"/>
    <x v="47"/>
    <n v="5000"/>
    <s v="2024_07.xlsx"/>
    <x v="8"/>
    <x v="6"/>
  </r>
  <r>
    <s v="MonthlyTradeStatistics 2024_07.xlsx"/>
    <x v="48"/>
    <n v="54.188899999999997"/>
    <s v="2024_07.xlsx"/>
    <x v="8"/>
    <x v="6"/>
  </r>
  <r>
    <s v="MonthlyTradeStatistics 2024_07.xlsx"/>
    <x v="49"/>
    <n v="26299.360000000001"/>
    <s v="2024_07.xlsx"/>
    <x v="8"/>
    <x v="6"/>
  </r>
  <r>
    <s v="MonthlyTradeStatistics 2024_07.xlsx"/>
    <x v="50"/>
    <n v="17534.7431"/>
    <s v="2024_07.xlsx"/>
    <x v="8"/>
    <x v="6"/>
  </r>
  <r>
    <s v="MonthlyTradeStatistics 2024_07.xlsx"/>
    <x v="51"/>
    <n v="3451.0167000000001"/>
    <s v="2024_07.xlsx"/>
    <x v="8"/>
    <x v="6"/>
  </r>
  <r>
    <s v="MonthlyTradeStatistics 2024_07.xlsx"/>
    <x v="52"/>
    <n v="20625.919999999998"/>
    <s v="2024_07.xlsx"/>
    <x v="8"/>
    <x v="6"/>
  </r>
  <r>
    <s v="MonthlyTradeStatistics 2024_07.xlsx"/>
    <x v="53"/>
    <n v="330.95710000000003"/>
    <s v="2024_07.xlsx"/>
    <x v="8"/>
    <x v="6"/>
  </r>
  <r>
    <s v="MonthlyTradeStatistics 2024_07.xlsx"/>
    <x v="54"/>
    <n v="821593"/>
    <s v="2024_07.xlsx"/>
    <x v="8"/>
    <x v="6"/>
  </r>
  <r>
    <s v="MonthlyTradeStatistics 2024_07.xlsx"/>
    <x v="55"/>
    <n v="1100"/>
    <s v="2024_07.xlsx"/>
    <x v="8"/>
    <x v="6"/>
  </r>
  <r>
    <s v="MonthlyTradeStatistics 2024_07.xlsx"/>
    <x v="56"/>
    <n v="1316866.2205000001"/>
    <s v="2024_07.xlsx"/>
    <x v="8"/>
    <x v="6"/>
  </r>
  <r>
    <s v="MonthlyTradeStatistics 2024_07.xlsx"/>
    <x v="57"/>
    <n v="3137.1880999999998"/>
    <s v="2024_07.xlsx"/>
    <x v="8"/>
    <x v="6"/>
  </r>
  <r>
    <s v="MonthlyTradeStatistics 2024_07.xlsx"/>
    <x v="58"/>
    <n v="223.3897"/>
    <s v="2024_07.xlsx"/>
    <x v="8"/>
    <x v="6"/>
  </r>
  <r>
    <s v="MonthlyTradeStatistics 2024_07.xlsx"/>
    <x v="59"/>
    <n v="0"/>
    <s v="2024_07.xlsx"/>
    <x v="8"/>
    <x v="6"/>
  </r>
  <r>
    <s v="MonthlyTradeStatistics 2024_08.xlsx"/>
    <x v="0"/>
    <n v="11803468.9575"/>
    <s v="2024_08.xlsx"/>
    <x v="8"/>
    <x v="7"/>
  </r>
  <r>
    <s v="MonthlyTradeStatistics 2024_08.xlsx"/>
    <x v="1"/>
    <n v="1142837.7507"/>
    <s v="2024_08.xlsx"/>
    <x v="8"/>
    <x v="7"/>
  </r>
  <r>
    <s v="MonthlyTradeStatistics 2024_08.xlsx"/>
    <x v="2"/>
    <n v="2330875.9807000002"/>
    <s v="2024_08.xlsx"/>
    <x v="8"/>
    <x v="7"/>
  </r>
  <r>
    <s v="MonthlyTradeStatistics 2024_08.xlsx"/>
    <x v="3"/>
    <n v="3804914.3215000001"/>
    <s v="2024_08.xlsx"/>
    <x v="8"/>
    <x v="7"/>
  </r>
  <r>
    <s v="MonthlyTradeStatistics 2024_08.xlsx"/>
    <x v="4"/>
    <n v="4524840.9046"/>
    <s v="2024_08.xlsx"/>
    <x v="8"/>
    <x v="7"/>
  </r>
  <r>
    <s v="MonthlyTradeStatistics 2024_08.xlsx"/>
    <x v="5"/>
    <n v="1430.0118"/>
    <s v="2024_08.xlsx"/>
    <x v="8"/>
    <x v="7"/>
  </r>
  <r>
    <s v="MonthlyTradeStatistics 2024_08.xlsx"/>
    <x v="6"/>
    <n v="3430.3332999999998"/>
    <s v="2024_08.xlsx"/>
    <x v="8"/>
    <x v="7"/>
  </r>
  <r>
    <s v="MonthlyTradeStatistics 2024_08.xlsx"/>
    <x v="7"/>
    <n v="4092677.6348000001"/>
    <s v="2024_08.xlsx"/>
    <x v="8"/>
    <x v="7"/>
  </r>
  <r>
    <s v="MonthlyTradeStatistics 2024_08.xlsx"/>
    <x v="8"/>
    <n v="12000"/>
    <s v="2024_08.xlsx"/>
    <x v="8"/>
    <x v="7"/>
  </r>
  <r>
    <s v="MonthlyTradeStatistics 2024_08.xlsx"/>
    <x v="9"/>
    <n v="34445.769800000002"/>
    <s v="2024_08.xlsx"/>
    <x v="8"/>
    <x v="7"/>
  </r>
  <r>
    <s v="MonthlyTradeStatistics 2024_08.xlsx"/>
    <x v="10"/>
    <n v="400"/>
    <s v="2024_08.xlsx"/>
    <x v="8"/>
    <x v="7"/>
  </r>
  <r>
    <s v="MonthlyTradeStatistics 2024_08.xlsx"/>
    <x v="11"/>
    <n v="1038753.2727"/>
    <s v="2024_08.xlsx"/>
    <x v="8"/>
    <x v="7"/>
  </r>
  <r>
    <s v="MonthlyTradeStatistics 2024_08.xlsx"/>
    <x v="12"/>
    <n v="0"/>
    <s v="2024_08.xlsx"/>
    <x v="8"/>
    <x v="7"/>
  </r>
  <r>
    <s v="MonthlyTradeStatistics 2024_08.xlsx"/>
    <x v="13"/>
    <n v="128646.09"/>
    <s v="2024_08.xlsx"/>
    <x v="8"/>
    <x v="7"/>
  </r>
  <r>
    <s v="MonthlyTradeStatistics 2024_08.xlsx"/>
    <x v="14"/>
    <n v="117758.88340000001"/>
    <s v="2024_08.xlsx"/>
    <x v="8"/>
    <x v="7"/>
  </r>
  <r>
    <s v="MonthlyTradeStatistics 2024_08.xlsx"/>
    <x v="15"/>
    <n v="239.99590000000001"/>
    <s v="2024_08.xlsx"/>
    <x v="8"/>
    <x v="7"/>
  </r>
  <r>
    <s v="MonthlyTradeStatistics 2024_08.xlsx"/>
    <x v="16"/>
    <n v="15000"/>
    <s v="2024_08.xlsx"/>
    <x v="8"/>
    <x v="7"/>
  </r>
  <r>
    <s v="MonthlyTradeStatistics 2024_08.xlsx"/>
    <x v="17"/>
    <n v="13800.000899999999"/>
    <s v="2024_08.xlsx"/>
    <x v="8"/>
    <x v="7"/>
  </r>
  <r>
    <s v="MonthlyTradeStatistics 2024_08.xlsx"/>
    <x v="18"/>
    <n v="68969.274000000005"/>
    <s v="2024_08.xlsx"/>
    <x v="8"/>
    <x v="7"/>
  </r>
  <r>
    <s v="MonthlyTradeStatistics 2024_08.xlsx"/>
    <x v="19"/>
    <n v="32600"/>
    <s v="2024_08.xlsx"/>
    <x v="8"/>
    <x v="7"/>
  </r>
  <r>
    <s v="MonthlyTradeStatistics 2024_08.xlsx"/>
    <x v="21"/>
    <n v="600000"/>
    <s v="2024_08.xlsx"/>
    <x v="8"/>
    <x v="7"/>
  </r>
  <r>
    <s v="MonthlyTradeStatistics 2024_08.xlsx"/>
    <x v="23"/>
    <n v="447.31950000000001"/>
    <s v="2024_08.xlsx"/>
    <x v="8"/>
    <x v="7"/>
  </r>
  <r>
    <s v="MonthlyTradeStatistics 2024_08.xlsx"/>
    <x v="24"/>
    <n v="278761.24420000002"/>
    <s v="2024_08.xlsx"/>
    <x v="8"/>
    <x v="7"/>
  </r>
  <r>
    <s v="MonthlyTradeStatistics 2024_08.xlsx"/>
    <x v="25"/>
    <n v="14180.0003"/>
    <s v="2024_08.xlsx"/>
    <x v="8"/>
    <x v="7"/>
  </r>
  <r>
    <s v="MonthlyTradeStatistics 2024_08.xlsx"/>
    <x v="26"/>
    <n v="33.884"/>
    <s v="2024_08.xlsx"/>
    <x v="8"/>
    <x v="7"/>
  </r>
  <r>
    <s v="MonthlyTradeStatistics 2024_08.xlsx"/>
    <x v="27"/>
    <n v="10"/>
    <s v="2024_08.xlsx"/>
    <x v="8"/>
    <x v="7"/>
  </r>
  <r>
    <s v="MonthlyTradeStatistics 2024_08.xlsx"/>
    <x v="28"/>
    <n v="248441"/>
    <s v="2024_08.xlsx"/>
    <x v="8"/>
    <x v="7"/>
  </r>
  <r>
    <s v="MonthlyTradeStatistics 2024_08.xlsx"/>
    <x v="29"/>
    <n v="574268.64069999999"/>
    <s v="2024_08.xlsx"/>
    <x v="8"/>
    <x v="7"/>
  </r>
  <r>
    <s v="MonthlyTradeStatistics 2024_08.xlsx"/>
    <x v="30"/>
    <n v="889633.02359999996"/>
    <s v="2024_08.xlsx"/>
    <x v="8"/>
    <x v="7"/>
  </r>
  <r>
    <s v="MonthlyTradeStatistics 2024_08.xlsx"/>
    <x v="31"/>
    <n v="1233.6964"/>
    <s v="2024_08.xlsx"/>
    <x v="8"/>
    <x v="7"/>
  </r>
  <r>
    <s v="MonthlyTradeStatistics 2024_08.xlsx"/>
    <x v="32"/>
    <n v="96599.998000000007"/>
    <s v="2024_08.xlsx"/>
    <x v="8"/>
    <x v="7"/>
  </r>
  <r>
    <s v="MonthlyTradeStatistics 2024_08.xlsx"/>
    <x v="33"/>
    <n v="57300.001100000001"/>
    <s v="2024_08.xlsx"/>
    <x v="8"/>
    <x v="7"/>
  </r>
  <r>
    <s v="MonthlyTradeStatistics 2024_08.xlsx"/>
    <x v="35"/>
    <n v="25816.128499999999"/>
    <s v="2024_08.xlsx"/>
    <x v="8"/>
    <x v="7"/>
  </r>
  <r>
    <s v="MonthlyTradeStatistics 2024_08.xlsx"/>
    <x v="36"/>
    <n v="449.99520000000001"/>
    <s v="2024_08.xlsx"/>
    <x v="8"/>
    <x v="7"/>
  </r>
  <r>
    <s v="MonthlyTradeStatistics 2024_08.xlsx"/>
    <x v="37"/>
    <n v="272999.98369999998"/>
    <s v="2024_08.xlsx"/>
    <x v="8"/>
    <x v="7"/>
  </r>
  <r>
    <s v="MonthlyTradeStatistics 2024_08.xlsx"/>
    <x v="38"/>
    <n v="138.03819999999999"/>
    <s v="2024_08.xlsx"/>
    <x v="8"/>
    <x v="7"/>
  </r>
  <r>
    <s v="MonthlyTradeStatistics 2024_08.xlsx"/>
    <x v="39"/>
    <n v="196499.9963"/>
    <s v="2024_08.xlsx"/>
    <x v="8"/>
    <x v="7"/>
  </r>
  <r>
    <s v="MonthlyTradeStatistics 2024_08.xlsx"/>
    <x v="40"/>
    <n v="0"/>
    <s v="2024_08.xlsx"/>
    <x v="8"/>
    <x v="7"/>
  </r>
  <r>
    <s v="MonthlyTradeStatistics 2024_08.xlsx"/>
    <x v="41"/>
    <n v="2523.3739999999998"/>
    <s v="2024_08.xlsx"/>
    <x v="8"/>
    <x v="7"/>
  </r>
  <r>
    <s v="MonthlyTradeStatistics 2024_08.xlsx"/>
    <x v="42"/>
    <n v="88405.33"/>
    <s v="2024_08.xlsx"/>
    <x v="8"/>
    <x v="7"/>
  </r>
  <r>
    <s v="MonthlyTradeStatistics 2024_08.xlsx"/>
    <x v="43"/>
    <n v="0.72829999999999995"/>
    <s v="2024_08.xlsx"/>
    <x v="8"/>
    <x v="7"/>
  </r>
  <r>
    <s v="MonthlyTradeStatistics 2024_08.xlsx"/>
    <x v="44"/>
    <n v="553109.55740000005"/>
    <s v="2024_08.xlsx"/>
    <x v="8"/>
    <x v="7"/>
  </r>
  <r>
    <s v="MonthlyTradeStatistics 2024_08.xlsx"/>
    <x v="45"/>
    <n v="347.05779999999999"/>
    <s v="2024_08.xlsx"/>
    <x v="8"/>
    <x v="7"/>
  </r>
  <r>
    <s v="MonthlyTradeStatistics 2024_08.xlsx"/>
    <x v="46"/>
    <n v="22099.995699999999"/>
    <s v="2024_08.xlsx"/>
    <x v="8"/>
    <x v="7"/>
  </r>
  <r>
    <s v="MonthlyTradeStatistics 2024_08.xlsx"/>
    <x v="47"/>
    <n v="4000"/>
    <s v="2024_08.xlsx"/>
    <x v="8"/>
    <x v="7"/>
  </r>
  <r>
    <s v="MonthlyTradeStatistics 2024_08.xlsx"/>
    <x v="48"/>
    <n v="107.48779999999999"/>
    <s v="2024_08.xlsx"/>
    <x v="8"/>
    <x v="7"/>
  </r>
  <r>
    <s v="MonthlyTradeStatistics 2024_08.xlsx"/>
    <x v="49"/>
    <n v="38900.04"/>
    <s v="2024_08.xlsx"/>
    <x v="8"/>
    <x v="7"/>
  </r>
  <r>
    <s v="MonthlyTradeStatistics 2024_08.xlsx"/>
    <x v="50"/>
    <n v="20049.444899999999"/>
    <s v="2024_08.xlsx"/>
    <x v="8"/>
    <x v="7"/>
  </r>
  <r>
    <s v="MonthlyTradeStatistics 2024_08.xlsx"/>
    <x v="51"/>
    <n v="5105.3177999999998"/>
    <s v="2024_08.xlsx"/>
    <x v="8"/>
    <x v="7"/>
  </r>
  <r>
    <s v="MonthlyTradeStatistics 2024_08.xlsx"/>
    <x v="52"/>
    <n v="3116.6667000000002"/>
    <s v="2024_08.xlsx"/>
    <x v="8"/>
    <x v="7"/>
  </r>
  <r>
    <s v="MonthlyTradeStatistics 2024_08.xlsx"/>
    <x v="53"/>
    <n v="243.46250000000001"/>
    <s v="2024_08.xlsx"/>
    <x v="8"/>
    <x v="7"/>
  </r>
  <r>
    <s v="MonthlyTradeStatistics 2024_08.xlsx"/>
    <x v="54"/>
    <n v="837915"/>
    <s v="2024_08.xlsx"/>
    <x v="8"/>
    <x v="7"/>
  </r>
  <r>
    <s v="MonthlyTradeStatistics 2024_08.xlsx"/>
    <x v="55"/>
    <n v="15100"/>
    <s v="2024_08.xlsx"/>
    <x v="8"/>
    <x v="7"/>
  </r>
  <r>
    <s v="MonthlyTradeStatistics 2024_08.xlsx"/>
    <x v="56"/>
    <n v="1389635.4749"/>
    <s v="2024_08.xlsx"/>
    <x v="8"/>
    <x v="7"/>
  </r>
  <r>
    <s v="MonthlyTradeStatistics 2024_08.xlsx"/>
    <x v="57"/>
    <n v="4169.4116999999997"/>
    <s v="2024_08.xlsx"/>
    <x v="8"/>
    <x v="7"/>
  </r>
  <r>
    <s v="MonthlyTradeStatistics 2024_08.xlsx"/>
    <x v="58"/>
    <n v="1546.3916999999999"/>
    <s v="2024_08.xlsx"/>
    <x v="8"/>
    <x v="7"/>
  </r>
  <r>
    <s v="MonthlyTradeStatistics 2024_08.xlsx"/>
    <x v="59"/>
    <n v="130"/>
    <s v="2024_08.xlsx"/>
    <x v="8"/>
    <x v="7"/>
  </r>
  <r>
    <s v="MonthlyTradeStatistics 2024_09.xlsx"/>
    <x v="0"/>
    <n v="11350700.894300001"/>
    <s v="2024_09.xlsx"/>
    <x v="8"/>
    <x v="8"/>
  </r>
  <r>
    <s v="MonthlyTradeStatistics 2024_09.xlsx"/>
    <x v="1"/>
    <n v="1102058.2845999999"/>
    <s v="2024_09.xlsx"/>
    <x v="8"/>
    <x v="8"/>
  </r>
  <r>
    <s v="MonthlyTradeStatistics 2024_09.xlsx"/>
    <x v="2"/>
    <n v="2139831.3094000001"/>
    <s v="2024_09.xlsx"/>
    <x v="8"/>
    <x v="8"/>
  </r>
  <r>
    <s v="MonthlyTradeStatistics 2024_09.xlsx"/>
    <x v="3"/>
    <n v="4367186.8870999999"/>
    <s v="2024_09.xlsx"/>
    <x v="8"/>
    <x v="8"/>
  </r>
  <r>
    <s v="MonthlyTradeStatistics 2024_09.xlsx"/>
    <x v="4"/>
    <n v="3741624.4131999998"/>
    <s v="2024_09.xlsx"/>
    <x v="8"/>
    <x v="8"/>
  </r>
  <r>
    <s v="MonthlyTradeStatistics 2024_09.xlsx"/>
    <x v="5"/>
    <n v="3136.5"/>
    <s v="2024_09.xlsx"/>
    <x v="8"/>
    <x v="8"/>
  </r>
  <r>
    <s v="MonthlyTradeStatistics 2024_09.xlsx"/>
    <x v="6"/>
    <n v="4786"/>
    <s v="2024_09.xlsx"/>
    <x v="8"/>
    <x v="8"/>
  </r>
  <r>
    <s v="MonthlyTradeStatistics 2024_09.xlsx"/>
    <x v="7"/>
    <n v="4921683.9052999998"/>
    <s v="2024_09.xlsx"/>
    <x v="8"/>
    <x v="8"/>
  </r>
  <r>
    <s v="MonthlyTradeStatistics 2024_09.xlsx"/>
    <x v="8"/>
    <n v="10000"/>
    <s v="2024_09.xlsx"/>
    <x v="8"/>
    <x v="8"/>
  </r>
  <r>
    <s v="MonthlyTradeStatistics 2024_09.xlsx"/>
    <x v="9"/>
    <n v="22345.382600000001"/>
    <s v="2024_09.xlsx"/>
    <x v="8"/>
    <x v="8"/>
  </r>
  <r>
    <s v="MonthlyTradeStatistics 2024_09.xlsx"/>
    <x v="10"/>
    <n v="300"/>
    <s v="2024_09.xlsx"/>
    <x v="8"/>
    <x v="8"/>
  </r>
  <r>
    <s v="MonthlyTradeStatistics 2024_09.xlsx"/>
    <x v="11"/>
    <n v="1005350.1623"/>
    <s v="2024_09.xlsx"/>
    <x v="8"/>
    <x v="8"/>
  </r>
  <r>
    <s v="MonthlyTradeStatistics 2024_09.xlsx"/>
    <x v="12"/>
    <n v="0"/>
    <s v="2024_09.xlsx"/>
    <x v="8"/>
    <x v="8"/>
  </r>
  <r>
    <s v="MonthlyTradeStatistics 2024_09.xlsx"/>
    <x v="13"/>
    <n v="95550.868499999997"/>
    <s v="2024_09.xlsx"/>
    <x v="8"/>
    <x v="8"/>
  </r>
  <r>
    <s v="MonthlyTradeStatistics 2024_09.xlsx"/>
    <x v="14"/>
    <n v="82263.2503"/>
    <s v="2024_09.xlsx"/>
    <x v="8"/>
    <x v="8"/>
  </r>
  <r>
    <s v="MonthlyTradeStatistics 2024_09.xlsx"/>
    <x v="15"/>
    <n v="200"/>
    <s v="2024_09.xlsx"/>
    <x v="8"/>
    <x v="8"/>
  </r>
  <r>
    <s v="MonthlyTradeStatistics 2024_09.xlsx"/>
    <x v="16"/>
    <n v="14900"/>
    <s v="2024_09.xlsx"/>
    <x v="8"/>
    <x v="8"/>
  </r>
  <r>
    <s v="MonthlyTradeStatistics 2024_09.xlsx"/>
    <x v="17"/>
    <n v="10079.998900000001"/>
    <s v="2024_09.xlsx"/>
    <x v="8"/>
    <x v="8"/>
  </r>
  <r>
    <s v="MonthlyTradeStatistics 2024_09.xlsx"/>
    <x v="18"/>
    <n v="50821.896000000001"/>
    <s v="2024_09.xlsx"/>
    <x v="8"/>
    <x v="8"/>
  </r>
  <r>
    <s v="MonthlyTradeStatistics 2024_09.xlsx"/>
    <x v="19"/>
    <n v="39600"/>
    <s v="2024_09.xlsx"/>
    <x v="8"/>
    <x v="8"/>
  </r>
  <r>
    <s v="MonthlyTradeStatistics 2024_09.xlsx"/>
    <x v="21"/>
    <n v="540000"/>
    <s v="2024_09.xlsx"/>
    <x v="8"/>
    <x v="8"/>
  </r>
  <r>
    <s v="MonthlyTradeStatistics 2024_09.xlsx"/>
    <x v="23"/>
    <n v="1957.8841"/>
    <s v="2024_09.xlsx"/>
    <x v="8"/>
    <x v="8"/>
  </r>
  <r>
    <s v="MonthlyTradeStatistics 2024_09.xlsx"/>
    <x v="24"/>
    <n v="200684.45759999999"/>
    <s v="2024_09.xlsx"/>
    <x v="8"/>
    <x v="8"/>
  </r>
  <r>
    <s v="MonthlyTradeStatistics 2024_09.xlsx"/>
    <x v="25"/>
    <n v="986.66669999999999"/>
    <s v="2024_09.xlsx"/>
    <x v="8"/>
    <x v="8"/>
  </r>
  <r>
    <s v="MonthlyTradeStatistics 2024_09.xlsx"/>
    <x v="26"/>
    <n v="305.07749999999999"/>
    <s v="2024_09.xlsx"/>
    <x v="8"/>
    <x v="8"/>
  </r>
  <r>
    <s v="MonthlyTradeStatistics 2024_09.xlsx"/>
    <x v="27"/>
    <n v="350"/>
    <s v="2024_09.xlsx"/>
    <x v="8"/>
    <x v="8"/>
  </r>
  <r>
    <s v="MonthlyTradeStatistics 2024_09.xlsx"/>
    <x v="28"/>
    <n v="230321.03"/>
    <s v="2024_09.xlsx"/>
    <x v="8"/>
    <x v="8"/>
  </r>
  <r>
    <s v="MonthlyTradeStatistics 2024_09.xlsx"/>
    <x v="29"/>
    <n v="555950.70070000004"/>
    <s v="2024_09.xlsx"/>
    <x v="8"/>
    <x v="8"/>
  </r>
  <r>
    <s v="MonthlyTradeStatistics 2024_09.xlsx"/>
    <x v="30"/>
    <n v="653528.79240000003"/>
    <s v="2024_09.xlsx"/>
    <x v="8"/>
    <x v="8"/>
  </r>
  <r>
    <s v="MonthlyTradeStatistics 2024_09.xlsx"/>
    <x v="31"/>
    <n v="488.0068"/>
    <s v="2024_09.xlsx"/>
    <x v="8"/>
    <x v="8"/>
  </r>
  <r>
    <s v="MonthlyTradeStatistics 2024_09.xlsx"/>
    <x v="32"/>
    <n v="87500.002299999993"/>
    <s v="2024_09.xlsx"/>
    <x v="8"/>
    <x v="8"/>
  </r>
  <r>
    <s v="MonthlyTradeStatistics 2024_09.xlsx"/>
    <x v="33"/>
    <n v="49799.995699999999"/>
    <s v="2024_09.xlsx"/>
    <x v="8"/>
    <x v="8"/>
  </r>
  <r>
    <s v="MonthlyTradeStatistics 2024_09.xlsx"/>
    <x v="35"/>
    <n v="34842.392099999997"/>
    <s v="2024_09.xlsx"/>
    <x v="8"/>
    <x v="8"/>
  </r>
  <r>
    <s v="MonthlyTradeStatistics 2024_09.xlsx"/>
    <x v="36"/>
    <n v="900.00229999999999"/>
    <s v="2024_09.xlsx"/>
    <x v="8"/>
    <x v="8"/>
  </r>
  <r>
    <s v="MonthlyTradeStatistics 2024_09.xlsx"/>
    <x v="37"/>
    <n v="230000.00959999999"/>
    <s v="2024_09.xlsx"/>
    <x v="8"/>
    <x v="8"/>
  </r>
  <r>
    <s v="MonthlyTradeStatistics 2024_09.xlsx"/>
    <x v="38"/>
    <n v="58.354999999999997"/>
    <s v="2024_09.xlsx"/>
    <x v="8"/>
    <x v="8"/>
  </r>
  <r>
    <s v="MonthlyTradeStatistics 2024_09.xlsx"/>
    <x v="39"/>
    <n v="113300.00900000001"/>
    <s v="2024_09.xlsx"/>
    <x v="8"/>
    <x v="8"/>
  </r>
  <r>
    <s v="MonthlyTradeStatistics 2024_09.xlsx"/>
    <x v="40"/>
    <n v="0"/>
    <s v="2024_09.xlsx"/>
    <x v="8"/>
    <x v="8"/>
  </r>
  <r>
    <s v="MonthlyTradeStatistics 2024_09.xlsx"/>
    <x v="41"/>
    <n v="3796.1224999999999"/>
    <s v="2024_09.xlsx"/>
    <x v="8"/>
    <x v="8"/>
  </r>
  <r>
    <s v="MonthlyTradeStatistics 2024_09.xlsx"/>
    <x v="42"/>
    <n v="104799.41"/>
    <s v="2024_09.xlsx"/>
    <x v="8"/>
    <x v="8"/>
  </r>
  <r>
    <s v="MonthlyTradeStatistics 2024_09.xlsx"/>
    <x v="43"/>
    <n v="0.33329999999999999"/>
    <s v="2024_09.xlsx"/>
    <x v="8"/>
    <x v="8"/>
  </r>
  <r>
    <s v="MonthlyTradeStatistics 2024_09.xlsx"/>
    <x v="44"/>
    <n v="627939.17590000003"/>
    <s v="2024_09.xlsx"/>
    <x v="8"/>
    <x v="8"/>
  </r>
  <r>
    <s v="MonthlyTradeStatistics 2024_09.xlsx"/>
    <x v="45"/>
    <n v="5"/>
    <s v="2024_09.xlsx"/>
    <x v="8"/>
    <x v="8"/>
  </r>
  <r>
    <s v="MonthlyTradeStatistics 2024_09.xlsx"/>
    <x v="46"/>
    <n v="22099.995699999999"/>
    <s v="2024_09.xlsx"/>
    <x v="8"/>
    <x v="8"/>
  </r>
  <r>
    <s v="MonthlyTradeStatistics 2024_09.xlsx"/>
    <x v="47"/>
    <n v="7500"/>
    <s v="2024_09.xlsx"/>
    <x v="8"/>
    <x v="8"/>
  </r>
  <r>
    <s v="MonthlyTradeStatistics 2024_09.xlsx"/>
    <x v="48"/>
    <n v="15.2965"/>
    <s v="2024_09.xlsx"/>
    <x v="8"/>
    <x v="8"/>
  </r>
  <r>
    <s v="MonthlyTradeStatistics 2024_09.xlsx"/>
    <x v="49"/>
    <n v="48479.12"/>
    <s v="2024_09.xlsx"/>
    <x v="8"/>
    <x v="8"/>
  </r>
  <r>
    <s v="MonthlyTradeStatistics 2024_09.xlsx"/>
    <x v="50"/>
    <n v="18638.284100000001"/>
    <s v="2024_09.xlsx"/>
    <x v="8"/>
    <x v="8"/>
  </r>
  <r>
    <s v="MonthlyTradeStatistics 2024_09.xlsx"/>
    <x v="51"/>
    <n v="6728"/>
    <s v="2024_09.xlsx"/>
    <x v="8"/>
    <x v="8"/>
  </r>
  <r>
    <s v="MonthlyTradeStatistics 2024_09.xlsx"/>
    <x v="52"/>
    <n v="4346.9032999999999"/>
    <s v="2024_09.xlsx"/>
    <x v="8"/>
    <x v="8"/>
  </r>
  <r>
    <s v="MonthlyTradeStatistics 2024_09.xlsx"/>
    <x v="53"/>
    <n v="730.14480000000003"/>
    <s v="2024_09.xlsx"/>
    <x v="8"/>
    <x v="8"/>
  </r>
  <r>
    <s v="MonthlyTradeStatistics 2024_09.xlsx"/>
    <x v="54"/>
    <n v="556419"/>
    <s v="2024_09.xlsx"/>
    <x v="8"/>
    <x v="8"/>
  </r>
  <r>
    <s v="MonthlyTradeStatistics 2024_09.xlsx"/>
    <x v="55"/>
    <n v="10200"/>
    <s v="2024_09.xlsx"/>
    <x v="8"/>
    <x v="8"/>
  </r>
  <r>
    <s v="MonthlyTradeStatistics 2024_09.xlsx"/>
    <x v="56"/>
    <n v="964273.40009999997"/>
    <s v="2024_09.xlsx"/>
    <x v="8"/>
    <x v="8"/>
  </r>
  <r>
    <s v="MonthlyTradeStatistics 2024_09.xlsx"/>
    <x v="57"/>
    <n v="3820.4052000000001"/>
    <s v="2024_09.xlsx"/>
    <x v="8"/>
    <x v="8"/>
  </r>
  <r>
    <s v="MonthlyTradeStatistics 2024_09.xlsx"/>
    <x v="58"/>
    <n v="8918.9572000000007"/>
    <s v="2024_09.xlsx"/>
    <x v="8"/>
    <x v="8"/>
  </r>
  <r>
    <s v="MonthlyTradeStatistics 2024_09.xlsx"/>
    <x v="59"/>
    <n v="0"/>
    <s v="2024_09.xlsx"/>
    <x v="8"/>
    <x v="8"/>
  </r>
  <r>
    <s v="MonthlyTradeStatistics 2024_10.xlsx"/>
    <x v="0"/>
    <n v="11114504.3113"/>
    <s v="2024_10.xlsx"/>
    <x v="8"/>
    <x v="9"/>
  </r>
  <r>
    <s v="MonthlyTradeStatistics 2024_10.xlsx"/>
    <x v="1"/>
    <n v="1140317.4946000001"/>
    <s v="2024_10.xlsx"/>
    <x v="8"/>
    <x v="9"/>
  </r>
  <r>
    <s v="MonthlyTradeStatistics 2024_10.xlsx"/>
    <x v="2"/>
    <n v="1583682.3736"/>
    <s v="2024_10.xlsx"/>
    <x v="8"/>
    <x v="9"/>
  </r>
  <r>
    <s v="MonthlyTradeStatistics 2024_10.xlsx"/>
    <x v="3"/>
    <n v="4724077.5270999996"/>
    <s v="2024_10.xlsx"/>
    <x v="8"/>
    <x v="9"/>
  </r>
  <r>
    <s v="MonthlyTradeStatistics 2024_10.xlsx"/>
    <x v="4"/>
    <n v="3666426.9160000002"/>
    <s v="2024_10.xlsx"/>
    <x v="8"/>
    <x v="9"/>
  </r>
  <r>
    <s v="MonthlyTradeStatistics 2024_10.xlsx"/>
    <x v="5"/>
    <n v="1889.0700999999999"/>
    <s v="2024_10.xlsx"/>
    <x v="8"/>
    <x v="9"/>
  </r>
  <r>
    <s v="MonthlyTradeStatistics 2024_10.xlsx"/>
    <x v="6"/>
    <n v="3746.3332999999998"/>
    <s v="2024_10.xlsx"/>
    <x v="8"/>
    <x v="9"/>
  </r>
  <r>
    <s v="MonthlyTradeStatistics 2024_10.xlsx"/>
    <x v="7"/>
    <n v="5112274.1502"/>
    <s v="2024_10.xlsx"/>
    <x v="8"/>
    <x v="9"/>
  </r>
  <r>
    <s v="MonthlyTradeStatistics 2024_10.xlsx"/>
    <x v="8"/>
    <n v="8000"/>
    <s v="2024_10.xlsx"/>
    <x v="8"/>
    <x v="9"/>
  </r>
  <r>
    <s v="MonthlyTradeStatistics 2024_10.xlsx"/>
    <x v="9"/>
    <n v="10352.433300000001"/>
    <s v="2024_10.xlsx"/>
    <x v="8"/>
    <x v="9"/>
  </r>
  <r>
    <s v="MonthlyTradeStatistics 2024_10.xlsx"/>
    <x v="10"/>
    <n v="300"/>
    <s v="2024_10.xlsx"/>
    <x v="8"/>
    <x v="9"/>
  </r>
  <r>
    <s v="MonthlyTradeStatistics 2024_10.xlsx"/>
    <x v="11"/>
    <n v="1051780.5156"/>
    <s v="2024_10.xlsx"/>
    <x v="8"/>
    <x v="9"/>
  </r>
  <r>
    <s v="MonthlyTradeStatistics 2024_10.xlsx"/>
    <x v="12"/>
    <n v="0"/>
    <s v="2024_10.xlsx"/>
    <x v="8"/>
    <x v="9"/>
  </r>
  <r>
    <s v="MonthlyTradeStatistics 2024_10.xlsx"/>
    <x v="13"/>
    <n v="40120.645799999998"/>
    <s v="2024_10.xlsx"/>
    <x v="8"/>
    <x v="9"/>
  </r>
  <r>
    <s v="MonthlyTradeStatistics 2024_10.xlsx"/>
    <x v="14"/>
    <n v="31099.582299999998"/>
    <s v="2024_10.xlsx"/>
    <x v="8"/>
    <x v="9"/>
  </r>
  <r>
    <s v="MonthlyTradeStatistics 2024_10.xlsx"/>
    <x v="15"/>
    <n v="229.9999"/>
    <s v="2024_10.xlsx"/>
    <x v="8"/>
    <x v="9"/>
  </r>
  <r>
    <s v="MonthlyTradeStatistics 2024_10.xlsx"/>
    <x v="16"/>
    <n v="9000"/>
    <s v="2024_10.xlsx"/>
    <x v="8"/>
    <x v="9"/>
  </r>
  <r>
    <s v="MonthlyTradeStatistics 2024_10.xlsx"/>
    <x v="17"/>
    <n v="15299.998299999999"/>
    <s v="2024_10.xlsx"/>
    <x v="8"/>
    <x v="9"/>
  </r>
  <r>
    <s v="MonthlyTradeStatistics 2024_10.xlsx"/>
    <x v="18"/>
    <n v="37685.514000000003"/>
    <s v="2024_10.xlsx"/>
    <x v="8"/>
    <x v="9"/>
  </r>
  <r>
    <s v="MonthlyTradeStatistics 2024_10.xlsx"/>
    <x v="19"/>
    <n v="23400"/>
    <s v="2024_10.xlsx"/>
    <x v="8"/>
    <x v="9"/>
  </r>
  <r>
    <s v="MonthlyTradeStatistics 2024_10.xlsx"/>
    <x v="21"/>
    <n v="590000"/>
    <s v="2024_10.xlsx"/>
    <x v="8"/>
    <x v="9"/>
  </r>
  <r>
    <s v="MonthlyTradeStatistics 2024_10.xlsx"/>
    <x v="23"/>
    <n v="444.08640000000003"/>
    <s v="2024_10.xlsx"/>
    <x v="8"/>
    <x v="9"/>
  </r>
  <r>
    <s v="MonthlyTradeStatistics 2024_10.xlsx"/>
    <x v="24"/>
    <n v="108734.79889999999"/>
    <s v="2024_10.xlsx"/>
    <x v="8"/>
    <x v="9"/>
  </r>
  <r>
    <s v="MonthlyTradeStatistics 2024_10.xlsx"/>
    <x v="25"/>
    <n v="0"/>
    <s v="2024_10.xlsx"/>
    <x v="8"/>
    <x v="9"/>
  </r>
  <r>
    <s v="MonthlyTradeStatistics 2024_10.xlsx"/>
    <x v="26"/>
    <n v="21.761900000000001"/>
    <s v="2024_10.xlsx"/>
    <x v="8"/>
    <x v="9"/>
  </r>
  <r>
    <s v="MonthlyTradeStatistics 2024_10.xlsx"/>
    <x v="27"/>
    <n v="330"/>
    <s v="2024_10.xlsx"/>
    <x v="8"/>
    <x v="9"/>
  </r>
  <r>
    <s v="MonthlyTradeStatistics 2024_10.xlsx"/>
    <x v="28"/>
    <n v="17311.52"/>
    <s v="2024_10.xlsx"/>
    <x v="8"/>
    <x v="9"/>
  </r>
  <r>
    <s v="MonthlyTradeStatistics 2024_10.xlsx"/>
    <x v="29"/>
    <n v="403720.98700000002"/>
    <s v="2024_10.xlsx"/>
    <x v="8"/>
    <x v="9"/>
  </r>
  <r>
    <s v="MonthlyTradeStatistics 2024_10.xlsx"/>
    <x v="30"/>
    <n v="1052073.9354000001"/>
    <s v="2024_10.xlsx"/>
    <x v="8"/>
    <x v="9"/>
  </r>
  <r>
    <s v="MonthlyTradeStatistics 2024_10.xlsx"/>
    <x v="31"/>
    <n v="1540.6796999999999"/>
    <s v="2024_10.xlsx"/>
    <x v="8"/>
    <x v="9"/>
  </r>
  <r>
    <s v="MonthlyTradeStatistics 2024_10.xlsx"/>
    <x v="32"/>
    <n v="60299.999000000003"/>
    <s v="2024_10.xlsx"/>
    <x v="8"/>
    <x v="9"/>
  </r>
  <r>
    <s v="MonthlyTradeStatistics 2024_10.xlsx"/>
    <x v="33"/>
    <n v="45599.992100000003"/>
    <s v="2024_10.xlsx"/>
    <x v="8"/>
    <x v="9"/>
  </r>
  <r>
    <s v="MonthlyTradeStatistics 2024_10.xlsx"/>
    <x v="35"/>
    <n v="24268.601600000002"/>
    <s v="2024_10.xlsx"/>
    <x v="8"/>
    <x v="9"/>
  </r>
  <r>
    <s v="MonthlyTradeStatistics 2024_10.xlsx"/>
    <x v="36"/>
    <n v="719.99860000000001"/>
    <s v="2024_10.xlsx"/>
    <x v="8"/>
    <x v="9"/>
  </r>
  <r>
    <s v="MonthlyTradeStatistics 2024_10.xlsx"/>
    <x v="37"/>
    <n v="198449.9866"/>
    <s v="2024_10.xlsx"/>
    <x v="8"/>
    <x v="9"/>
  </r>
  <r>
    <s v="MonthlyTradeStatistics 2024_10.xlsx"/>
    <x v="38"/>
    <n v="45.714199999999998"/>
    <s v="2024_10.xlsx"/>
    <x v="8"/>
    <x v="9"/>
  </r>
  <r>
    <s v="MonthlyTradeStatistics 2024_10.xlsx"/>
    <x v="39"/>
    <n v="52200.001300000004"/>
    <s v="2024_10.xlsx"/>
    <x v="8"/>
    <x v="9"/>
  </r>
  <r>
    <s v="MonthlyTradeStatistics 2024_10.xlsx"/>
    <x v="40"/>
    <n v="0"/>
    <s v="2024_10.xlsx"/>
    <x v="8"/>
    <x v="9"/>
  </r>
  <r>
    <s v="MonthlyTradeStatistics 2024_10.xlsx"/>
    <x v="41"/>
    <n v="1461.0068000000001"/>
    <s v="2024_10.xlsx"/>
    <x v="8"/>
    <x v="9"/>
  </r>
  <r>
    <s v="MonthlyTradeStatistics 2024_10.xlsx"/>
    <x v="42"/>
    <n v="60069.99"/>
    <s v="2024_10.xlsx"/>
    <x v="8"/>
    <x v="9"/>
  </r>
  <r>
    <s v="MonthlyTradeStatistics 2024_10.xlsx"/>
    <x v="43"/>
    <n v="0"/>
    <s v="2024_10.xlsx"/>
    <x v="8"/>
    <x v="9"/>
  </r>
  <r>
    <s v="MonthlyTradeStatistics 2024_10.xlsx"/>
    <x v="44"/>
    <n v="586523.06160000002"/>
    <s v="2024_10.xlsx"/>
    <x v="8"/>
    <x v="9"/>
  </r>
  <r>
    <s v="MonthlyTradeStatistics 2024_10.xlsx"/>
    <x v="45"/>
    <n v="221.63399999999999"/>
    <s v="2024_10.xlsx"/>
    <x v="8"/>
    <x v="9"/>
  </r>
  <r>
    <s v="MonthlyTradeStatistics 2024_10.xlsx"/>
    <x v="46"/>
    <n v="25099.995699999999"/>
    <s v="2024_10.xlsx"/>
    <x v="8"/>
    <x v="9"/>
  </r>
  <r>
    <s v="MonthlyTradeStatistics 2024_10.xlsx"/>
    <x v="47"/>
    <n v="7000"/>
    <s v="2024_10.xlsx"/>
    <x v="8"/>
    <x v="9"/>
  </r>
  <r>
    <s v="MonthlyTradeStatistics 2024_10.xlsx"/>
    <x v="48"/>
    <n v="15.5907"/>
    <s v="2024_10.xlsx"/>
    <x v="8"/>
    <x v="9"/>
  </r>
  <r>
    <s v="MonthlyTradeStatistics 2024_10.xlsx"/>
    <x v="49"/>
    <n v="139621.89000000001"/>
    <s v="2024_10.xlsx"/>
    <x v="8"/>
    <x v="9"/>
  </r>
  <r>
    <s v="MonthlyTradeStatistics 2024_10.xlsx"/>
    <x v="50"/>
    <n v="23141.001799999998"/>
    <s v="2024_10.xlsx"/>
    <x v="8"/>
    <x v="9"/>
  </r>
  <r>
    <s v="MonthlyTradeStatistics 2024_10.xlsx"/>
    <x v="51"/>
    <n v="9819.2167000000009"/>
    <s v="2024_10.xlsx"/>
    <x v="8"/>
    <x v="9"/>
  </r>
  <r>
    <s v="MonthlyTradeStatistics 2024_10.xlsx"/>
    <x v="52"/>
    <n v="2311.6466"/>
    <s v="2024_10.xlsx"/>
    <x v="8"/>
    <x v="9"/>
  </r>
  <r>
    <s v="MonthlyTradeStatistics 2024_10.xlsx"/>
    <x v="53"/>
    <n v="503.84320000000002"/>
    <s v="2024_10.xlsx"/>
    <x v="8"/>
    <x v="9"/>
  </r>
  <r>
    <s v="MonthlyTradeStatistics 2024_10.xlsx"/>
    <x v="54"/>
    <n v="496820"/>
    <s v="2024_10.xlsx"/>
    <x v="8"/>
    <x v="9"/>
  </r>
  <r>
    <s v="MonthlyTradeStatistics 2024_10.xlsx"/>
    <x v="55"/>
    <n v="2300"/>
    <s v="2024_10.xlsx"/>
    <x v="8"/>
    <x v="9"/>
  </r>
  <r>
    <s v="MonthlyTradeStatistics 2024_10.xlsx"/>
    <x v="56"/>
    <n v="843246.81409999996"/>
    <s v="2024_10.xlsx"/>
    <x v="8"/>
    <x v="9"/>
  </r>
  <r>
    <s v="MonthlyTradeStatistics 2024_10.xlsx"/>
    <x v="57"/>
    <n v="3526.4013"/>
    <s v="2024_10.xlsx"/>
    <x v="8"/>
    <x v="9"/>
  </r>
  <r>
    <s v="MonthlyTradeStatistics 2024_10.xlsx"/>
    <x v="58"/>
    <n v="11881.9133"/>
    <s v="2024_10.xlsx"/>
    <x v="8"/>
    <x v="9"/>
  </r>
  <r>
    <s v="MonthlyTradeStatistics 2024_10.xlsx"/>
    <x v="59"/>
    <n v="0"/>
    <s v="2024_10.xlsx"/>
    <x v="8"/>
    <x v="9"/>
  </r>
  <r>
    <s v="MonthlyTradeStatistics 2024_11.xlsx"/>
    <x v="0"/>
    <n v="10107272.3157"/>
    <s v="2024_11.xlsx"/>
    <x v="8"/>
    <x v="10"/>
  </r>
  <r>
    <s v="MonthlyTradeStatistics 2024_11.xlsx"/>
    <x v="1"/>
    <n v="1350694.0142999999"/>
    <s v="2024_11.xlsx"/>
    <x v="8"/>
    <x v="10"/>
  </r>
  <r>
    <s v="MonthlyTradeStatistics 2024_11.xlsx"/>
    <x v="2"/>
    <n v="1255989.9169000001"/>
    <s v="2024_11.xlsx"/>
    <x v="8"/>
    <x v="10"/>
  </r>
  <r>
    <s v="MonthlyTradeStatistics 2024_11.xlsx"/>
    <x v="3"/>
    <n v="4114820.0891"/>
    <s v="2024_11.xlsx"/>
    <x v="8"/>
    <x v="10"/>
  </r>
  <r>
    <s v="MonthlyTradeStatistics 2024_11.xlsx"/>
    <x v="4"/>
    <n v="3385768.2954000002"/>
    <s v="2024_11.xlsx"/>
    <x v="8"/>
    <x v="10"/>
  </r>
  <r>
    <s v="MonthlyTradeStatistics 2024_11.xlsx"/>
    <x v="5"/>
    <n v="4257.6166999999996"/>
    <s v="2024_11.xlsx"/>
    <x v="8"/>
    <x v="10"/>
  </r>
  <r>
    <s v="MonthlyTradeStatistics 2024_11.xlsx"/>
    <x v="6"/>
    <n v="3696.5"/>
    <s v="2024_11.xlsx"/>
    <x v="8"/>
    <x v="10"/>
  </r>
  <r>
    <s v="MonthlyTradeStatistics 2024_11.xlsx"/>
    <x v="7"/>
    <n v="4323717.0991000002"/>
    <s v="2024_11.xlsx"/>
    <x v="8"/>
    <x v="10"/>
  </r>
  <r>
    <s v="MonthlyTradeStatistics 2024_11.xlsx"/>
    <x v="8"/>
    <n v="8000"/>
    <s v="2024_11.xlsx"/>
    <x v="8"/>
    <x v="10"/>
  </r>
  <r>
    <s v="MonthlyTradeStatistics 2024_11.xlsx"/>
    <x v="9"/>
    <n v="9936.6833999999999"/>
    <s v="2024_11.xlsx"/>
    <x v="8"/>
    <x v="10"/>
  </r>
  <r>
    <s v="MonthlyTradeStatistics 2024_11.xlsx"/>
    <x v="10"/>
    <n v="500"/>
    <s v="2024_11.xlsx"/>
    <x v="8"/>
    <x v="10"/>
  </r>
  <r>
    <s v="MonthlyTradeStatistics 2024_11.xlsx"/>
    <x v="11"/>
    <n v="1207177.9475"/>
    <s v="2024_11.xlsx"/>
    <x v="8"/>
    <x v="10"/>
  </r>
  <r>
    <s v="MonthlyTradeStatistics 2024_11.xlsx"/>
    <x v="12"/>
    <n v="0"/>
    <s v="2024_11.xlsx"/>
    <x v="8"/>
    <x v="10"/>
  </r>
  <r>
    <s v="MonthlyTradeStatistics 2024_11.xlsx"/>
    <x v="13"/>
    <n v="36570.438099999999"/>
    <s v="2024_11.xlsx"/>
    <x v="8"/>
    <x v="10"/>
  </r>
  <r>
    <s v="MonthlyTradeStatistics 2024_11.xlsx"/>
    <x v="14"/>
    <n v="90700.250899999999"/>
    <s v="2024_11.xlsx"/>
    <x v="8"/>
    <x v="10"/>
  </r>
  <r>
    <s v="MonthlyTradeStatistics 2024_11.xlsx"/>
    <x v="15"/>
    <n v="2039.9911999999999"/>
    <s v="2024_11.xlsx"/>
    <x v="8"/>
    <x v="10"/>
  </r>
  <r>
    <s v="MonthlyTradeStatistics 2024_11.xlsx"/>
    <x v="16"/>
    <n v="11100"/>
    <s v="2024_11.xlsx"/>
    <x v="8"/>
    <x v="10"/>
  </r>
  <r>
    <s v="MonthlyTradeStatistics 2024_11.xlsx"/>
    <x v="17"/>
    <n v="4800.0014000000001"/>
    <s v="2024_11.xlsx"/>
    <x v="8"/>
    <x v="10"/>
  </r>
  <r>
    <s v="MonthlyTradeStatistics 2024_11.xlsx"/>
    <x v="18"/>
    <n v="45827.205999999998"/>
    <s v="2024_11.xlsx"/>
    <x v="8"/>
    <x v="10"/>
  </r>
  <r>
    <s v="MonthlyTradeStatistics 2024_11.xlsx"/>
    <x v="19"/>
    <n v="15300"/>
    <s v="2024_11.xlsx"/>
    <x v="8"/>
    <x v="10"/>
  </r>
  <r>
    <s v="MonthlyTradeStatistics 2024_11.xlsx"/>
    <x v="21"/>
    <n v="540000"/>
    <s v="2024_11.xlsx"/>
    <x v="8"/>
    <x v="10"/>
  </r>
  <r>
    <s v="MonthlyTradeStatistics 2024_11.xlsx"/>
    <x v="23"/>
    <n v="1856.2808"/>
    <s v="2024_11.xlsx"/>
    <x v="8"/>
    <x v="10"/>
  </r>
  <r>
    <s v="MonthlyTradeStatistics 2024_11.xlsx"/>
    <x v="24"/>
    <n v="50732.968500000003"/>
    <s v="2024_11.xlsx"/>
    <x v="8"/>
    <x v="10"/>
  </r>
  <r>
    <s v="MonthlyTradeStatistics 2024_11.xlsx"/>
    <x v="25"/>
    <n v="1333.3333"/>
    <s v="2024_11.xlsx"/>
    <x v="8"/>
    <x v="10"/>
  </r>
  <r>
    <s v="MonthlyTradeStatistics 2024_11.xlsx"/>
    <x v="26"/>
    <n v="202.60220000000001"/>
    <s v="2024_11.xlsx"/>
    <x v="8"/>
    <x v="10"/>
  </r>
  <r>
    <s v="MonthlyTradeStatistics 2024_11.xlsx"/>
    <x v="27"/>
    <n v="40"/>
    <s v="2024_11.xlsx"/>
    <x v="8"/>
    <x v="10"/>
  </r>
  <r>
    <s v="MonthlyTradeStatistics 2024_11.xlsx"/>
    <x v="28"/>
    <n v="28782.560000000001"/>
    <s v="2024_11.xlsx"/>
    <x v="8"/>
    <x v="10"/>
  </r>
  <r>
    <s v="MonthlyTradeStatistics 2024_11.xlsx"/>
    <x v="29"/>
    <n v="374953.3382"/>
    <s v="2024_11.xlsx"/>
    <x v="8"/>
    <x v="10"/>
  </r>
  <r>
    <s v="MonthlyTradeStatistics 2024_11.xlsx"/>
    <x v="30"/>
    <n v="772678.65079999994"/>
    <s v="2024_11.xlsx"/>
    <x v="8"/>
    <x v="10"/>
  </r>
  <r>
    <s v="MonthlyTradeStatistics 2024_11.xlsx"/>
    <x v="31"/>
    <n v="466.73970000000003"/>
    <s v="2024_11.xlsx"/>
    <x v="8"/>
    <x v="10"/>
  </r>
  <r>
    <s v="MonthlyTradeStatistics 2024_11.xlsx"/>
    <x v="32"/>
    <n v="73400.000100000005"/>
    <s v="2024_11.xlsx"/>
    <x v="8"/>
    <x v="10"/>
  </r>
  <r>
    <s v="MonthlyTradeStatistics 2024_11.xlsx"/>
    <x v="33"/>
    <n v="41400.000399999997"/>
    <s v="2024_11.xlsx"/>
    <x v="8"/>
    <x v="10"/>
  </r>
  <r>
    <s v="MonthlyTradeStatistics 2024_11.xlsx"/>
    <x v="35"/>
    <n v="17280.666700000002"/>
    <s v="2024_11.xlsx"/>
    <x v="8"/>
    <x v="10"/>
  </r>
  <r>
    <s v="MonthlyTradeStatistics 2024_11.xlsx"/>
    <x v="36"/>
    <n v="550.00279999999998"/>
    <s v="2024_11.xlsx"/>
    <x v="8"/>
    <x v="10"/>
  </r>
  <r>
    <s v="MonthlyTradeStatistics 2024_11.xlsx"/>
    <x v="37"/>
    <n v="226600.0031"/>
    <s v="2024_11.xlsx"/>
    <x v="8"/>
    <x v="10"/>
  </r>
  <r>
    <s v="MonthlyTradeStatistics 2024_11.xlsx"/>
    <x v="38"/>
    <n v="68.932000000000002"/>
    <s v="2024_11.xlsx"/>
    <x v="8"/>
    <x v="10"/>
  </r>
  <r>
    <s v="MonthlyTradeStatistics 2024_11.xlsx"/>
    <x v="39"/>
    <n v="19100.007699999998"/>
    <s v="2024_11.xlsx"/>
    <x v="8"/>
    <x v="10"/>
  </r>
  <r>
    <s v="MonthlyTradeStatistics 2024_11.xlsx"/>
    <x v="40"/>
    <n v="0"/>
    <s v="2024_11.xlsx"/>
    <x v="8"/>
    <x v="10"/>
  </r>
  <r>
    <s v="MonthlyTradeStatistics 2024_11.xlsx"/>
    <x v="41"/>
    <n v="1502.0782999999999"/>
    <s v="2024_11.xlsx"/>
    <x v="8"/>
    <x v="10"/>
  </r>
  <r>
    <s v="MonthlyTradeStatistics 2024_11.xlsx"/>
    <x v="42"/>
    <n v="47178.631999999998"/>
    <s v="2024_11.xlsx"/>
    <x v="8"/>
    <x v="10"/>
  </r>
  <r>
    <s v="MonthlyTradeStatistics 2024_11.xlsx"/>
    <x v="43"/>
    <n v="0.5"/>
    <s v="2024_11.xlsx"/>
    <x v="8"/>
    <x v="10"/>
  </r>
  <r>
    <s v="MonthlyTradeStatistics 2024_11.xlsx"/>
    <x v="44"/>
    <n v="354697.76500000001"/>
    <s v="2024_11.xlsx"/>
    <x v="8"/>
    <x v="10"/>
  </r>
  <r>
    <s v="MonthlyTradeStatistics 2024_11.xlsx"/>
    <x v="45"/>
    <n v="240.5"/>
    <s v="2024_11.xlsx"/>
    <x v="8"/>
    <x v="10"/>
  </r>
  <r>
    <s v="MonthlyTradeStatistics 2024_11.xlsx"/>
    <x v="46"/>
    <n v="21099.995699999999"/>
    <s v="2024_11.xlsx"/>
    <x v="8"/>
    <x v="10"/>
  </r>
  <r>
    <s v="MonthlyTradeStatistics 2024_11.xlsx"/>
    <x v="47"/>
    <n v="4000"/>
    <s v="2024_11.xlsx"/>
    <x v="8"/>
    <x v="10"/>
  </r>
  <r>
    <s v="MonthlyTradeStatistics 2024_11.xlsx"/>
    <x v="48"/>
    <n v="22.223800000000001"/>
    <s v="2024_11.xlsx"/>
    <x v="8"/>
    <x v="10"/>
  </r>
  <r>
    <s v="MonthlyTradeStatistics 2024_11.xlsx"/>
    <x v="49"/>
    <n v="114818.4017"/>
    <s v="2024_11.xlsx"/>
    <x v="8"/>
    <x v="10"/>
  </r>
  <r>
    <s v="MonthlyTradeStatistics 2024_11.xlsx"/>
    <x v="50"/>
    <n v="21125.606299999999"/>
    <s v="2024_11.xlsx"/>
    <x v="8"/>
    <x v="10"/>
  </r>
  <r>
    <s v="MonthlyTradeStatistics 2024_11.xlsx"/>
    <x v="51"/>
    <n v="7408.2332999999999"/>
    <s v="2024_11.xlsx"/>
    <x v="8"/>
    <x v="10"/>
  </r>
  <r>
    <s v="MonthlyTradeStatistics 2024_11.xlsx"/>
    <x v="52"/>
    <n v="0"/>
    <s v="2024_11.xlsx"/>
    <x v="8"/>
    <x v="10"/>
  </r>
  <r>
    <s v="MonthlyTradeStatistics 2024_11.xlsx"/>
    <x v="53"/>
    <n v="375.56060000000002"/>
    <s v="2024_11.xlsx"/>
    <x v="8"/>
    <x v="10"/>
  </r>
  <r>
    <s v="MonthlyTradeStatistics 2024_11.xlsx"/>
    <x v="54"/>
    <n v="400536"/>
    <s v="2024_11.xlsx"/>
    <x v="8"/>
    <x v="10"/>
  </r>
  <r>
    <s v="MonthlyTradeStatistics 2024_11.xlsx"/>
    <x v="55"/>
    <n v="10000"/>
    <s v="2024_11.xlsx"/>
    <x v="8"/>
    <x v="10"/>
  </r>
  <r>
    <s v="MonthlyTradeStatistics 2024_11.xlsx"/>
    <x v="56"/>
    <n v="1199541.3740999999"/>
    <s v="2024_11.xlsx"/>
    <x v="8"/>
    <x v="10"/>
  </r>
  <r>
    <s v="MonthlyTradeStatistics 2024_11.xlsx"/>
    <x v="57"/>
    <n v="3645.6759999999999"/>
    <s v="2024_11.xlsx"/>
    <x v="8"/>
    <x v="10"/>
  </r>
  <r>
    <s v="MonthlyTradeStatistics 2024_11.xlsx"/>
    <x v="58"/>
    <n v="8009.9483"/>
    <s v="2024_11.xlsx"/>
    <x v="8"/>
    <x v="10"/>
  </r>
  <r>
    <s v="MonthlyTradeStatistics 2024_11.xlsx"/>
    <x v="59"/>
    <n v="0"/>
    <s v="2024_11.xlsx"/>
    <x v="8"/>
    <x v="10"/>
  </r>
  <r>
    <s v="MonthlyTradeStatistics 2024_12.xlsx"/>
    <x v="0"/>
    <n v="10828718.443"/>
    <s v="2024_12.xlsx"/>
    <x v="8"/>
    <x v="11"/>
  </r>
  <r>
    <s v="MonthlyTradeStatistics 2024_12.xlsx"/>
    <x v="1"/>
    <n v="1454358.8535"/>
    <s v="2024_12.xlsx"/>
    <x v="8"/>
    <x v="11"/>
  </r>
  <r>
    <s v="MonthlyTradeStatistics 2024_12.xlsx"/>
    <x v="2"/>
    <n v="1175901.9712"/>
    <s v="2024_12.xlsx"/>
    <x v="8"/>
    <x v="11"/>
  </r>
  <r>
    <s v="MonthlyTradeStatistics 2024_12.xlsx"/>
    <x v="3"/>
    <n v="3688372.3002999998"/>
    <s v="2024_12.xlsx"/>
    <x v="8"/>
    <x v="11"/>
  </r>
  <r>
    <s v="MonthlyTradeStatistics 2024_12.xlsx"/>
    <x v="4"/>
    <n v="4510085.318"/>
    <s v="2024_12.xlsx"/>
    <x v="8"/>
    <x v="11"/>
  </r>
  <r>
    <s v="MonthlyTradeStatistics 2024_12.xlsx"/>
    <x v="5"/>
    <n v="5287.0866999999998"/>
    <s v="2024_12.xlsx"/>
    <x v="8"/>
    <x v="11"/>
  </r>
  <r>
    <s v="MonthlyTradeStatistics 2024_12.xlsx"/>
    <x v="6"/>
    <n v="7853.0060000000003"/>
    <s v="2024_12.xlsx"/>
    <x v="8"/>
    <x v="11"/>
  </r>
  <r>
    <s v="MonthlyTradeStatistics 2024_12.xlsx"/>
    <x v="7"/>
    <n v="3872441.9127000002"/>
    <s v="2024_12.xlsx"/>
    <x v="8"/>
    <x v="11"/>
  </r>
  <r>
    <s v="MonthlyTradeStatistics 2024_12.xlsx"/>
    <x v="8"/>
    <n v="9000"/>
    <s v="2024_12.xlsx"/>
    <x v="8"/>
    <x v="11"/>
  </r>
  <r>
    <s v="MonthlyTradeStatistics 2024_12.xlsx"/>
    <x v="9"/>
    <n v="11134.875899999999"/>
    <s v="2024_12.xlsx"/>
    <x v="8"/>
    <x v="11"/>
  </r>
  <r>
    <s v="MonthlyTradeStatistics 2024_12.xlsx"/>
    <x v="10"/>
    <n v="700"/>
    <s v="2024_12.xlsx"/>
    <x v="8"/>
    <x v="11"/>
  </r>
  <r>
    <s v="MonthlyTradeStatistics 2024_12.xlsx"/>
    <x v="11"/>
    <n v="1312383.9948"/>
    <s v="2024_12.xlsx"/>
    <x v="8"/>
    <x v="11"/>
  </r>
  <r>
    <s v="MonthlyTradeStatistics 2024_12.xlsx"/>
    <x v="13"/>
    <n v="43309.434999999998"/>
    <s v="2024_12.xlsx"/>
    <x v="8"/>
    <x v="11"/>
  </r>
  <r>
    <s v="MonthlyTradeStatistics 2024_12.xlsx"/>
    <x v="14"/>
    <n v="17714.866399999999"/>
    <s v="2024_12.xlsx"/>
    <x v="8"/>
    <x v="11"/>
  </r>
  <r>
    <s v="MonthlyTradeStatistics 2024_12.xlsx"/>
    <x v="15"/>
    <n v="2379.9870999999998"/>
    <s v="2024_12.xlsx"/>
    <x v="8"/>
    <x v="11"/>
  </r>
  <r>
    <s v="MonthlyTradeStatistics 2024_12.xlsx"/>
    <x v="16"/>
    <n v="8300"/>
    <s v="2024_12.xlsx"/>
    <x v="8"/>
    <x v="11"/>
  </r>
  <r>
    <s v="MonthlyTradeStatistics 2024_12.xlsx"/>
    <x v="17"/>
    <n v="3099.9953999999998"/>
    <s v="2024_12.xlsx"/>
    <x v="8"/>
    <x v="11"/>
  </r>
  <r>
    <s v="MonthlyTradeStatistics 2024_12.xlsx"/>
    <x v="18"/>
    <n v="52417.826000000001"/>
    <s v="2024_12.xlsx"/>
    <x v="8"/>
    <x v="11"/>
  </r>
  <r>
    <s v="MonthlyTradeStatistics 2024_12.xlsx"/>
    <x v="19"/>
    <n v="13300"/>
    <s v="2024_12.xlsx"/>
    <x v="8"/>
    <x v="11"/>
  </r>
  <r>
    <s v="MonthlyTradeStatistics 2024_12.xlsx"/>
    <x v="21"/>
    <n v="470000"/>
    <s v="2024_12.xlsx"/>
    <x v="8"/>
    <x v="11"/>
  </r>
  <r>
    <s v="MonthlyTradeStatistics 2024_12.xlsx"/>
    <x v="23"/>
    <n v="370.49599999999998"/>
    <s v="2024_12.xlsx"/>
    <x v="8"/>
    <x v="11"/>
  </r>
  <r>
    <s v="MonthlyTradeStatistics 2024_12.xlsx"/>
    <x v="24"/>
    <n v="86071.590400000001"/>
    <s v="2024_12.xlsx"/>
    <x v="8"/>
    <x v="11"/>
  </r>
  <r>
    <s v="MonthlyTradeStatistics 2024_12.xlsx"/>
    <x v="25"/>
    <n v="4254.6666999999998"/>
    <s v="2024_12.xlsx"/>
    <x v="8"/>
    <x v="11"/>
  </r>
  <r>
    <s v="MonthlyTradeStatistics 2024_12.xlsx"/>
    <x v="26"/>
    <n v="5.3705999999999996"/>
    <s v="2024_12.xlsx"/>
    <x v="8"/>
    <x v="11"/>
  </r>
  <r>
    <s v="MonthlyTradeStatistics 2024_12.xlsx"/>
    <x v="27"/>
    <n v="30"/>
    <s v="2024_12.xlsx"/>
    <x v="8"/>
    <x v="11"/>
  </r>
  <r>
    <s v="MonthlyTradeStatistics 2024_12.xlsx"/>
    <x v="28"/>
    <n v="86258.78"/>
    <s v="2024_12.xlsx"/>
    <x v="8"/>
    <x v="11"/>
  </r>
  <r>
    <s v="MonthlyTradeStatistics 2024_12.xlsx"/>
    <x v="29"/>
    <n v="346664.29440000001"/>
    <s v="2024_12.xlsx"/>
    <x v="8"/>
    <x v="11"/>
  </r>
  <r>
    <s v="MonthlyTradeStatistics 2024_12.xlsx"/>
    <x v="30"/>
    <n v="628108.82279999997"/>
    <s v="2024_12.xlsx"/>
    <x v="8"/>
    <x v="11"/>
  </r>
  <r>
    <s v="MonthlyTradeStatistics 2024_12.xlsx"/>
    <x v="31"/>
    <n v="472.61250000000001"/>
    <s v="2024_12.xlsx"/>
    <x v="8"/>
    <x v="11"/>
  </r>
  <r>
    <s v="MonthlyTradeStatistics 2024_12.xlsx"/>
    <x v="32"/>
    <n v="54299.999000000003"/>
    <s v="2024_12.xlsx"/>
    <x v="8"/>
    <x v="11"/>
  </r>
  <r>
    <s v="MonthlyTradeStatistics 2024_12.xlsx"/>
    <x v="33"/>
    <n v="34000.004999999997"/>
    <s v="2024_12.xlsx"/>
    <x v="8"/>
    <x v="11"/>
  </r>
  <r>
    <s v="MonthlyTradeStatistics 2024_12.xlsx"/>
    <x v="35"/>
    <n v="21885.584599999998"/>
    <s v="2024_12.xlsx"/>
    <x v="8"/>
    <x v="11"/>
  </r>
  <r>
    <s v="MonthlyTradeStatistics 2024_12.xlsx"/>
    <x v="36"/>
    <n v="768.2"/>
    <s v="2024_12.xlsx"/>
    <x v="8"/>
    <x v="11"/>
  </r>
  <r>
    <s v="MonthlyTradeStatistics 2024_12.xlsx"/>
    <x v="37"/>
    <n v="135500.01259999999"/>
    <s v="2024_12.xlsx"/>
    <x v="8"/>
    <x v="11"/>
  </r>
  <r>
    <s v="MonthlyTradeStatistics 2024_12.xlsx"/>
    <x v="38"/>
    <n v="18.208300000000001"/>
    <s v="2024_12.xlsx"/>
    <x v="8"/>
    <x v="11"/>
  </r>
  <r>
    <s v="MonthlyTradeStatistics 2024_12.xlsx"/>
    <x v="39"/>
    <n v="78300.009000000005"/>
    <s v="2024_12.xlsx"/>
    <x v="8"/>
    <x v="11"/>
  </r>
  <r>
    <s v="MonthlyTradeStatistics 2024_12.xlsx"/>
    <x v="40"/>
    <n v="0"/>
    <s v="2024_12.xlsx"/>
    <x v="8"/>
    <x v="11"/>
  </r>
  <r>
    <s v="MonthlyTradeStatistics 2024_12.xlsx"/>
    <x v="41"/>
    <n v="1361.9794999999999"/>
    <s v="2024_12.xlsx"/>
    <x v="8"/>
    <x v="11"/>
  </r>
  <r>
    <s v="MonthlyTradeStatistics 2024_12.xlsx"/>
    <x v="42"/>
    <n v="39593.42"/>
    <s v="2024_12.xlsx"/>
    <x v="8"/>
    <x v="11"/>
  </r>
  <r>
    <s v="MonthlyTradeStatistics 2024_12.xlsx"/>
    <x v="43"/>
    <n v="0"/>
    <s v="2024_12.xlsx"/>
    <x v="8"/>
    <x v="11"/>
  </r>
  <r>
    <s v="MonthlyTradeStatistics 2024_12.xlsx"/>
    <x v="44"/>
    <n v="242220.22579999999"/>
    <s v="2024_12.xlsx"/>
    <x v="8"/>
    <x v="11"/>
  </r>
  <r>
    <s v="MonthlyTradeStatistics 2024_12.xlsx"/>
    <x v="45"/>
    <n v="134.79"/>
    <s v="2024_12.xlsx"/>
    <x v="8"/>
    <x v="11"/>
  </r>
  <r>
    <s v="MonthlyTradeStatistics 2024_12.xlsx"/>
    <x v="46"/>
    <n v="29100.000100000001"/>
    <s v="2024_12.xlsx"/>
    <x v="8"/>
    <x v="11"/>
  </r>
  <r>
    <s v="MonthlyTradeStatistics 2024_12.xlsx"/>
    <x v="47"/>
    <n v="4000"/>
    <s v="2024_12.xlsx"/>
    <x v="8"/>
    <x v="11"/>
  </r>
  <r>
    <s v="MonthlyTradeStatistics 2024_12.xlsx"/>
    <x v="48"/>
    <n v="27.67"/>
    <s v="2024_12.xlsx"/>
    <x v="8"/>
    <x v="11"/>
  </r>
  <r>
    <s v="MonthlyTradeStatistics 2024_12.xlsx"/>
    <x v="49"/>
    <n v="100760.4097"/>
    <s v="2024_12.xlsx"/>
    <x v="8"/>
    <x v="11"/>
  </r>
  <r>
    <s v="MonthlyTradeStatistics 2024_12.xlsx"/>
    <x v="50"/>
    <n v="19294.121800000001"/>
    <s v="2024_12.xlsx"/>
    <x v="8"/>
    <x v="11"/>
  </r>
  <r>
    <s v="MonthlyTradeStatistics 2024_12.xlsx"/>
    <x v="51"/>
    <n v="7957.2833000000001"/>
    <s v="2024_12.xlsx"/>
    <x v="8"/>
    <x v="11"/>
  </r>
  <r>
    <s v="MonthlyTradeStatistics 2024_12.xlsx"/>
    <x v="52"/>
    <n v="5234"/>
    <s v="2024_12.xlsx"/>
    <x v="8"/>
    <x v="11"/>
  </r>
  <r>
    <s v="MonthlyTradeStatistics 2024_12.xlsx"/>
    <x v="53"/>
    <n v="700.05020000000002"/>
    <s v="2024_12.xlsx"/>
    <x v="8"/>
    <x v="11"/>
  </r>
  <r>
    <s v="MonthlyTradeStatistics 2024_12.xlsx"/>
    <x v="54"/>
    <n v="413079"/>
    <s v="2024_12.xlsx"/>
    <x v="8"/>
    <x v="11"/>
  </r>
  <r>
    <s v="MonthlyTradeStatistics 2024_12.xlsx"/>
    <x v="55"/>
    <n v="2600"/>
    <s v="2024_12.xlsx"/>
    <x v="8"/>
    <x v="11"/>
  </r>
  <r>
    <s v="MonthlyTradeStatistics 2024_12.xlsx"/>
    <x v="56"/>
    <n v="2644234.3851000001"/>
    <s v="2024_12.xlsx"/>
    <x v="8"/>
    <x v="11"/>
  </r>
  <r>
    <s v="MonthlyTradeStatistics 2024_12.xlsx"/>
    <x v="57"/>
    <n v="3092.3434000000002"/>
    <s v="2024_12.xlsx"/>
    <x v="8"/>
    <x v="11"/>
  </r>
  <r>
    <s v="MonthlyTradeStatistics 2024_12.xlsx"/>
    <x v="58"/>
    <n v="8777.1262000000006"/>
    <s v="2024_12.xlsx"/>
    <x v="8"/>
    <x v="11"/>
  </r>
  <r>
    <s v="MonthlyTradeStatistics 2024_12.xlsx"/>
    <x v="59"/>
    <n v="220"/>
    <s v="2024_12.xlsx"/>
    <x v="8"/>
    <x v="11"/>
  </r>
  <r>
    <s v="MonthlyTradeStatistics 2025_01.xlsx"/>
    <x v="0"/>
    <n v="11095587.9669"/>
    <s v="2025_01.xlsx"/>
    <x v="9"/>
    <x v="0"/>
  </r>
  <r>
    <s v="MonthlyTradeStatistics 2025_01.xlsx"/>
    <x v="1"/>
    <n v="1300453.4284999999"/>
    <s v="2025_01.xlsx"/>
    <x v="9"/>
    <x v="0"/>
  </r>
  <r>
    <s v="MonthlyTradeStatistics 2025_01.xlsx"/>
    <x v="2"/>
    <n v="1712547.1621000001"/>
    <s v="2025_01.xlsx"/>
    <x v="9"/>
    <x v="0"/>
  </r>
  <r>
    <s v="MonthlyTradeStatistics 2025_01.xlsx"/>
    <x v="3"/>
    <n v="3733408.392"/>
    <s v="2025_01.xlsx"/>
    <x v="9"/>
    <x v="0"/>
  </r>
  <r>
    <s v="MonthlyTradeStatistics 2025_01.xlsx"/>
    <x v="4"/>
    <n v="4349178.9842999997"/>
    <s v="2025_01.xlsx"/>
    <x v="9"/>
    <x v="0"/>
  </r>
  <r>
    <s v="MonthlyTradeStatistics 2025_01.xlsx"/>
    <x v="5"/>
    <n v="6031.8499000000002"/>
    <s v="2025_01.xlsx"/>
    <x v="9"/>
    <x v="0"/>
  </r>
  <r>
    <s v="MonthlyTradeStatistics 2025_01.xlsx"/>
    <x v="6"/>
    <n v="5314.03"/>
    <s v="2025_01.xlsx"/>
    <x v="9"/>
    <x v="0"/>
  </r>
  <r>
    <s v="MonthlyTradeStatistics 2025_01.xlsx"/>
    <x v="7"/>
    <n v="3770072.5644"/>
    <s v="2025_01.xlsx"/>
    <x v="9"/>
    <x v="0"/>
  </r>
  <r>
    <s v="MonthlyTradeStatistics 2025_01.xlsx"/>
    <x v="8"/>
    <n v="13000"/>
    <s v="2025_01.xlsx"/>
    <x v="9"/>
    <x v="0"/>
  </r>
  <r>
    <s v="MonthlyTradeStatistics 2025_01.xlsx"/>
    <x v="9"/>
    <n v="5995.8333000000002"/>
    <s v="2025_01.xlsx"/>
    <x v="9"/>
    <x v="0"/>
  </r>
  <r>
    <s v="MonthlyTradeStatistics 2025_01.xlsx"/>
    <x v="10"/>
    <n v="900"/>
    <s v="2025_01.xlsx"/>
    <x v="9"/>
    <x v="0"/>
  </r>
  <r>
    <s v="MonthlyTradeStatistics 2025_01.xlsx"/>
    <x v="11"/>
    <n v="1162988.9838"/>
    <s v="2025_01.xlsx"/>
    <x v="9"/>
    <x v="0"/>
  </r>
  <r>
    <s v="MonthlyTradeStatistics 2025_01.xlsx"/>
    <x v="13"/>
    <n v="82037.7022"/>
    <s v="2025_01.xlsx"/>
    <x v="9"/>
    <x v="0"/>
  </r>
  <r>
    <s v="MonthlyTradeStatistics 2025_01.xlsx"/>
    <x v="14"/>
    <n v="39500"/>
    <s v="2025_01.xlsx"/>
    <x v="9"/>
    <x v="0"/>
  </r>
  <r>
    <s v="MonthlyTradeStatistics 2025_01.xlsx"/>
    <x v="15"/>
    <n v="2039.9911999999999"/>
    <s v="2025_01.xlsx"/>
    <x v="9"/>
    <x v="0"/>
  </r>
  <r>
    <s v="MonthlyTradeStatistics 2025_01.xlsx"/>
    <x v="16"/>
    <n v="12400"/>
    <s v="2025_01.xlsx"/>
    <x v="9"/>
    <x v="0"/>
  </r>
  <r>
    <s v="MonthlyTradeStatistics 2025_01.xlsx"/>
    <x v="17"/>
    <n v="1769.0154"/>
    <s v="2025_01.xlsx"/>
    <x v="9"/>
    <x v="0"/>
  </r>
  <r>
    <s v="MonthlyTradeStatistics 2025_01.xlsx"/>
    <x v="18"/>
    <n v="19484.276000000002"/>
    <s v="2025_01.xlsx"/>
    <x v="9"/>
    <x v="0"/>
  </r>
  <r>
    <s v="MonthlyTradeStatistics 2025_01.xlsx"/>
    <x v="19"/>
    <n v="20879.503199999999"/>
    <s v="2025_01.xlsx"/>
    <x v="9"/>
    <x v="0"/>
  </r>
  <r>
    <s v="MonthlyTradeStatistics 2025_01.xlsx"/>
    <x v="21"/>
    <n v="220000"/>
    <s v="2025_01.xlsx"/>
    <x v="9"/>
    <x v="0"/>
  </r>
  <r>
    <s v="MonthlyTradeStatistics 2025_01.xlsx"/>
    <x v="23"/>
    <n v="446.3897"/>
    <s v="2025_01.xlsx"/>
    <x v="9"/>
    <x v="0"/>
  </r>
  <r>
    <s v="MonthlyTradeStatistics 2025_01.xlsx"/>
    <x v="24"/>
    <n v="248044.1869"/>
    <s v="2025_01.xlsx"/>
    <x v="9"/>
    <x v="0"/>
  </r>
  <r>
    <s v="MonthlyTradeStatistics 2025_01.xlsx"/>
    <x v="25"/>
    <n v="18094.6669"/>
    <s v="2025_01.xlsx"/>
    <x v="9"/>
    <x v="0"/>
  </r>
  <r>
    <s v="MonthlyTradeStatistics 2025_01.xlsx"/>
    <x v="26"/>
    <n v="3.5700000000000003E-2"/>
    <s v="2025_01.xlsx"/>
    <x v="9"/>
    <x v="0"/>
  </r>
  <r>
    <s v="MonthlyTradeStatistics 2025_01.xlsx"/>
    <x v="27"/>
    <n v="20"/>
    <s v="2025_01.xlsx"/>
    <x v="9"/>
    <x v="0"/>
  </r>
  <r>
    <s v="MonthlyTradeStatistics 2025_01.xlsx"/>
    <x v="28"/>
    <n v="366043.96"/>
    <s v="2025_01.xlsx"/>
    <x v="9"/>
    <x v="0"/>
  </r>
  <r>
    <s v="MonthlyTradeStatistics 2025_01.xlsx"/>
    <x v="29"/>
    <n v="427635.6802"/>
    <s v="2025_01.xlsx"/>
    <x v="9"/>
    <x v="0"/>
  </r>
  <r>
    <s v="MonthlyTradeStatistics 2025_01.xlsx"/>
    <x v="30"/>
    <n v="684560.13100000005"/>
    <s v="2025_01.xlsx"/>
    <x v="9"/>
    <x v="0"/>
  </r>
  <r>
    <s v="MonthlyTradeStatistics 2025_01.xlsx"/>
    <x v="31"/>
    <n v="1198.0021999999999"/>
    <s v="2025_01.xlsx"/>
    <x v="9"/>
    <x v="0"/>
  </r>
  <r>
    <s v="MonthlyTradeStatistics 2025_01.xlsx"/>
    <x v="32"/>
    <n v="67399.994699999996"/>
    <s v="2025_01.xlsx"/>
    <x v="9"/>
    <x v="0"/>
  </r>
  <r>
    <s v="MonthlyTradeStatistics 2025_01.xlsx"/>
    <x v="33"/>
    <n v="40000.016600000003"/>
    <s v="2025_01.xlsx"/>
    <x v="9"/>
    <x v="0"/>
  </r>
  <r>
    <s v="MonthlyTradeStatistics 2025_01.xlsx"/>
    <x v="35"/>
    <n v="21455.523000000001"/>
    <s v="2025_01.xlsx"/>
    <x v="9"/>
    <x v="0"/>
  </r>
  <r>
    <s v="MonthlyTradeStatistics 2025_01.xlsx"/>
    <x v="36"/>
    <n v="600"/>
    <s v="2025_01.xlsx"/>
    <x v="9"/>
    <x v="0"/>
  </r>
  <r>
    <s v="MonthlyTradeStatistics 2025_01.xlsx"/>
    <x v="37"/>
    <n v="217699.99739999999"/>
    <s v="2025_01.xlsx"/>
    <x v="9"/>
    <x v="0"/>
  </r>
  <r>
    <s v="MonthlyTradeStatistics 2025_01.xlsx"/>
    <x v="38"/>
    <n v="16.171299999999999"/>
    <s v="2025_01.xlsx"/>
    <x v="9"/>
    <x v="0"/>
  </r>
  <r>
    <s v="MonthlyTradeStatistics 2025_01.xlsx"/>
    <x v="39"/>
    <n v="165500.01029999999"/>
    <s v="2025_01.xlsx"/>
    <x v="9"/>
    <x v="0"/>
  </r>
  <r>
    <s v="MonthlyTradeStatistics 2025_01.xlsx"/>
    <x v="40"/>
    <n v="0"/>
    <s v="2025_01.xlsx"/>
    <x v="9"/>
    <x v="0"/>
  </r>
  <r>
    <s v="MonthlyTradeStatistics 2025_01.xlsx"/>
    <x v="41"/>
    <n v="1288.8087"/>
    <s v="2025_01.xlsx"/>
    <x v="9"/>
    <x v="0"/>
  </r>
  <r>
    <s v="MonthlyTradeStatistics 2025_01.xlsx"/>
    <x v="42"/>
    <n v="36079.58"/>
    <s v="2025_01.xlsx"/>
    <x v="9"/>
    <x v="0"/>
  </r>
  <r>
    <s v="MonthlyTradeStatistics 2025_01.xlsx"/>
    <x v="43"/>
    <n v="0"/>
    <s v="2025_01.xlsx"/>
    <x v="9"/>
    <x v="0"/>
  </r>
  <r>
    <s v="MonthlyTradeStatistics 2025_01.xlsx"/>
    <x v="44"/>
    <n v="101987.833"/>
    <s v="2025_01.xlsx"/>
    <x v="9"/>
    <x v="0"/>
  </r>
  <r>
    <s v="MonthlyTradeStatistics 2025_01.xlsx"/>
    <x v="45"/>
    <n v="147.08330000000001"/>
    <s v="2025_01.xlsx"/>
    <x v="9"/>
    <x v="0"/>
  </r>
  <r>
    <s v="MonthlyTradeStatistics 2025_01.xlsx"/>
    <x v="46"/>
    <n v="22099.995699999999"/>
    <s v="2025_01.xlsx"/>
    <x v="9"/>
    <x v="0"/>
  </r>
  <r>
    <s v="MonthlyTradeStatistics 2025_01.xlsx"/>
    <x v="47"/>
    <n v="1000"/>
    <s v="2025_01.xlsx"/>
    <x v="9"/>
    <x v="0"/>
  </r>
  <r>
    <s v="MonthlyTradeStatistics 2025_01.xlsx"/>
    <x v="48"/>
    <n v="133.60720000000001"/>
    <s v="2025_01.xlsx"/>
    <x v="9"/>
    <x v="0"/>
  </r>
  <r>
    <s v="MonthlyTradeStatistics 2025_01.xlsx"/>
    <x v="49"/>
    <n v="98334.833299999998"/>
    <s v="2025_01.xlsx"/>
    <x v="9"/>
    <x v="0"/>
  </r>
  <r>
    <s v="MonthlyTradeStatistics 2025_01.xlsx"/>
    <x v="50"/>
    <n v="17904.6751"/>
    <s v="2025_01.xlsx"/>
    <x v="9"/>
    <x v="0"/>
  </r>
  <r>
    <s v="MonthlyTradeStatistics 2025_01.xlsx"/>
    <x v="51"/>
    <n v="1539.1667"/>
    <s v="2025_01.xlsx"/>
    <x v="9"/>
    <x v="0"/>
  </r>
  <r>
    <s v="MonthlyTradeStatistics 2025_01.xlsx"/>
    <x v="52"/>
    <n v="10666.6667"/>
    <s v="2025_01.xlsx"/>
    <x v="9"/>
    <x v="0"/>
  </r>
  <r>
    <s v="MonthlyTradeStatistics 2025_01.xlsx"/>
    <x v="53"/>
    <n v="179.9999"/>
    <s v="2025_01.xlsx"/>
    <x v="9"/>
    <x v="0"/>
  </r>
  <r>
    <s v="MonthlyTradeStatistics 2025_01.xlsx"/>
    <x v="54"/>
    <n v="550341"/>
    <s v="2025_01.xlsx"/>
    <x v="9"/>
    <x v="0"/>
  </r>
  <r>
    <s v="MonthlyTradeStatistics 2025_01.xlsx"/>
    <x v="55"/>
    <n v="22400"/>
    <s v="2025_01.xlsx"/>
    <x v="9"/>
    <x v="0"/>
  </r>
  <r>
    <s v="MonthlyTradeStatistics 2025_01.xlsx"/>
    <x v="56"/>
    <n v="2592310.2503999998"/>
    <s v="2025_01.xlsx"/>
    <x v="9"/>
    <x v="0"/>
  </r>
  <r>
    <s v="MonthlyTradeStatistics 2025_01.xlsx"/>
    <x v="57"/>
    <n v="3899.9956999999999"/>
    <s v="2025_01.xlsx"/>
    <x v="9"/>
    <x v="0"/>
  </r>
  <r>
    <s v="MonthlyTradeStatistics 2025_01.xlsx"/>
    <x v="58"/>
    <n v="12455.4799"/>
    <s v="2025_01.xlsx"/>
    <x v="9"/>
    <x v="0"/>
  </r>
  <r>
    <s v="MonthlyTradeStatistics 2025_01.xlsx"/>
    <x v="59"/>
    <n v="1690.4760000000001"/>
    <s v="2025_01.xlsx"/>
    <x v="9"/>
    <x v="0"/>
  </r>
  <r>
    <s v="MonthlyTradeStatistics 2025_02.xlsx"/>
    <x v="0"/>
    <n v="12152425.9659"/>
    <s v="2025_02.xlsx"/>
    <x v="9"/>
    <x v="1"/>
  </r>
  <r>
    <s v="MonthlyTradeStatistics 2025_02.xlsx"/>
    <x v="1"/>
    <n v="1362092.5355"/>
    <s v="2025_02.xlsx"/>
    <x v="9"/>
    <x v="1"/>
  </r>
  <r>
    <s v="MonthlyTradeStatistics 2025_02.xlsx"/>
    <x v="2"/>
    <n v="2189402.5858999998"/>
    <s v="2025_02.xlsx"/>
    <x v="9"/>
    <x v="1"/>
  </r>
  <r>
    <s v="MonthlyTradeStatistics 2025_02.xlsx"/>
    <x v="3"/>
    <n v="3609738.3788000001"/>
    <s v="2025_02.xlsx"/>
    <x v="9"/>
    <x v="1"/>
  </r>
  <r>
    <s v="MonthlyTradeStatistics 2025_02.xlsx"/>
    <x v="4"/>
    <n v="4991192.4656999996"/>
    <s v="2025_02.xlsx"/>
    <x v="9"/>
    <x v="1"/>
  </r>
  <r>
    <s v="MonthlyTradeStatistics 2025_02.xlsx"/>
    <x v="5"/>
    <n v="1784.73"/>
    <s v="2025_02.xlsx"/>
    <x v="9"/>
    <x v="1"/>
  </r>
  <r>
    <s v="MonthlyTradeStatistics 2025_02.xlsx"/>
    <x v="6"/>
    <n v="2565.2273"/>
    <s v="2025_02.xlsx"/>
    <x v="9"/>
    <x v="1"/>
  </r>
  <r>
    <s v="MonthlyTradeStatistics 2025_02.xlsx"/>
    <x v="7"/>
    <n v="3317751.1784000001"/>
    <s v="2025_02.xlsx"/>
    <x v="9"/>
    <x v="1"/>
  </r>
  <r>
    <s v="MonthlyTradeStatistics 2025_02.xlsx"/>
    <x v="8"/>
    <n v="13000"/>
    <s v="2025_02.xlsx"/>
    <x v="9"/>
    <x v="1"/>
  </r>
  <r>
    <s v="MonthlyTradeStatistics 2025_02.xlsx"/>
    <x v="9"/>
    <n v="7491.5513000000001"/>
    <s v="2025_02.xlsx"/>
    <x v="9"/>
    <x v="1"/>
  </r>
  <r>
    <s v="MonthlyTradeStatistics 2025_02.xlsx"/>
    <x v="10"/>
    <n v="500"/>
    <s v="2025_02.xlsx"/>
    <x v="9"/>
    <x v="1"/>
  </r>
  <r>
    <s v="MonthlyTradeStatistics 2025_02.xlsx"/>
    <x v="11"/>
    <n v="1191192.5364999999"/>
    <s v="2025_02.xlsx"/>
    <x v="9"/>
    <x v="1"/>
  </r>
  <r>
    <s v="MonthlyTradeStatistics 2025_02.xlsx"/>
    <x v="13"/>
    <n v="78744.268899999995"/>
    <s v="2025_02.xlsx"/>
    <x v="9"/>
    <x v="1"/>
  </r>
  <r>
    <s v="MonthlyTradeStatistics 2025_02.xlsx"/>
    <x v="14"/>
    <n v="35833.333299999998"/>
    <s v="2025_02.xlsx"/>
    <x v="9"/>
    <x v="1"/>
  </r>
  <r>
    <s v="MonthlyTradeStatistics 2025_02.xlsx"/>
    <x v="15"/>
    <n v="2719.9949000000001"/>
    <s v="2025_02.xlsx"/>
    <x v="9"/>
    <x v="1"/>
  </r>
  <r>
    <s v="MonthlyTradeStatistics 2025_02.xlsx"/>
    <x v="16"/>
    <n v="12400"/>
    <s v="2025_02.xlsx"/>
    <x v="9"/>
    <x v="1"/>
  </r>
  <r>
    <s v="MonthlyTradeStatistics 2025_02.xlsx"/>
    <x v="17"/>
    <n v="12198.1216"/>
    <s v="2025_02.xlsx"/>
    <x v="9"/>
    <x v="1"/>
  </r>
  <r>
    <s v="MonthlyTradeStatistics 2025_02.xlsx"/>
    <x v="18"/>
    <n v="30606.848000000002"/>
    <s v="2025_02.xlsx"/>
    <x v="9"/>
    <x v="1"/>
  </r>
  <r>
    <s v="MonthlyTradeStatistics 2025_02.xlsx"/>
    <x v="19"/>
    <n v="31779.360700000001"/>
    <s v="2025_02.xlsx"/>
    <x v="9"/>
    <x v="1"/>
  </r>
  <r>
    <s v="MonthlyTradeStatistics 2025_02.xlsx"/>
    <x v="21"/>
    <n v="440000"/>
    <s v="2025_02.xlsx"/>
    <x v="9"/>
    <x v="1"/>
  </r>
  <r>
    <s v="MonthlyTradeStatistics 2025_02.xlsx"/>
    <x v="23"/>
    <n v="585.19860000000006"/>
    <s v="2025_02.xlsx"/>
    <x v="9"/>
    <x v="1"/>
  </r>
  <r>
    <s v="MonthlyTradeStatistics 2025_02.xlsx"/>
    <x v="24"/>
    <n v="293076.58240000001"/>
    <s v="2025_02.xlsx"/>
    <x v="9"/>
    <x v="1"/>
  </r>
  <r>
    <s v="MonthlyTradeStatistics 2025_02.xlsx"/>
    <x v="25"/>
    <n v="5725"/>
    <s v="2025_02.xlsx"/>
    <x v="9"/>
    <x v="1"/>
  </r>
  <r>
    <s v="MonthlyTradeStatistics 2025_02.xlsx"/>
    <x v="26"/>
    <n v="75.500699999999995"/>
    <s v="2025_02.xlsx"/>
    <x v="9"/>
    <x v="1"/>
  </r>
  <r>
    <s v="MonthlyTradeStatistics 2025_02.xlsx"/>
    <x v="27"/>
    <n v="0"/>
    <s v="2025_02.xlsx"/>
    <x v="9"/>
    <x v="1"/>
  </r>
  <r>
    <s v="MonthlyTradeStatistics 2025_02.xlsx"/>
    <x v="28"/>
    <n v="606124.19999999995"/>
    <s v="2025_02.xlsx"/>
    <x v="9"/>
    <x v="1"/>
  </r>
  <r>
    <s v="MonthlyTradeStatistics 2025_02.xlsx"/>
    <x v="29"/>
    <n v="570340.28810000001"/>
    <s v="2025_02.xlsx"/>
    <x v="9"/>
    <x v="1"/>
  </r>
  <r>
    <s v="MonthlyTradeStatistics 2025_02.xlsx"/>
    <x v="30"/>
    <n v="738368.8578"/>
    <s v="2025_02.xlsx"/>
    <x v="9"/>
    <x v="1"/>
  </r>
  <r>
    <s v="MonthlyTradeStatistics 2025_02.xlsx"/>
    <x v="31"/>
    <n v="1181.8963000000001"/>
    <s v="2025_02.xlsx"/>
    <x v="9"/>
    <x v="1"/>
  </r>
  <r>
    <s v="MonthlyTradeStatistics 2025_02.xlsx"/>
    <x v="32"/>
    <n v="102599.99800000001"/>
    <s v="2025_02.xlsx"/>
    <x v="9"/>
    <x v="1"/>
  </r>
  <r>
    <s v="MonthlyTradeStatistics 2025_02.xlsx"/>
    <x v="33"/>
    <n v="52000.016600000003"/>
    <s v="2025_02.xlsx"/>
    <x v="9"/>
    <x v="1"/>
  </r>
  <r>
    <s v="MonthlyTradeStatistics 2025_02.xlsx"/>
    <x v="35"/>
    <n v="22189.481100000001"/>
    <s v="2025_02.xlsx"/>
    <x v="9"/>
    <x v="1"/>
  </r>
  <r>
    <s v="MonthlyTradeStatistics 2025_02.xlsx"/>
    <x v="36"/>
    <n v="1299.9828"/>
    <s v="2025_02.xlsx"/>
    <x v="9"/>
    <x v="1"/>
  </r>
  <r>
    <s v="MonthlyTradeStatistics 2025_02.xlsx"/>
    <x v="37"/>
    <n v="290000.01459999999"/>
    <s v="2025_02.xlsx"/>
    <x v="9"/>
    <x v="1"/>
  </r>
  <r>
    <s v="MonthlyTradeStatistics 2025_02.xlsx"/>
    <x v="38"/>
    <n v="31.000399999999999"/>
    <s v="2025_02.xlsx"/>
    <x v="9"/>
    <x v="1"/>
  </r>
  <r>
    <s v="MonthlyTradeStatistics 2025_02.xlsx"/>
    <x v="39"/>
    <n v="207600.00399999999"/>
    <s v="2025_02.xlsx"/>
    <x v="9"/>
    <x v="1"/>
  </r>
  <r>
    <s v="MonthlyTradeStatistics 2025_02.xlsx"/>
    <x v="40"/>
    <n v="0"/>
    <s v="2025_02.xlsx"/>
    <x v="9"/>
    <x v="1"/>
  </r>
  <r>
    <s v="MonthlyTradeStatistics 2025_02.xlsx"/>
    <x v="41"/>
    <n v="985.97249999999997"/>
    <s v="2025_02.xlsx"/>
    <x v="9"/>
    <x v="1"/>
  </r>
  <r>
    <s v="MonthlyTradeStatistics 2025_02.xlsx"/>
    <x v="42"/>
    <n v="30710.33"/>
    <s v="2025_02.xlsx"/>
    <x v="9"/>
    <x v="1"/>
  </r>
  <r>
    <s v="MonthlyTradeStatistics 2025_02.xlsx"/>
    <x v="43"/>
    <n v="0.41670000000000001"/>
    <s v="2025_02.xlsx"/>
    <x v="9"/>
    <x v="1"/>
  </r>
  <r>
    <s v="MonthlyTradeStatistics 2025_02.xlsx"/>
    <x v="44"/>
    <n v="66166.614799999996"/>
    <s v="2025_02.xlsx"/>
    <x v="9"/>
    <x v="1"/>
  </r>
  <r>
    <s v="MonthlyTradeStatistics 2025_02.xlsx"/>
    <x v="45"/>
    <n v="44.707900000000002"/>
    <s v="2025_02.xlsx"/>
    <x v="9"/>
    <x v="1"/>
  </r>
  <r>
    <s v="MonthlyTradeStatistics 2025_02.xlsx"/>
    <x v="46"/>
    <n v="28099.995699999999"/>
    <s v="2025_02.xlsx"/>
    <x v="9"/>
    <x v="1"/>
  </r>
  <r>
    <s v="MonthlyTradeStatistics 2025_02.xlsx"/>
    <x v="47"/>
    <n v="500"/>
    <s v="2025_02.xlsx"/>
    <x v="9"/>
    <x v="1"/>
  </r>
  <r>
    <s v="MonthlyTradeStatistics 2025_02.xlsx"/>
    <x v="48"/>
    <n v="22.653600000000001"/>
    <s v="2025_02.xlsx"/>
    <x v="9"/>
    <x v="1"/>
  </r>
  <r>
    <s v="MonthlyTradeStatistics 2025_02.xlsx"/>
    <x v="49"/>
    <n v="99600.001999999993"/>
    <s v="2025_02.xlsx"/>
    <x v="9"/>
    <x v="1"/>
  </r>
  <r>
    <s v="MonthlyTradeStatistics 2025_02.xlsx"/>
    <x v="50"/>
    <n v="18464.477200000001"/>
    <s v="2025_02.xlsx"/>
    <x v="9"/>
    <x v="1"/>
  </r>
  <r>
    <s v="MonthlyTradeStatistics 2025_02.xlsx"/>
    <x v="51"/>
    <n v="4838"/>
    <s v="2025_02.xlsx"/>
    <x v="9"/>
    <x v="1"/>
  </r>
  <r>
    <s v="MonthlyTradeStatistics 2025_02.xlsx"/>
    <x v="52"/>
    <n v="9855.9233000000004"/>
    <s v="2025_02.xlsx"/>
    <x v="9"/>
    <x v="1"/>
  </r>
  <r>
    <s v="MonthlyTradeStatistics 2025_02.xlsx"/>
    <x v="53"/>
    <n v="120.0059"/>
    <s v="2025_02.xlsx"/>
    <x v="9"/>
    <x v="1"/>
  </r>
  <r>
    <s v="MonthlyTradeStatistics 2025_02.xlsx"/>
    <x v="54"/>
    <n v="555756"/>
    <s v="2025_02.xlsx"/>
    <x v="9"/>
    <x v="1"/>
  </r>
  <r>
    <s v="MonthlyTradeStatistics 2025_02.xlsx"/>
    <x v="55"/>
    <n v="6500"/>
    <s v="2025_02.xlsx"/>
    <x v="9"/>
    <x v="1"/>
  </r>
  <r>
    <s v="MonthlyTradeStatistics 2025_02.xlsx"/>
    <x v="56"/>
    <n v="3244441.8673999999"/>
    <s v="2025_02.xlsx"/>
    <x v="9"/>
    <x v="1"/>
  </r>
  <r>
    <s v="MonthlyTradeStatistics 2025_02.xlsx"/>
    <x v="57"/>
    <n v="4200.0033000000003"/>
    <s v="2025_02.xlsx"/>
    <x v="9"/>
    <x v="1"/>
  </r>
  <r>
    <s v="MonthlyTradeStatistics 2025_02.xlsx"/>
    <x v="58"/>
    <n v="12352.6333"/>
    <s v="2025_02.xlsx"/>
    <x v="9"/>
    <x v="1"/>
  </r>
  <r>
    <s v="MonthlyTradeStatistics 2025_02.xlsx"/>
    <x v="59"/>
    <n v="1.19"/>
    <s v="2025_02.xlsx"/>
    <x v="9"/>
    <x v="1"/>
  </r>
  <r>
    <s v="MonthlyTradeStatistics 2025_03.xlsx"/>
    <x v="0"/>
    <n v="13374865.1546"/>
    <s v="2025_03.xlsx"/>
    <x v="9"/>
    <x v="2"/>
  </r>
  <r>
    <s v="MonthlyTradeStatistics 2025_03.xlsx"/>
    <x v="1"/>
    <n v="1432240.5119"/>
    <s v="2025_03.xlsx"/>
    <x v="9"/>
    <x v="2"/>
  </r>
  <r>
    <s v="MonthlyTradeStatistics 2025_03.xlsx"/>
    <x v="2"/>
    <n v="2899703.264"/>
    <s v="2025_03.xlsx"/>
    <x v="9"/>
    <x v="2"/>
  </r>
  <r>
    <s v="MonthlyTradeStatistics 2025_03.xlsx"/>
    <x v="3"/>
    <n v="3569963.0943999998"/>
    <s v="2025_03.xlsx"/>
    <x v="9"/>
    <x v="2"/>
  </r>
  <r>
    <s v="MonthlyTradeStatistics 2025_03.xlsx"/>
    <x v="4"/>
    <n v="5472958.2843000004"/>
    <s v="2025_03.xlsx"/>
    <x v="9"/>
    <x v="2"/>
  </r>
  <r>
    <s v="MonthlyTradeStatistics 2025_03.xlsx"/>
    <x v="5"/>
    <n v="1502.8833"/>
    <s v="2025_03.xlsx"/>
    <x v="9"/>
    <x v="2"/>
  </r>
  <r>
    <s v="MonthlyTradeStatistics 2025_03.xlsx"/>
    <x v="6"/>
    <n v="2101.2600000000002"/>
    <s v="2025_03.xlsx"/>
    <x v="9"/>
    <x v="2"/>
  </r>
  <r>
    <s v="MonthlyTradeStatistics 2025_03.xlsx"/>
    <x v="7"/>
    <n v="3067521.2503"/>
    <s v="2025_03.xlsx"/>
    <x v="9"/>
    <x v="2"/>
  </r>
  <r>
    <s v="MonthlyTradeStatistics 2025_03.xlsx"/>
    <x v="8"/>
    <n v="10000"/>
    <s v="2025_03.xlsx"/>
    <x v="9"/>
    <x v="2"/>
  </r>
  <r>
    <s v="MonthlyTradeStatistics 2025_03.xlsx"/>
    <x v="9"/>
    <n v="10167.283299999999"/>
    <s v="2025_03.xlsx"/>
    <x v="9"/>
    <x v="2"/>
  </r>
  <r>
    <s v="MonthlyTradeStatistics 2025_03.xlsx"/>
    <x v="10"/>
    <n v="1200"/>
    <s v="2025_03.xlsx"/>
    <x v="9"/>
    <x v="2"/>
  </r>
  <r>
    <s v="MonthlyTradeStatistics 2025_03.xlsx"/>
    <x v="11"/>
    <n v="1258290.5033"/>
    <s v="2025_03.xlsx"/>
    <x v="9"/>
    <x v="2"/>
  </r>
  <r>
    <s v="MonthlyTradeStatistics 2025_03.xlsx"/>
    <x v="13"/>
    <n v="128262.92019999999"/>
    <s v="2025_03.xlsx"/>
    <x v="9"/>
    <x v="2"/>
  </r>
  <r>
    <s v="MonthlyTradeStatistics 2025_03.xlsx"/>
    <x v="14"/>
    <n v="35444.649700000002"/>
    <s v="2025_03.xlsx"/>
    <x v="9"/>
    <x v="2"/>
  </r>
  <r>
    <s v="MonthlyTradeStatistics 2025_03.xlsx"/>
    <x v="15"/>
    <n v="1819.9912999999999"/>
    <s v="2025_03.xlsx"/>
    <x v="9"/>
    <x v="2"/>
  </r>
  <r>
    <s v="MonthlyTradeStatistics 2025_03.xlsx"/>
    <x v="16"/>
    <n v="11300"/>
    <s v="2025_03.xlsx"/>
    <x v="9"/>
    <x v="2"/>
  </r>
  <r>
    <s v="MonthlyTradeStatistics 2025_03.xlsx"/>
    <x v="17"/>
    <n v="7025.7449999999999"/>
    <s v="2025_03.xlsx"/>
    <x v="9"/>
    <x v="2"/>
  </r>
  <r>
    <s v="MonthlyTradeStatistics 2025_03.xlsx"/>
    <x v="18"/>
    <n v="39790.165999999997"/>
    <s v="2025_03.xlsx"/>
    <x v="9"/>
    <x v="2"/>
  </r>
  <r>
    <s v="MonthlyTradeStatistics 2025_03.xlsx"/>
    <x v="19"/>
    <n v="43756.895799999998"/>
    <s v="2025_03.xlsx"/>
    <x v="9"/>
    <x v="2"/>
  </r>
  <r>
    <s v="MonthlyTradeStatistics 2025_03.xlsx"/>
    <x v="21"/>
    <n v="630000"/>
    <s v="2025_03.xlsx"/>
    <x v="9"/>
    <x v="2"/>
  </r>
  <r>
    <s v="MonthlyTradeStatistics 2025_03.xlsx"/>
    <x v="23"/>
    <n v="433.13490000000002"/>
    <s v="2025_03.xlsx"/>
    <x v="9"/>
    <x v="2"/>
  </r>
  <r>
    <s v="MonthlyTradeStatistics 2025_03.xlsx"/>
    <x v="24"/>
    <n v="458805.359"/>
    <s v="2025_03.xlsx"/>
    <x v="9"/>
    <x v="2"/>
  </r>
  <r>
    <s v="MonthlyTradeStatistics 2025_03.xlsx"/>
    <x v="25"/>
    <n v="11920"/>
    <s v="2025_03.xlsx"/>
    <x v="9"/>
    <x v="2"/>
  </r>
  <r>
    <s v="MonthlyTradeStatistics 2025_03.xlsx"/>
    <x v="26"/>
    <n v="184.75899999999999"/>
    <s v="2025_03.xlsx"/>
    <x v="9"/>
    <x v="2"/>
  </r>
  <r>
    <s v="MonthlyTradeStatistics 2025_03.xlsx"/>
    <x v="27"/>
    <n v="0"/>
    <s v="2025_03.xlsx"/>
    <x v="9"/>
    <x v="2"/>
  </r>
  <r>
    <s v="MonthlyTradeStatistics 2025_03.xlsx"/>
    <x v="28"/>
    <n v="812470.72"/>
    <s v="2025_03.xlsx"/>
    <x v="9"/>
    <x v="2"/>
  </r>
  <r>
    <s v="MonthlyTradeStatistics 2025_03.xlsx"/>
    <x v="29"/>
    <n v="726935.17890000006"/>
    <s v="2025_03.xlsx"/>
    <x v="9"/>
    <x v="2"/>
  </r>
  <r>
    <s v="MonthlyTradeStatistics 2025_03.xlsx"/>
    <x v="30"/>
    <n v="863948.37199999997"/>
    <s v="2025_03.xlsx"/>
    <x v="9"/>
    <x v="2"/>
  </r>
  <r>
    <s v="MonthlyTradeStatistics 2025_03.xlsx"/>
    <x v="31"/>
    <n v="1654.1777999999999"/>
    <s v="2025_03.xlsx"/>
    <x v="9"/>
    <x v="2"/>
  </r>
  <r>
    <s v="MonthlyTradeStatistics 2025_03.xlsx"/>
    <x v="32"/>
    <n v="116700.0056"/>
    <s v="2025_03.xlsx"/>
    <x v="9"/>
    <x v="2"/>
  </r>
  <r>
    <s v="MonthlyTradeStatistics 2025_03.xlsx"/>
    <x v="33"/>
    <n v="60000.0026"/>
    <s v="2025_03.xlsx"/>
    <x v="9"/>
    <x v="2"/>
  </r>
  <r>
    <s v="MonthlyTradeStatistics 2025_03.xlsx"/>
    <x v="35"/>
    <n v="34706.5982"/>
    <s v="2025_03.xlsx"/>
    <x v="9"/>
    <x v="2"/>
  </r>
  <r>
    <s v="MonthlyTradeStatistics 2025_03.xlsx"/>
    <x v="36"/>
    <n v="900"/>
    <s v="2025_03.xlsx"/>
    <x v="9"/>
    <x v="2"/>
  </r>
  <r>
    <s v="MonthlyTradeStatistics 2025_03.xlsx"/>
    <x v="37"/>
    <n v="422600.01059999998"/>
    <s v="2025_03.xlsx"/>
    <x v="9"/>
    <x v="2"/>
  </r>
  <r>
    <s v="MonthlyTradeStatistics 2025_03.xlsx"/>
    <x v="38"/>
    <n v="16.850000000000001"/>
    <s v="2025_03.xlsx"/>
    <x v="9"/>
    <x v="2"/>
  </r>
  <r>
    <s v="MonthlyTradeStatistics 2025_03.xlsx"/>
    <x v="39"/>
    <n v="268699.9976"/>
    <s v="2025_03.xlsx"/>
    <x v="9"/>
    <x v="2"/>
  </r>
  <r>
    <s v="MonthlyTradeStatistics 2025_03.xlsx"/>
    <x v="40"/>
    <n v="0"/>
    <s v="2025_03.xlsx"/>
    <x v="9"/>
    <x v="2"/>
  </r>
  <r>
    <s v="MonthlyTradeStatistics 2025_03.xlsx"/>
    <x v="41"/>
    <n v="3404.0744"/>
    <s v="2025_03.xlsx"/>
    <x v="9"/>
    <x v="2"/>
  </r>
  <r>
    <s v="MonthlyTradeStatistics 2025_03.xlsx"/>
    <x v="42"/>
    <n v="27491.67"/>
    <s v="2025_03.xlsx"/>
    <x v="9"/>
    <x v="2"/>
  </r>
  <r>
    <s v="MonthlyTradeStatistics 2025_03.xlsx"/>
    <x v="43"/>
    <n v="0"/>
    <s v="2025_03.xlsx"/>
    <x v="9"/>
    <x v="2"/>
  </r>
  <r>
    <s v="MonthlyTradeStatistics 2025_03.xlsx"/>
    <x v="44"/>
    <n v="58318.202899999997"/>
    <s v="2025_03.xlsx"/>
    <x v="9"/>
    <x v="2"/>
  </r>
  <r>
    <s v="MonthlyTradeStatistics 2025_03.xlsx"/>
    <x v="45"/>
    <n v="39.988"/>
    <s v="2025_03.xlsx"/>
    <x v="9"/>
    <x v="2"/>
  </r>
  <r>
    <s v="MonthlyTradeStatistics 2025_03.xlsx"/>
    <x v="46"/>
    <n v="19099.995699999999"/>
    <s v="2025_03.xlsx"/>
    <x v="9"/>
    <x v="2"/>
  </r>
  <r>
    <s v="MonthlyTradeStatistics 2025_03.xlsx"/>
    <x v="47"/>
    <n v="500"/>
    <s v="2025_03.xlsx"/>
    <x v="9"/>
    <x v="2"/>
  </r>
  <r>
    <s v="MonthlyTradeStatistics 2025_03.xlsx"/>
    <x v="48"/>
    <n v="70.836699999999993"/>
    <s v="2025_03.xlsx"/>
    <x v="9"/>
    <x v="2"/>
  </r>
  <r>
    <s v="MonthlyTradeStatistics 2025_03.xlsx"/>
    <x v="49"/>
    <n v="83500.005999999994"/>
    <s v="2025_03.xlsx"/>
    <x v="9"/>
    <x v="2"/>
  </r>
  <r>
    <s v="MonthlyTradeStatistics 2025_03.xlsx"/>
    <x v="50"/>
    <n v="22274.2582"/>
    <s v="2025_03.xlsx"/>
    <x v="9"/>
    <x v="2"/>
  </r>
  <r>
    <s v="MonthlyTradeStatistics 2025_03.xlsx"/>
    <x v="51"/>
    <n v="2024.2833000000001"/>
    <s v="2025_03.xlsx"/>
    <x v="9"/>
    <x v="2"/>
  </r>
  <r>
    <s v="MonthlyTradeStatistics 2025_03.xlsx"/>
    <x v="52"/>
    <n v="15793.183300000001"/>
    <s v="2025_03.xlsx"/>
    <x v="9"/>
    <x v="2"/>
  </r>
  <r>
    <s v="MonthlyTradeStatistics 2025_03.xlsx"/>
    <x v="53"/>
    <n v="99.995900000000006"/>
    <s v="2025_03.xlsx"/>
    <x v="9"/>
    <x v="2"/>
  </r>
  <r>
    <s v="MonthlyTradeStatistics 2025_03.xlsx"/>
    <x v="54"/>
    <n v="643315"/>
    <s v="2025_03.xlsx"/>
    <x v="9"/>
    <x v="2"/>
  </r>
  <r>
    <s v="MonthlyTradeStatistics 2025_03.xlsx"/>
    <x v="55"/>
    <n v="13600"/>
    <s v="2025_03.xlsx"/>
    <x v="9"/>
    <x v="2"/>
  </r>
  <r>
    <s v="MonthlyTradeStatistics 2025_03.xlsx"/>
    <x v="56"/>
    <n v="3437461.9271"/>
    <s v="2025_03.xlsx"/>
    <x v="9"/>
    <x v="2"/>
  </r>
  <r>
    <s v="MonthlyTradeStatistics 2025_03.xlsx"/>
    <x v="57"/>
    <n v="5500.0033000000003"/>
    <s v="2025_03.xlsx"/>
    <x v="9"/>
    <x v="2"/>
  </r>
  <r>
    <s v="MonthlyTradeStatistics 2025_03.xlsx"/>
    <x v="58"/>
    <n v="14212.777400000001"/>
    <s v="2025_03.xlsx"/>
    <x v="9"/>
    <x v="2"/>
  </r>
  <r>
    <s v="MonthlyTradeStatistics 2025_03.xlsx"/>
    <x v="59"/>
    <n v="0.23799999999999999"/>
    <s v="2025_03.xlsx"/>
    <x v="9"/>
    <x v="2"/>
  </r>
  <r>
    <s v="MonthlyTradeStatistics 2025_04.xlsx"/>
    <x v="0"/>
    <n v="11890235.177999999"/>
    <s v="2025_04.xlsx"/>
    <x v="9"/>
    <x v="3"/>
  </r>
  <r>
    <s v="MonthlyTradeStatistics 2025_04.xlsx"/>
    <x v="1"/>
    <n v="997077.00360000005"/>
    <s v="2025_04.xlsx"/>
    <x v="9"/>
    <x v="3"/>
  </r>
  <r>
    <s v="MonthlyTradeStatistics 2025_04.xlsx"/>
    <x v="2"/>
    <n v="2588700.1036"/>
    <s v="2025_04.xlsx"/>
    <x v="9"/>
    <x v="3"/>
  </r>
  <r>
    <s v="MonthlyTradeStatistics 2025_04.xlsx"/>
    <x v="3"/>
    <n v="3357244.7664999999"/>
    <s v="2025_04.xlsx"/>
    <x v="9"/>
    <x v="3"/>
  </r>
  <r>
    <s v="MonthlyTradeStatistics 2025_04.xlsx"/>
    <x v="4"/>
    <n v="4947213.3043"/>
    <s v="2025_04.xlsx"/>
    <x v="9"/>
    <x v="3"/>
  </r>
  <r>
    <s v="MonthlyTradeStatistics 2025_04.xlsx"/>
    <x v="5"/>
    <n v="1175.0433"/>
    <s v="2025_04.xlsx"/>
    <x v="9"/>
    <x v="3"/>
  </r>
  <r>
    <s v="MonthlyTradeStatistics 2025_04.xlsx"/>
    <x v="6"/>
    <n v="2229.5100000000002"/>
    <s v="2025_04.xlsx"/>
    <x v="9"/>
    <x v="3"/>
  </r>
  <r>
    <s v="MonthlyTradeStatistics 2025_04.xlsx"/>
    <x v="7"/>
    <n v="2851110.3402"/>
    <s v="2025_04.xlsx"/>
    <x v="9"/>
    <x v="3"/>
  </r>
  <r>
    <s v="MonthlyTradeStatistics 2025_04.xlsx"/>
    <x v="8"/>
    <n v="10500"/>
    <s v="2025_04.xlsx"/>
    <x v="9"/>
    <x v="3"/>
  </r>
  <r>
    <s v="MonthlyTradeStatistics 2025_04.xlsx"/>
    <x v="9"/>
    <n v="13685.8667"/>
    <s v="2025_04.xlsx"/>
    <x v="9"/>
    <x v="3"/>
  </r>
  <r>
    <s v="MonthlyTradeStatistics 2025_04.xlsx"/>
    <x v="10"/>
    <n v="4500"/>
    <s v="2025_04.xlsx"/>
    <x v="9"/>
    <x v="3"/>
  </r>
  <r>
    <s v="MonthlyTradeStatistics 2025_04.xlsx"/>
    <x v="11"/>
    <n v="811757.00230000005"/>
    <s v="2025_04.xlsx"/>
    <x v="9"/>
    <x v="3"/>
  </r>
  <r>
    <s v="MonthlyTradeStatistics 2025_04.xlsx"/>
    <x v="13"/>
    <n v="137355.27179999999"/>
    <s v="2025_04.xlsx"/>
    <x v="9"/>
    <x v="3"/>
  </r>
  <r>
    <s v="MonthlyTradeStatistics 2025_04.xlsx"/>
    <x v="14"/>
    <n v="143265.66"/>
    <s v="2025_04.xlsx"/>
    <x v="9"/>
    <x v="3"/>
  </r>
  <r>
    <s v="MonthlyTradeStatistics 2025_04.xlsx"/>
    <x v="15"/>
    <n v="2269.9911000000002"/>
    <s v="2025_04.xlsx"/>
    <x v="9"/>
    <x v="3"/>
  </r>
  <r>
    <s v="MonthlyTradeStatistics 2025_04.xlsx"/>
    <x v="16"/>
    <n v="13600"/>
    <s v="2025_04.xlsx"/>
    <x v="9"/>
    <x v="3"/>
  </r>
  <r>
    <s v="MonthlyTradeStatistics 2025_04.xlsx"/>
    <x v="17"/>
    <n v="13609.269399999999"/>
    <s v="2025_04.xlsx"/>
    <x v="9"/>
    <x v="3"/>
  </r>
  <r>
    <s v="MonthlyTradeStatistics 2025_04.xlsx"/>
    <x v="18"/>
    <n v="22521.119999999999"/>
    <s v="2025_04.xlsx"/>
    <x v="9"/>
    <x v="3"/>
  </r>
  <r>
    <s v="MonthlyTradeStatistics 2025_04.xlsx"/>
    <x v="19"/>
    <n v="58100"/>
    <s v="2025_04.xlsx"/>
    <x v="9"/>
    <x v="3"/>
  </r>
  <r>
    <s v="MonthlyTradeStatistics 2025_04.xlsx"/>
    <x v="21"/>
    <n v="810000"/>
    <s v="2025_04.xlsx"/>
    <x v="9"/>
    <x v="3"/>
  </r>
  <r>
    <s v="MonthlyTradeStatistics 2025_04.xlsx"/>
    <x v="23"/>
    <n v="190.4023"/>
    <s v="2025_04.xlsx"/>
    <x v="9"/>
    <x v="3"/>
  </r>
  <r>
    <s v="MonthlyTradeStatistics 2025_04.xlsx"/>
    <x v="24"/>
    <n v="379957.01990000001"/>
    <s v="2025_04.xlsx"/>
    <x v="9"/>
    <x v="3"/>
  </r>
  <r>
    <s v="MonthlyTradeStatistics 2025_04.xlsx"/>
    <x v="25"/>
    <n v="20205.000199999999"/>
    <s v="2025_04.xlsx"/>
    <x v="9"/>
    <x v="3"/>
  </r>
  <r>
    <s v="MonthlyTradeStatistics 2025_04.xlsx"/>
    <x v="26"/>
    <n v="103.0305"/>
    <s v="2025_04.xlsx"/>
    <x v="9"/>
    <x v="3"/>
  </r>
  <r>
    <s v="MonthlyTradeStatistics 2025_04.xlsx"/>
    <x v="27"/>
    <n v="720"/>
    <s v="2025_04.xlsx"/>
    <x v="9"/>
    <x v="3"/>
  </r>
  <r>
    <s v="MonthlyTradeStatistics 2025_04.xlsx"/>
    <x v="28"/>
    <n v="551756.48"/>
    <s v="2025_04.xlsx"/>
    <x v="9"/>
    <x v="3"/>
  </r>
  <r>
    <s v="MonthlyTradeStatistics 2025_04.xlsx"/>
    <x v="29"/>
    <n v="587196.54370000004"/>
    <s v="2025_04.xlsx"/>
    <x v="9"/>
    <x v="3"/>
  </r>
  <r>
    <s v="MonthlyTradeStatistics 2025_04.xlsx"/>
    <x v="30"/>
    <n v="561805.41899999999"/>
    <s v="2025_04.xlsx"/>
    <x v="9"/>
    <x v="3"/>
  </r>
  <r>
    <s v="MonthlyTradeStatistics 2025_04.xlsx"/>
    <x v="31"/>
    <n v="1387.2203999999999"/>
    <s v="2025_04.xlsx"/>
    <x v="9"/>
    <x v="3"/>
  </r>
  <r>
    <s v="MonthlyTradeStatistics 2025_04.xlsx"/>
    <x v="32"/>
    <n v="133800.0013"/>
    <s v="2025_04.xlsx"/>
    <x v="9"/>
    <x v="3"/>
  </r>
  <r>
    <s v="MonthlyTradeStatistics 2025_04.xlsx"/>
    <x v="33"/>
    <n v="69999.9954"/>
    <s v="2025_04.xlsx"/>
    <x v="9"/>
    <x v="3"/>
  </r>
  <r>
    <s v="MonthlyTradeStatistics 2025_04.xlsx"/>
    <x v="35"/>
    <n v="12718.1896"/>
    <s v="2025_04.xlsx"/>
    <x v="9"/>
    <x v="3"/>
  </r>
  <r>
    <s v="MonthlyTradeStatistics 2025_04.xlsx"/>
    <x v="36"/>
    <n v="1314"/>
    <s v="2025_04.xlsx"/>
    <x v="9"/>
    <x v="3"/>
  </r>
  <r>
    <s v="MonthlyTradeStatistics 2025_04.xlsx"/>
    <x v="37"/>
    <n v="401200.00260000001"/>
    <s v="2025_04.xlsx"/>
    <x v="9"/>
    <x v="3"/>
  </r>
  <r>
    <s v="MonthlyTradeStatistics 2025_04.xlsx"/>
    <x v="38"/>
    <n v="287.91149999999999"/>
    <s v="2025_04.xlsx"/>
    <x v="9"/>
    <x v="3"/>
  </r>
  <r>
    <s v="MonthlyTradeStatistics 2025_04.xlsx"/>
    <x v="39"/>
    <n v="268699.9976"/>
    <s v="2025_04.xlsx"/>
    <x v="9"/>
    <x v="3"/>
  </r>
  <r>
    <s v="MonthlyTradeStatistics 2025_04.xlsx"/>
    <x v="40"/>
    <n v="0"/>
    <s v="2025_04.xlsx"/>
    <x v="9"/>
    <x v="3"/>
  </r>
  <r>
    <s v="MonthlyTradeStatistics 2025_04.xlsx"/>
    <x v="41"/>
    <n v="2486.6469000000002"/>
    <s v="2025_04.xlsx"/>
    <x v="9"/>
    <x v="3"/>
  </r>
  <r>
    <s v="MonthlyTradeStatistics 2025_04.xlsx"/>
    <x v="42"/>
    <n v="40190.232000000004"/>
    <s v="2025_04.xlsx"/>
    <x v="9"/>
    <x v="3"/>
  </r>
  <r>
    <s v="MonthlyTradeStatistics 2025_04.xlsx"/>
    <x v="43"/>
    <n v="0"/>
    <s v="2025_04.xlsx"/>
    <x v="9"/>
    <x v="3"/>
  </r>
  <r>
    <s v="MonthlyTradeStatistics 2025_04.xlsx"/>
    <x v="44"/>
    <n v="65012.734600000003"/>
    <s v="2025_04.xlsx"/>
    <x v="9"/>
    <x v="3"/>
  </r>
  <r>
    <s v="MonthlyTradeStatistics 2025_04.xlsx"/>
    <x v="45"/>
    <n v="5154"/>
    <s v="2025_04.xlsx"/>
    <x v="9"/>
    <x v="3"/>
  </r>
  <r>
    <s v="MonthlyTradeStatistics 2025_04.xlsx"/>
    <x v="46"/>
    <n v="18099.995699999999"/>
    <s v="2025_04.xlsx"/>
    <x v="9"/>
    <x v="3"/>
  </r>
  <r>
    <s v="MonthlyTradeStatistics 2025_04.xlsx"/>
    <x v="47"/>
    <n v="4000"/>
    <s v="2025_04.xlsx"/>
    <x v="9"/>
    <x v="3"/>
  </r>
  <r>
    <s v="MonthlyTradeStatistics 2025_04.xlsx"/>
    <x v="48"/>
    <n v="27.091100000000001"/>
    <s v="2025_04.xlsx"/>
    <x v="9"/>
    <x v="3"/>
  </r>
  <r>
    <s v="MonthlyTradeStatistics 2025_04.xlsx"/>
    <x v="49"/>
    <n v="75040"/>
    <s v="2025_04.xlsx"/>
    <x v="9"/>
    <x v="3"/>
  </r>
  <r>
    <s v="MonthlyTradeStatistics 2025_04.xlsx"/>
    <x v="50"/>
    <n v="19144.345499999999"/>
    <s v="2025_04.xlsx"/>
    <x v="9"/>
    <x v="3"/>
  </r>
  <r>
    <s v="MonthlyTradeStatistics 2025_04.xlsx"/>
    <x v="51"/>
    <n v="1841.65"/>
    <s v="2025_04.xlsx"/>
    <x v="9"/>
    <x v="3"/>
  </r>
  <r>
    <s v="MonthlyTradeStatistics 2025_04.xlsx"/>
    <x v="52"/>
    <n v="17087.6767"/>
    <s v="2025_04.xlsx"/>
    <x v="9"/>
    <x v="3"/>
  </r>
  <r>
    <s v="MonthlyTradeStatistics 2025_04.xlsx"/>
    <x v="53"/>
    <n v="200.00989999999999"/>
    <s v="2025_04.xlsx"/>
    <x v="9"/>
    <x v="3"/>
  </r>
  <r>
    <s v="MonthlyTradeStatistics 2025_04.xlsx"/>
    <x v="54"/>
    <n v="694318"/>
    <s v="2025_04.xlsx"/>
    <x v="9"/>
    <x v="3"/>
  </r>
  <r>
    <s v="MonthlyTradeStatistics 2025_04.xlsx"/>
    <x v="55"/>
    <n v="13900"/>
    <s v="2025_04.xlsx"/>
    <x v="9"/>
    <x v="3"/>
  </r>
  <r>
    <s v="MonthlyTradeStatistics 2025_04.xlsx"/>
    <x v="56"/>
    <n v="3037444.0227000001"/>
    <s v="2025_04.xlsx"/>
    <x v="9"/>
    <x v="3"/>
  </r>
  <r>
    <s v="MonthlyTradeStatistics 2025_04.xlsx"/>
    <x v="57"/>
    <n v="5200.0033000000003"/>
    <s v="2025_04.xlsx"/>
    <x v="9"/>
    <x v="3"/>
  </r>
  <r>
    <s v="MonthlyTradeStatistics 2025_04.xlsx"/>
    <x v="58"/>
    <n v="4068"/>
    <s v="2025_04.xlsx"/>
    <x v="9"/>
    <x v="3"/>
  </r>
  <r>
    <s v="MonthlyTradeStatistics 2025_04.xlsx"/>
    <x v="59"/>
    <n v="0.48080000000000001"/>
    <s v="2025_04.xlsx"/>
    <x v="9"/>
    <x v="3"/>
  </r>
  <r>
    <s v="MonthlyTradeStatistics 2025_05.xlsx"/>
    <x v="0"/>
    <n v="13008293.941400001"/>
    <s v="2025_05.xlsx"/>
    <x v="9"/>
    <x v="4"/>
  </r>
  <r>
    <s v="MonthlyTradeStatistics 2025_05.xlsx"/>
    <x v="1"/>
    <n v="1101625.5024999999"/>
    <s v="2025_05.xlsx"/>
    <x v="9"/>
    <x v="4"/>
  </r>
  <r>
    <s v="MonthlyTradeStatistics 2025_05.xlsx"/>
    <x v="2"/>
    <n v="3084716.2773000002"/>
    <s v="2025_05.xlsx"/>
    <x v="9"/>
    <x v="4"/>
  </r>
  <r>
    <s v="MonthlyTradeStatistics 2025_05.xlsx"/>
    <x v="3"/>
    <n v="3533182.7108999998"/>
    <s v="2025_05.xlsx"/>
    <x v="9"/>
    <x v="4"/>
  </r>
  <r>
    <s v="MonthlyTradeStatistics 2025_05.xlsx"/>
    <x v="4"/>
    <n v="5288769.4506999999"/>
    <s v="2025_05.xlsx"/>
    <x v="9"/>
    <x v="4"/>
  </r>
  <r>
    <s v="MonthlyTradeStatistics 2025_05.xlsx"/>
    <x v="5"/>
    <n v="2260.1334000000002"/>
    <s v="2025_05.xlsx"/>
    <x v="9"/>
    <x v="4"/>
  </r>
  <r>
    <s v="MonthlyTradeStatistics 2025_05.xlsx"/>
    <x v="6"/>
    <n v="1829.7"/>
    <s v="2025_05.xlsx"/>
    <x v="9"/>
    <x v="4"/>
  </r>
  <r>
    <s v="MonthlyTradeStatistics 2025_05.xlsx"/>
    <x v="7"/>
    <n v="3054295.3678000001"/>
    <s v="2025_05.xlsx"/>
    <x v="9"/>
    <x v="4"/>
  </r>
  <r>
    <s v="MonthlyTradeStatistics 2025_05.xlsx"/>
    <x v="8"/>
    <n v="10000"/>
    <s v="2025_05.xlsx"/>
    <x v="9"/>
    <x v="4"/>
  </r>
  <r>
    <s v="MonthlyTradeStatistics 2025_05.xlsx"/>
    <x v="9"/>
    <n v="6239.3671000000004"/>
    <s v="2025_05.xlsx"/>
    <x v="9"/>
    <x v="4"/>
  </r>
  <r>
    <s v="MonthlyTradeStatistics 2025_05.xlsx"/>
    <x v="10"/>
    <n v="4200"/>
    <s v="2025_05.xlsx"/>
    <x v="9"/>
    <x v="4"/>
  </r>
  <r>
    <s v="MonthlyTradeStatistics 2025_05.xlsx"/>
    <x v="11"/>
    <n v="926941.5024"/>
    <s v="2025_05.xlsx"/>
    <x v="9"/>
    <x v="4"/>
  </r>
  <r>
    <s v="MonthlyTradeStatistics 2025_05.xlsx"/>
    <x v="13"/>
    <n v="120303.0232"/>
    <s v="2025_05.xlsx"/>
    <x v="9"/>
    <x v="4"/>
  </r>
  <r>
    <s v="MonthlyTradeStatistics 2025_05.xlsx"/>
    <x v="14"/>
    <n v="247800.21170000001"/>
    <s v="2025_05.xlsx"/>
    <x v="9"/>
    <x v="4"/>
  </r>
  <r>
    <s v="MonthlyTradeStatistics 2025_05.xlsx"/>
    <x v="15"/>
    <n v="1709.9953"/>
    <s v="2025_05.xlsx"/>
    <x v="9"/>
    <x v="4"/>
  </r>
  <r>
    <s v="MonthlyTradeStatistics 2025_05.xlsx"/>
    <x v="16"/>
    <n v="14600"/>
    <s v="2025_05.xlsx"/>
    <x v="9"/>
    <x v="4"/>
  </r>
  <r>
    <s v="MonthlyTradeStatistics 2025_05.xlsx"/>
    <x v="17"/>
    <n v="10197.3925"/>
    <s v="2025_05.xlsx"/>
    <x v="9"/>
    <x v="4"/>
  </r>
  <r>
    <s v="MonthlyTradeStatistics 2025_05.xlsx"/>
    <x v="18"/>
    <n v="33808.059399999998"/>
    <s v="2025_05.xlsx"/>
    <x v="9"/>
    <x v="4"/>
  </r>
  <r>
    <s v="MonthlyTradeStatistics 2025_05.xlsx"/>
    <x v="19"/>
    <n v="60277.549599999998"/>
    <s v="2025_05.xlsx"/>
    <x v="9"/>
    <x v="4"/>
  </r>
  <r>
    <s v="MonthlyTradeStatistics 2025_05.xlsx"/>
    <x v="21"/>
    <n v="980000"/>
    <s v="2025_05.xlsx"/>
    <x v="9"/>
    <x v="4"/>
  </r>
  <r>
    <s v="MonthlyTradeStatistics 2025_05.xlsx"/>
    <x v="23"/>
    <n v="1283.865"/>
    <s v="2025_05.xlsx"/>
    <x v="9"/>
    <x v="4"/>
  </r>
  <r>
    <s v="MonthlyTradeStatistics 2025_05.xlsx"/>
    <x v="24"/>
    <n v="448422.17709999997"/>
    <s v="2025_05.xlsx"/>
    <x v="9"/>
    <x v="4"/>
  </r>
  <r>
    <s v="MonthlyTradeStatistics 2025_05.xlsx"/>
    <x v="25"/>
    <n v="11863.3333"/>
    <s v="2025_05.xlsx"/>
    <x v="9"/>
    <x v="4"/>
  </r>
  <r>
    <s v="MonthlyTradeStatistics 2025_05.xlsx"/>
    <x v="26"/>
    <n v="23.9285"/>
    <s v="2025_05.xlsx"/>
    <x v="9"/>
    <x v="4"/>
  </r>
  <r>
    <s v="MonthlyTradeStatistics 2025_05.xlsx"/>
    <x v="27"/>
    <n v="320"/>
    <s v="2025_05.xlsx"/>
    <x v="9"/>
    <x v="4"/>
  </r>
  <r>
    <s v="MonthlyTradeStatistics 2025_05.xlsx"/>
    <x v="28"/>
    <n v="762819.67480000004"/>
    <s v="2025_05.xlsx"/>
    <x v="9"/>
    <x v="4"/>
  </r>
  <r>
    <s v="MonthlyTradeStatistics 2025_05.xlsx"/>
    <x v="29"/>
    <n v="556661.66830000002"/>
    <s v="2025_05.xlsx"/>
    <x v="9"/>
    <x v="4"/>
  </r>
  <r>
    <s v="MonthlyTradeStatistics 2025_05.xlsx"/>
    <x v="30"/>
    <n v="758907.83739999996"/>
    <s v="2025_05.xlsx"/>
    <x v="9"/>
    <x v="4"/>
  </r>
  <r>
    <s v="MonthlyTradeStatistics 2025_05.xlsx"/>
    <x v="31"/>
    <n v="1263.8090999999999"/>
    <s v="2025_05.xlsx"/>
    <x v="9"/>
    <x v="4"/>
  </r>
  <r>
    <s v="MonthlyTradeStatistics 2025_05.xlsx"/>
    <x v="32"/>
    <n v="126904.0001"/>
    <s v="2025_05.xlsx"/>
    <x v="9"/>
    <x v="4"/>
  </r>
  <r>
    <s v="MonthlyTradeStatistics 2025_05.xlsx"/>
    <x v="33"/>
    <n v="71999.9954"/>
    <s v="2025_05.xlsx"/>
    <x v="9"/>
    <x v="4"/>
  </r>
  <r>
    <s v="MonthlyTradeStatistics 2025_05.xlsx"/>
    <x v="35"/>
    <n v="6224.4269000000004"/>
    <s v="2025_05.xlsx"/>
    <x v="9"/>
    <x v="4"/>
  </r>
  <r>
    <s v="MonthlyTradeStatistics 2025_05.xlsx"/>
    <x v="36"/>
    <n v="816.5"/>
    <s v="2025_05.xlsx"/>
    <x v="9"/>
    <x v="4"/>
  </r>
  <r>
    <s v="MonthlyTradeStatistics 2025_05.xlsx"/>
    <x v="37"/>
    <n v="417900.00339999999"/>
    <s v="2025_05.xlsx"/>
    <x v="9"/>
    <x v="4"/>
  </r>
  <r>
    <s v="MonthlyTradeStatistics 2025_05.xlsx"/>
    <x v="38"/>
    <n v="44.173900000000003"/>
    <s v="2025_05.xlsx"/>
    <x v="9"/>
    <x v="4"/>
  </r>
  <r>
    <s v="MonthlyTradeStatistics 2025_05.xlsx"/>
    <x v="39"/>
    <n v="398415.58"/>
    <s v="2025_05.xlsx"/>
    <x v="9"/>
    <x v="4"/>
  </r>
  <r>
    <s v="MonthlyTradeStatistics 2025_05.xlsx"/>
    <x v="40"/>
    <n v="0"/>
    <s v="2025_05.xlsx"/>
    <x v="9"/>
    <x v="4"/>
  </r>
  <r>
    <s v="MonthlyTradeStatistics 2025_05.xlsx"/>
    <x v="41"/>
    <n v="2554.5252999999998"/>
    <s v="2025_05.xlsx"/>
    <x v="9"/>
    <x v="4"/>
  </r>
  <r>
    <s v="MonthlyTradeStatistics 2025_05.xlsx"/>
    <x v="42"/>
    <n v="57975.713900000002"/>
    <s v="2025_05.xlsx"/>
    <x v="9"/>
    <x v="4"/>
  </r>
  <r>
    <s v="MonthlyTradeStatistics 2025_05.xlsx"/>
    <x v="43"/>
    <n v="2.3199999999999998"/>
    <s v="2025_05.xlsx"/>
    <x v="9"/>
    <x v="4"/>
  </r>
  <r>
    <s v="MonthlyTradeStatistics 2025_05.xlsx"/>
    <x v="44"/>
    <n v="141736.07010000001"/>
    <s v="2025_05.xlsx"/>
    <x v="9"/>
    <x v="4"/>
  </r>
  <r>
    <s v="MonthlyTradeStatistics 2025_05.xlsx"/>
    <x v="45"/>
    <n v="573.0548"/>
    <s v="2025_05.xlsx"/>
    <x v="9"/>
    <x v="4"/>
  </r>
  <r>
    <s v="MonthlyTradeStatistics 2025_05.xlsx"/>
    <x v="46"/>
    <n v="16099.995699999999"/>
    <s v="2025_05.xlsx"/>
    <x v="9"/>
    <x v="4"/>
  </r>
  <r>
    <s v="MonthlyTradeStatistics 2025_05.xlsx"/>
    <x v="47"/>
    <n v="5600"/>
    <s v="2025_05.xlsx"/>
    <x v="9"/>
    <x v="4"/>
  </r>
  <r>
    <s v="MonthlyTradeStatistics 2025_05.xlsx"/>
    <x v="48"/>
    <n v="40.4617"/>
    <s v="2025_05.xlsx"/>
    <x v="9"/>
    <x v="4"/>
  </r>
  <r>
    <s v="MonthlyTradeStatistics 2025_05.xlsx"/>
    <x v="49"/>
    <n v="75560"/>
    <s v="2025_05.xlsx"/>
    <x v="9"/>
    <x v="4"/>
  </r>
  <r>
    <s v="MonthlyTradeStatistics 2025_05.xlsx"/>
    <x v="50"/>
    <n v="18618.378100000002"/>
    <s v="2025_05.xlsx"/>
    <x v="9"/>
    <x v="4"/>
  </r>
  <r>
    <s v="MonthlyTradeStatistics 2025_05.xlsx"/>
    <x v="51"/>
    <n v="1233.2166999999999"/>
    <s v="2025_05.xlsx"/>
    <x v="9"/>
    <x v="4"/>
  </r>
  <r>
    <s v="MonthlyTradeStatistics 2025_05.xlsx"/>
    <x v="52"/>
    <n v="6857.1532999999999"/>
    <s v="2025_05.xlsx"/>
    <x v="9"/>
    <x v="4"/>
  </r>
  <r>
    <s v="MonthlyTradeStatistics 2025_05.xlsx"/>
    <x v="53"/>
    <n v="10.01"/>
    <s v="2025_05.xlsx"/>
    <x v="9"/>
    <x v="4"/>
  </r>
  <r>
    <s v="MonthlyTradeStatistics 2025_05.xlsx"/>
    <x v="54"/>
    <n v="793445"/>
    <s v="2025_05.xlsx"/>
    <x v="9"/>
    <x v="4"/>
  </r>
  <r>
    <s v="MonthlyTradeStatistics 2025_05.xlsx"/>
    <x v="55"/>
    <n v="12600"/>
    <s v="2025_05.xlsx"/>
    <x v="9"/>
    <x v="4"/>
  </r>
  <r>
    <s v="MonthlyTradeStatistics 2025_05.xlsx"/>
    <x v="56"/>
    <n v="2831315.6038000002"/>
    <s v="2025_05.xlsx"/>
    <x v="9"/>
    <x v="4"/>
  </r>
  <r>
    <s v="MonthlyTradeStatistics 2025_05.xlsx"/>
    <x v="57"/>
    <n v="3499.9956999999999"/>
    <s v="2025_05.xlsx"/>
    <x v="9"/>
    <x v="4"/>
  </r>
  <r>
    <s v="MonthlyTradeStatistics 2025_05.xlsx"/>
    <x v="58"/>
    <n v="2019.1667"/>
    <s v="2025_05.xlsx"/>
    <x v="9"/>
    <x v="4"/>
  </r>
  <r>
    <s v="MonthlyTradeStatistics 2025_05.xlsx"/>
    <x v="59"/>
    <n v="220"/>
    <s v="2025_05.xlsx"/>
    <x v="9"/>
    <x v="4"/>
  </r>
  <r>
    <s v="MonthlyTradeStatistics 2025_06.xlsx"/>
    <x v="0"/>
    <n v="11822271.962400001"/>
    <s v="2025_06.xlsx"/>
    <x v="9"/>
    <x v="5"/>
  </r>
  <r>
    <s v="MonthlyTradeStatistics 2025_06.xlsx"/>
    <x v="1"/>
    <n v="1173671.8476"/>
    <s v="2025_06.xlsx"/>
    <x v="9"/>
    <x v="5"/>
  </r>
  <r>
    <s v="MonthlyTradeStatistics 2025_06.xlsx"/>
    <x v="2"/>
    <n v="2967150.5400999999"/>
    <s v="2025_06.xlsx"/>
    <x v="9"/>
    <x v="5"/>
  </r>
  <r>
    <s v="MonthlyTradeStatistics 2025_06.xlsx"/>
    <x v="3"/>
    <n v="2766941.5060999999"/>
    <s v="2025_06.xlsx"/>
    <x v="9"/>
    <x v="5"/>
  </r>
  <r>
    <s v="MonthlyTradeStatistics 2025_06.xlsx"/>
    <x v="4"/>
    <n v="4914508.0685999999"/>
    <s v="2025_06.xlsx"/>
    <x v="9"/>
    <x v="5"/>
  </r>
  <r>
    <s v="MonthlyTradeStatistics 2025_06.xlsx"/>
    <x v="5"/>
    <n v="0"/>
    <s v="2025_06.xlsx"/>
    <x v="9"/>
    <x v="5"/>
  </r>
  <r>
    <s v="MonthlyTradeStatistics 2025_06.xlsx"/>
    <x v="6"/>
    <n v="595.33000000000004"/>
    <s v="2025_06.xlsx"/>
    <x v="9"/>
    <x v="5"/>
  </r>
  <r>
    <s v="MonthlyTradeStatistics 2025_06.xlsx"/>
    <x v="7"/>
    <n v="2608187.5926000001"/>
    <s v="2025_06.xlsx"/>
    <x v="9"/>
    <x v="5"/>
  </r>
  <r>
    <s v="MonthlyTradeStatistics 2025_06.xlsx"/>
    <x v="8"/>
    <n v="9300"/>
    <s v="2025_06.xlsx"/>
    <x v="9"/>
    <x v="5"/>
  </r>
  <r>
    <s v="MonthlyTradeStatistics 2025_06.xlsx"/>
    <x v="9"/>
    <n v="22000"/>
    <s v="2025_06.xlsx"/>
    <x v="9"/>
    <x v="5"/>
  </r>
  <r>
    <s v="MonthlyTradeStatistics 2025_06.xlsx"/>
    <x v="10"/>
    <n v="1000"/>
    <s v="2025_06.xlsx"/>
    <x v="9"/>
    <x v="5"/>
  </r>
  <r>
    <s v="MonthlyTradeStatistics 2025_06.xlsx"/>
    <x v="11"/>
    <n v="1090220.0153000001"/>
    <s v="2025_06.xlsx"/>
    <x v="9"/>
    <x v="5"/>
  </r>
  <r>
    <s v="MonthlyTradeStatistics 2025_06.xlsx"/>
    <x v="13"/>
    <n v="106010.6994"/>
    <s v="2025_06.xlsx"/>
    <x v="9"/>
    <x v="5"/>
  </r>
  <r>
    <s v="MonthlyTradeStatistics 2025_06.xlsx"/>
    <x v="14"/>
    <n v="39852.682999999997"/>
    <s v="2025_06.xlsx"/>
    <x v="9"/>
    <x v="5"/>
  </r>
  <r>
    <s v="MonthlyTradeStatistics 2025_06.xlsx"/>
    <x v="15"/>
    <n v="789.99570000000006"/>
    <s v="2025_06.xlsx"/>
    <x v="9"/>
    <x v="5"/>
  </r>
  <r>
    <s v="MonthlyTradeStatistics 2025_06.xlsx"/>
    <x v="16"/>
    <n v="18000"/>
    <s v="2025_06.xlsx"/>
    <x v="9"/>
    <x v="5"/>
  </r>
  <r>
    <s v="MonthlyTradeStatistics 2025_06.xlsx"/>
    <x v="17"/>
    <n v="13599.674999999999"/>
    <s v="2025_06.xlsx"/>
    <x v="9"/>
    <x v="5"/>
  </r>
  <r>
    <s v="MonthlyTradeStatistics 2025_06.xlsx"/>
    <x v="18"/>
    <n v="39815.631999999998"/>
    <s v="2025_06.xlsx"/>
    <x v="9"/>
    <x v="5"/>
  </r>
  <r>
    <s v="MonthlyTradeStatistics 2025_06.xlsx"/>
    <x v="19"/>
    <n v="61377.549599999998"/>
    <s v="2025_06.xlsx"/>
    <x v="9"/>
    <x v="5"/>
  </r>
  <r>
    <s v="MonthlyTradeStatistics 2025_06.xlsx"/>
    <x v="21"/>
    <n v="828000"/>
    <s v="2025_06.xlsx"/>
    <x v="9"/>
    <x v="5"/>
  </r>
  <r>
    <s v="MonthlyTradeStatistics 2025_06.xlsx"/>
    <x v="23"/>
    <n v="289.95499999999998"/>
    <s v="2025_06.xlsx"/>
    <x v="9"/>
    <x v="5"/>
  </r>
  <r>
    <s v="MonthlyTradeStatistics 2025_06.xlsx"/>
    <x v="24"/>
    <n v="413313.73940000002"/>
    <s v="2025_06.xlsx"/>
    <x v="9"/>
    <x v="5"/>
  </r>
  <r>
    <s v="MonthlyTradeStatistics 2025_06.xlsx"/>
    <x v="25"/>
    <n v="5583.3334000000004"/>
    <s v="2025_06.xlsx"/>
    <x v="9"/>
    <x v="5"/>
  </r>
  <r>
    <s v="MonthlyTradeStatistics 2025_06.xlsx"/>
    <x v="26"/>
    <n v="91.787599999999998"/>
    <s v="2025_06.xlsx"/>
    <x v="9"/>
    <x v="5"/>
  </r>
  <r>
    <s v="MonthlyTradeStatistics 2025_06.xlsx"/>
    <x v="27"/>
    <n v="340"/>
    <s v="2025_06.xlsx"/>
    <x v="9"/>
    <x v="5"/>
  </r>
  <r>
    <s v="MonthlyTradeStatistics 2025_06.xlsx"/>
    <x v="28"/>
    <n v="640772.93000000005"/>
    <s v="2025_06.xlsx"/>
    <x v="9"/>
    <x v="5"/>
  </r>
  <r>
    <s v="MonthlyTradeStatistics 2025_06.xlsx"/>
    <x v="29"/>
    <n v="566308.99100000004"/>
    <s v="2025_06.xlsx"/>
    <x v="9"/>
    <x v="5"/>
  </r>
  <r>
    <s v="MonthlyTradeStatistics 2025_06.xlsx"/>
    <x v="30"/>
    <n v="863808.83239999996"/>
    <s v="2025_06.xlsx"/>
    <x v="9"/>
    <x v="5"/>
  </r>
  <r>
    <s v="MonthlyTradeStatistics 2025_06.xlsx"/>
    <x v="31"/>
    <n v="1458.5071"/>
    <s v="2025_06.xlsx"/>
    <x v="9"/>
    <x v="5"/>
  </r>
  <r>
    <s v="MonthlyTradeStatistics 2025_06.xlsx"/>
    <x v="32"/>
    <n v="80500.002299999993"/>
    <s v="2025_06.xlsx"/>
    <x v="9"/>
    <x v="5"/>
  </r>
  <r>
    <s v="MonthlyTradeStatistics 2025_06.xlsx"/>
    <x v="33"/>
    <n v="77999.9954"/>
    <s v="2025_06.xlsx"/>
    <x v="9"/>
    <x v="5"/>
  </r>
  <r>
    <s v="MonthlyTradeStatistics 2025_06.xlsx"/>
    <x v="35"/>
    <n v="5060.45"/>
    <s v="2025_06.xlsx"/>
    <x v="9"/>
    <x v="5"/>
  </r>
  <r>
    <s v="MonthlyTradeStatistics 2025_06.xlsx"/>
    <x v="36"/>
    <n v="1149.8"/>
    <s v="2025_06.xlsx"/>
    <x v="9"/>
    <x v="5"/>
  </r>
  <r>
    <s v="MonthlyTradeStatistics 2025_06.xlsx"/>
    <x v="37"/>
    <n v="367199.9926"/>
    <s v="2025_06.xlsx"/>
    <x v="9"/>
    <x v="5"/>
  </r>
  <r>
    <s v="MonthlyTradeStatistics 2025_06.xlsx"/>
    <x v="38"/>
    <n v="219.21960000000001"/>
    <s v="2025_06.xlsx"/>
    <x v="9"/>
    <x v="5"/>
  </r>
  <r>
    <s v="MonthlyTradeStatistics 2025_06.xlsx"/>
    <x v="39"/>
    <n v="357883.40850000002"/>
    <s v="2025_06.xlsx"/>
    <x v="9"/>
    <x v="5"/>
  </r>
  <r>
    <s v="MonthlyTradeStatistics 2025_06.xlsx"/>
    <x v="40"/>
    <n v="0"/>
    <s v="2025_06.xlsx"/>
    <x v="9"/>
    <x v="5"/>
  </r>
  <r>
    <s v="MonthlyTradeStatistics 2025_06.xlsx"/>
    <x v="41"/>
    <n v="2645.6433000000002"/>
    <s v="2025_06.xlsx"/>
    <x v="9"/>
    <x v="5"/>
  </r>
  <r>
    <s v="MonthlyTradeStatistics 2025_06.xlsx"/>
    <x v="42"/>
    <n v="56069.33"/>
    <s v="2025_06.xlsx"/>
    <x v="9"/>
    <x v="5"/>
  </r>
  <r>
    <s v="MonthlyTradeStatistics 2025_06.xlsx"/>
    <x v="43"/>
    <n v="0"/>
    <s v="2025_06.xlsx"/>
    <x v="9"/>
    <x v="5"/>
  </r>
  <r>
    <s v="MonthlyTradeStatistics 2025_06.xlsx"/>
    <x v="44"/>
    <n v="325834.63799999998"/>
    <s v="2025_06.xlsx"/>
    <x v="9"/>
    <x v="5"/>
  </r>
  <r>
    <s v="MonthlyTradeStatistics 2025_06.xlsx"/>
    <x v="45"/>
    <n v="337.23500000000001"/>
    <s v="2025_06.xlsx"/>
    <x v="9"/>
    <x v="5"/>
  </r>
  <r>
    <s v="MonthlyTradeStatistics 2025_06.xlsx"/>
    <x v="46"/>
    <n v="19099.995699999999"/>
    <s v="2025_06.xlsx"/>
    <x v="9"/>
    <x v="5"/>
  </r>
  <r>
    <s v="MonthlyTradeStatistics 2025_06.xlsx"/>
    <x v="47"/>
    <n v="6000"/>
    <s v="2025_06.xlsx"/>
    <x v="9"/>
    <x v="5"/>
  </r>
  <r>
    <s v="MonthlyTradeStatistics 2025_06.xlsx"/>
    <x v="48"/>
    <n v="19.71"/>
    <s v="2025_06.xlsx"/>
    <x v="9"/>
    <x v="5"/>
  </r>
  <r>
    <s v="MonthlyTradeStatistics 2025_06.xlsx"/>
    <x v="49"/>
    <n v="12871.26"/>
    <s v="2025_06.xlsx"/>
    <x v="9"/>
    <x v="5"/>
  </r>
  <r>
    <s v="MonthlyTradeStatistics 2025_06.xlsx"/>
    <x v="50"/>
    <n v="20351.619500000001"/>
    <s v="2025_06.xlsx"/>
    <x v="9"/>
    <x v="5"/>
  </r>
  <r>
    <s v="MonthlyTradeStatistics 2025_06.xlsx"/>
    <x v="51"/>
    <n v="26181.383300000001"/>
    <s v="2025_06.xlsx"/>
    <x v="9"/>
    <x v="5"/>
  </r>
  <r>
    <s v="MonthlyTradeStatistics 2025_06.xlsx"/>
    <x v="52"/>
    <n v="9227.6267000000007"/>
    <s v="2025_06.xlsx"/>
    <x v="9"/>
    <x v="5"/>
  </r>
  <r>
    <s v="MonthlyTradeStatistics 2025_06.xlsx"/>
    <x v="53"/>
    <n v="99.995900000000006"/>
    <s v="2025_06.xlsx"/>
    <x v="9"/>
    <x v="5"/>
  </r>
  <r>
    <s v="MonthlyTradeStatistics 2025_06.xlsx"/>
    <x v="54"/>
    <n v="1010002"/>
    <s v="2025_06.xlsx"/>
    <x v="9"/>
    <x v="5"/>
  </r>
  <r>
    <s v="MonthlyTradeStatistics 2025_06.xlsx"/>
    <x v="55"/>
    <n v="4300"/>
    <s v="2025_06.xlsx"/>
    <x v="9"/>
    <x v="5"/>
  </r>
  <r>
    <s v="MonthlyTradeStatistics 2025_06.xlsx"/>
    <x v="56"/>
    <n v="2101544.4715"/>
    <s v="2025_06.xlsx"/>
    <x v="9"/>
    <x v="5"/>
  </r>
  <r>
    <s v="MonthlyTradeStatistics 2025_06.xlsx"/>
    <x v="57"/>
    <n v="4900.0033000000003"/>
    <s v="2025_06.xlsx"/>
    <x v="9"/>
    <x v="5"/>
  </r>
  <r>
    <s v="MonthlyTradeStatistics 2025_06.xlsx"/>
    <x v="58"/>
    <n v="2056.9333000000001"/>
    <s v="2025_06.xlsx"/>
    <x v="9"/>
    <x v="5"/>
  </r>
  <r>
    <s v="MonthlyTradeStatistics 2025_06.xlsx"/>
    <x v="59"/>
    <n v="0"/>
    <s v="2025_06.xlsx"/>
    <x v="9"/>
    <x v="5"/>
  </r>
  <r>
    <s v="MonthlyTradeStatistics 2025_07.xlsx"/>
    <x v="0"/>
    <n v="11980728.1501"/>
    <s v="2025_07.xlsx"/>
    <x v="9"/>
    <x v="6"/>
  </r>
  <r>
    <s v="MonthlyTradeStatistics 2025_07.xlsx"/>
    <x v="1"/>
    <n v="1253418.7006000001"/>
    <s v="2025_07.xlsx"/>
    <x v="9"/>
    <x v="6"/>
  </r>
  <r>
    <s v="MonthlyTradeStatistics 2025_07.xlsx"/>
    <x v="2"/>
    <n v="2771567.8497000001"/>
    <s v="2025_07.xlsx"/>
    <x v="9"/>
    <x v="6"/>
  </r>
  <r>
    <s v="MonthlyTradeStatistics 2025_07.xlsx"/>
    <x v="3"/>
    <n v="3106561.0011"/>
    <s v="2025_07.xlsx"/>
    <x v="9"/>
    <x v="6"/>
  </r>
  <r>
    <s v="MonthlyTradeStatistics 2025_07.xlsx"/>
    <x v="4"/>
    <n v="4849180.5987"/>
    <s v="2025_07.xlsx"/>
    <x v="9"/>
    <x v="6"/>
  </r>
  <r>
    <s v="MonthlyTradeStatistics 2025_07.xlsx"/>
    <x v="5"/>
    <n v="707.67340000000002"/>
    <s v="2025_07.xlsx"/>
    <x v="9"/>
    <x v="6"/>
  </r>
  <r>
    <s v="MonthlyTradeStatistics 2025_07.xlsx"/>
    <x v="6"/>
    <n v="1784.4713999999999"/>
    <s v="2025_07.xlsx"/>
    <x v="9"/>
    <x v="6"/>
  </r>
  <r>
    <s v="MonthlyTradeStatistics 2025_07.xlsx"/>
    <x v="7"/>
    <n v="2898313.1976000001"/>
    <s v="2025_07.xlsx"/>
    <x v="9"/>
    <x v="6"/>
  </r>
  <r>
    <s v="MonthlyTradeStatistics 2025_07.xlsx"/>
    <x v="8"/>
    <n v="10000"/>
    <s v="2025_07.xlsx"/>
    <x v="9"/>
    <x v="6"/>
  </r>
  <r>
    <s v="MonthlyTradeStatistics 2025_07.xlsx"/>
    <x v="9"/>
    <n v="19244.900000000001"/>
    <s v="2025_07.xlsx"/>
    <x v="9"/>
    <x v="6"/>
  </r>
  <r>
    <s v="MonthlyTradeStatistics 2025_07.xlsx"/>
    <x v="10"/>
    <n v="100"/>
    <s v="2025_07.xlsx"/>
    <x v="9"/>
    <x v="6"/>
  </r>
  <r>
    <s v="MonthlyTradeStatistics 2025_07.xlsx"/>
    <x v="11"/>
    <n v="1180207.7058999999"/>
    <s v="2025_07.xlsx"/>
    <x v="9"/>
    <x v="6"/>
  </r>
  <r>
    <s v="MonthlyTradeStatistics 2025_07.xlsx"/>
    <x v="13"/>
    <n v="130479.6137"/>
    <s v="2025_07.xlsx"/>
    <x v="9"/>
    <x v="6"/>
  </r>
  <r>
    <s v="MonthlyTradeStatistics 2025_07.xlsx"/>
    <x v="14"/>
    <n v="51506.133300000001"/>
    <s v="2025_07.xlsx"/>
    <x v="9"/>
    <x v="6"/>
  </r>
  <r>
    <s v="MonthlyTradeStatistics 2025_07.xlsx"/>
    <x v="15"/>
    <n v="1299.9992999999999"/>
    <s v="2025_07.xlsx"/>
    <x v="9"/>
    <x v="6"/>
  </r>
  <r>
    <s v="MonthlyTradeStatistics 2025_07.xlsx"/>
    <x v="16"/>
    <n v="18900"/>
    <s v="2025_07.xlsx"/>
    <x v="9"/>
    <x v="6"/>
  </r>
  <r>
    <s v="MonthlyTradeStatistics 2025_07.xlsx"/>
    <x v="17"/>
    <n v="1696.1772000000001"/>
    <s v="2025_07.xlsx"/>
    <x v="9"/>
    <x v="6"/>
  </r>
  <r>
    <s v="MonthlyTradeStatistics 2025_07.xlsx"/>
    <x v="18"/>
    <n v="44948.482000000004"/>
    <s v="2025_07.xlsx"/>
    <x v="9"/>
    <x v="6"/>
  </r>
  <r>
    <s v="MonthlyTradeStatistics 2025_07.xlsx"/>
    <x v="19"/>
    <n v="56966.8632"/>
    <s v="2025_07.xlsx"/>
    <x v="9"/>
    <x v="6"/>
  </r>
  <r>
    <s v="MonthlyTradeStatistics 2025_07.xlsx"/>
    <x v="21"/>
    <n v="810000"/>
    <s v="2025_07.xlsx"/>
    <x v="9"/>
    <x v="6"/>
  </r>
  <r>
    <s v="MonthlyTradeStatistics 2025_07.xlsx"/>
    <x v="23"/>
    <n v="326.1343"/>
    <s v="2025_07.xlsx"/>
    <x v="9"/>
    <x v="6"/>
  </r>
  <r>
    <s v="MonthlyTradeStatistics 2025_07.xlsx"/>
    <x v="24"/>
    <n v="274984.13150000002"/>
    <s v="2025_07.xlsx"/>
    <x v="9"/>
    <x v="6"/>
  </r>
  <r>
    <s v="MonthlyTradeStatistics 2025_07.xlsx"/>
    <x v="25"/>
    <n v="5193.3334000000004"/>
    <s v="2025_07.xlsx"/>
    <x v="9"/>
    <x v="6"/>
  </r>
  <r>
    <s v="MonthlyTradeStatistics 2025_07.xlsx"/>
    <x v="26"/>
    <n v="0"/>
    <s v="2025_07.xlsx"/>
    <x v="9"/>
    <x v="6"/>
  </r>
  <r>
    <s v="MonthlyTradeStatistics 2025_07.xlsx"/>
    <x v="27"/>
    <n v="230"/>
    <s v="2025_07.xlsx"/>
    <x v="9"/>
    <x v="6"/>
  </r>
  <r>
    <s v="MonthlyTradeStatistics 2025_07.xlsx"/>
    <x v="28"/>
    <n v="458718.21"/>
    <s v="2025_07.xlsx"/>
    <x v="9"/>
    <x v="6"/>
  </r>
  <r>
    <s v="MonthlyTradeStatistics 2025_07.xlsx"/>
    <x v="29"/>
    <n v="569274.33689999999"/>
    <s v="2025_07.xlsx"/>
    <x v="9"/>
    <x v="6"/>
  </r>
  <r>
    <s v="MonthlyTradeStatistics 2025_07.xlsx"/>
    <x v="30"/>
    <n v="955162.91639999999"/>
    <s v="2025_07.xlsx"/>
    <x v="9"/>
    <x v="6"/>
  </r>
  <r>
    <s v="MonthlyTradeStatistics 2025_07.xlsx"/>
    <x v="31"/>
    <n v="1959.7075"/>
    <s v="2025_07.xlsx"/>
    <x v="9"/>
    <x v="6"/>
  </r>
  <r>
    <s v="MonthlyTradeStatistics 2025_07.xlsx"/>
    <x v="32"/>
    <n v="70399.994699999996"/>
    <s v="2025_07.xlsx"/>
    <x v="9"/>
    <x v="6"/>
  </r>
  <r>
    <s v="MonthlyTradeStatistics 2025_07.xlsx"/>
    <x v="33"/>
    <n v="75999.9954"/>
    <s v="2025_07.xlsx"/>
    <x v="9"/>
    <x v="6"/>
  </r>
  <r>
    <s v="MonthlyTradeStatistics 2025_07.xlsx"/>
    <x v="35"/>
    <n v="679.8"/>
    <s v="2025_07.xlsx"/>
    <x v="9"/>
    <x v="6"/>
  </r>
  <r>
    <s v="MonthlyTradeStatistics 2025_07.xlsx"/>
    <x v="36"/>
    <n v="969.99810000000002"/>
    <s v="2025_07.xlsx"/>
    <x v="9"/>
    <x v="6"/>
  </r>
  <r>
    <s v="MonthlyTradeStatistics 2025_07.xlsx"/>
    <x v="37"/>
    <n v="396299.99339999998"/>
    <s v="2025_07.xlsx"/>
    <x v="9"/>
    <x v="6"/>
  </r>
  <r>
    <s v="MonthlyTradeStatistics 2025_07.xlsx"/>
    <x v="38"/>
    <n v="123.6127"/>
    <s v="2025_07.xlsx"/>
    <x v="9"/>
    <x v="6"/>
  </r>
  <r>
    <s v="MonthlyTradeStatistics 2025_07.xlsx"/>
    <x v="39"/>
    <n v="326182.35060000001"/>
    <s v="2025_07.xlsx"/>
    <x v="9"/>
    <x v="6"/>
  </r>
  <r>
    <s v="MonthlyTradeStatistics 2025_07.xlsx"/>
    <x v="41"/>
    <n v="3719.3454000000002"/>
    <s v="2025_07.xlsx"/>
    <x v="9"/>
    <x v="6"/>
  </r>
  <r>
    <s v="MonthlyTradeStatistics 2025_07.xlsx"/>
    <x v="42"/>
    <n v="100714"/>
    <s v="2025_07.xlsx"/>
    <x v="9"/>
    <x v="6"/>
  </r>
  <r>
    <s v="MonthlyTradeStatistics 2025_07.xlsx"/>
    <x v="43"/>
    <n v="0.9325"/>
    <s v="2025_07.xlsx"/>
    <x v="9"/>
    <x v="6"/>
  </r>
  <r>
    <s v="MonthlyTradeStatistics 2025_07.xlsx"/>
    <x v="44"/>
    <n v="439660.1569"/>
    <s v="2025_07.xlsx"/>
    <x v="9"/>
    <x v="6"/>
  </r>
  <r>
    <s v="MonthlyTradeStatistics 2025_07.xlsx"/>
    <x v="45"/>
    <n v="515.28229999999996"/>
    <s v="2025_07.xlsx"/>
    <x v="9"/>
    <x v="6"/>
  </r>
  <r>
    <s v="MonthlyTradeStatistics 2025_07.xlsx"/>
    <x v="46"/>
    <n v="21099.995699999999"/>
    <s v="2025_07.xlsx"/>
    <x v="9"/>
    <x v="6"/>
  </r>
  <r>
    <s v="MonthlyTradeStatistics 2025_07.xlsx"/>
    <x v="47"/>
    <n v="4900"/>
    <s v="2025_07.xlsx"/>
    <x v="9"/>
    <x v="6"/>
  </r>
  <r>
    <s v="MonthlyTradeStatistics 2025_07.xlsx"/>
    <x v="48"/>
    <n v="46.468200000000003"/>
    <s v="2025_07.xlsx"/>
    <x v="9"/>
    <x v="6"/>
  </r>
  <r>
    <s v="MonthlyTradeStatistics 2025_07.xlsx"/>
    <x v="49"/>
    <n v="10331.033299999999"/>
    <s v="2025_07.xlsx"/>
    <x v="9"/>
    <x v="6"/>
  </r>
  <r>
    <s v="MonthlyTradeStatistics 2025_07.xlsx"/>
    <x v="50"/>
    <n v="27118.751700000001"/>
    <s v="2025_07.xlsx"/>
    <x v="9"/>
    <x v="6"/>
  </r>
  <r>
    <s v="MonthlyTradeStatistics 2025_07.xlsx"/>
    <x v="51"/>
    <n v="22095.183300000001"/>
    <s v="2025_07.xlsx"/>
    <x v="9"/>
    <x v="6"/>
  </r>
  <r>
    <s v="MonthlyTradeStatistics 2025_07.xlsx"/>
    <x v="52"/>
    <n v="11622.0167"/>
    <s v="2025_07.xlsx"/>
    <x v="9"/>
    <x v="6"/>
  </r>
  <r>
    <s v="MonthlyTradeStatistics 2025_07.xlsx"/>
    <x v="53"/>
    <n v="120.0059"/>
    <s v="2025_07.xlsx"/>
    <x v="9"/>
    <x v="6"/>
  </r>
  <r>
    <s v="MonthlyTradeStatistics 2025_07.xlsx"/>
    <x v="54"/>
    <n v="997105"/>
    <s v="2025_07.xlsx"/>
    <x v="9"/>
    <x v="6"/>
  </r>
  <r>
    <s v="MonthlyTradeStatistics 2025_07.xlsx"/>
    <x v="55"/>
    <n v="2300"/>
    <s v="2025_07.xlsx"/>
    <x v="9"/>
    <x v="6"/>
  </r>
  <r>
    <s v="MonthlyTradeStatistics 2025_07.xlsx"/>
    <x v="56"/>
    <n v="1969912.7275"/>
    <s v="2025_07.xlsx"/>
    <x v="9"/>
    <x v="6"/>
  </r>
  <r>
    <s v="MonthlyTradeStatistics 2025_07.xlsx"/>
    <x v="57"/>
    <n v="5500.0033000000003"/>
    <s v="2025_07.xlsx"/>
    <x v="9"/>
    <x v="6"/>
  </r>
  <r>
    <s v="MonthlyTradeStatistics 2025_07.xlsx"/>
    <x v="58"/>
    <n v="1306.5833"/>
    <s v="2025_07.xlsx"/>
    <x v="9"/>
    <x v="6"/>
  </r>
  <r>
    <s v="MonthlyTradeStatistics 2025_07.xlsx"/>
    <x v="59"/>
    <n v="0.93220000000000003"/>
    <s v="2025_07.xlsx"/>
    <x v="9"/>
    <x v="6"/>
  </r>
  <r>
    <s v="MonthlyTradeStatistics 2025_08.xlsx"/>
    <x v="0"/>
    <n v="11014223.0288"/>
    <s v="2025_08.xlsx"/>
    <x v="9"/>
    <x v="7"/>
  </r>
  <r>
    <s v="MonthlyTradeStatistics 2025_08.xlsx"/>
    <x v="1"/>
    <n v="1245880.5196"/>
    <s v="2025_08.xlsx"/>
    <x v="9"/>
    <x v="7"/>
  </r>
  <r>
    <s v="MonthlyTradeStatistics 2025_08.xlsx"/>
    <x v="2"/>
    <n v="2079367.9304"/>
    <s v="2025_08.xlsx"/>
    <x v="9"/>
    <x v="7"/>
  </r>
  <r>
    <s v="MonthlyTradeStatistics 2025_08.xlsx"/>
    <x v="3"/>
    <n v="3302939.9149000002"/>
    <s v="2025_08.xlsx"/>
    <x v="9"/>
    <x v="7"/>
  </r>
  <r>
    <s v="MonthlyTradeStatistics 2025_08.xlsx"/>
    <x v="4"/>
    <n v="4386034.6639"/>
    <s v="2025_08.xlsx"/>
    <x v="9"/>
    <x v="7"/>
  </r>
  <r>
    <s v="MonthlyTradeStatistics 2025_08.xlsx"/>
    <x v="5"/>
    <n v="216.66669999999999"/>
    <s v="2025_08.xlsx"/>
    <x v="9"/>
    <x v="7"/>
  </r>
  <r>
    <s v="MonthlyTradeStatistics 2025_08.xlsx"/>
    <x v="6"/>
    <n v="2816.7927"/>
    <s v="2025_08.xlsx"/>
    <x v="9"/>
    <x v="7"/>
  </r>
  <r>
    <s v="MonthlyTradeStatistics 2025_08.xlsx"/>
    <x v="7"/>
    <n v="3244664.7385999998"/>
    <s v="2025_08.xlsx"/>
    <x v="9"/>
    <x v="7"/>
  </r>
  <r>
    <s v="MonthlyTradeStatistics 2025_08.xlsx"/>
    <x v="8"/>
    <n v="18000"/>
    <s v="2025_08.xlsx"/>
    <x v="9"/>
    <x v="7"/>
  </r>
  <r>
    <s v="MonthlyTradeStatistics 2025_08.xlsx"/>
    <x v="9"/>
    <n v="26400"/>
    <s v="2025_08.xlsx"/>
    <x v="9"/>
    <x v="7"/>
  </r>
  <r>
    <s v="MonthlyTradeStatistics 2025_08.xlsx"/>
    <x v="10"/>
    <n v="320"/>
    <s v="2025_08.xlsx"/>
    <x v="9"/>
    <x v="7"/>
  </r>
  <r>
    <s v="MonthlyTradeStatistics 2025_08.xlsx"/>
    <x v="11"/>
    <n v="1177957.3195"/>
    <s v="2025_08.xlsx"/>
    <x v="9"/>
    <x v="7"/>
  </r>
  <r>
    <s v="MonthlyTradeStatistics 2025_08.xlsx"/>
    <x v="13"/>
    <n v="118538.4898"/>
    <s v="2025_08.xlsx"/>
    <x v="9"/>
    <x v="7"/>
  </r>
  <r>
    <s v="MonthlyTradeStatistics 2025_08.xlsx"/>
    <x v="14"/>
    <n v="52970.9496"/>
    <s v="2025_08.xlsx"/>
    <x v="9"/>
    <x v="7"/>
  </r>
  <r>
    <s v="MonthlyTradeStatistics 2025_08.xlsx"/>
    <x v="15"/>
    <n v="2199.991"/>
    <s v="2025_08.xlsx"/>
    <x v="9"/>
    <x v="7"/>
  </r>
  <r>
    <s v="MonthlyTradeStatistics 2025_08.xlsx"/>
    <x v="16"/>
    <n v="16500"/>
    <s v="2025_08.xlsx"/>
    <x v="9"/>
    <x v="7"/>
  </r>
  <r>
    <s v="MonthlyTradeStatistics 2025_08.xlsx"/>
    <x v="17"/>
    <n v="1643.5767000000001"/>
    <s v="2025_08.xlsx"/>
    <x v="9"/>
    <x v="7"/>
  </r>
  <r>
    <s v="MonthlyTradeStatistics 2025_08.xlsx"/>
    <x v="18"/>
    <n v="43301.701999999997"/>
    <s v="2025_08.xlsx"/>
    <x v="9"/>
    <x v="7"/>
  </r>
  <r>
    <s v="MonthlyTradeStatistics 2025_08.xlsx"/>
    <x v="19"/>
    <n v="28499.990699999998"/>
    <s v="2025_08.xlsx"/>
    <x v="9"/>
    <x v="7"/>
  </r>
  <r>
    <s v="MonthlyTradeStatistics 2025_08.xlsx"/>
    <x v="21"/>
    <n v="675000"/>
    <s v="2025_08.xlsx"/>
    <x v="9"/>
    <x v="7"/>
  </r>
  <r>
    <s v="MonthlyTradeStatistics 2025_08.xlsx"/>
    <x v="23"/>
    <n v="341.70269999999999"/>
    <s v="2025_08.xlsx"/>
    <x v="9"/>
    <x v="7"/>
  </r>
  <r>
    <s v="MonthlyTradeStatistics 2025_08.xlsx"/>
    <x v="24"/>
    <n v="154909.45910000001"/>
    <s v="2025_08.xlsx"/>
    <x v="9"/>
    <x v="7"/>
  </r>
  <r>
    <s v="MonthlyTradeStatistics 2025_08.xlsx"/>
    <x v="25"/>
    <n v="7300"/>
    <s v="2025_08.xlsx"/>
    <x v="9"/>
    <x v="7"/>
  </r>
  <r>
    <s v="MonthlyTradeStatistics 2025_08.xlsx"/>
    <x v="26"/>
    <n v="203.54839999999999"/>
    <s v="2025_08.xlsx"/>
    <x v="9"/>
    <x v="7"/>
  </r>
  <r>
    <s v="MonthlyTradeStatistics 2025_08.xlsx"/>
    <x v="27"/>
    <n v="110"/>
    <s v="2025_08.xlsx"/>
    <x v="9"/>
    <x v="7"/>
  </r>
  <r>
    <s v="MonthlyTradeStatistics 2025_08.xlsx"/>
    <x v="28"/>
    <n v="192265.14"/>
    <s v="2025_08.xlsx"/>
    <x v="9"/>
    <x v="7"/>
  </r>
  <r>
    <s v="MonthlyTradeStatistics 2025_08.xlsx"/>
    <x v="29"/>
    <n v="447437.2475"/>
    <s v="2025_08.xlsx"/>
    <x v="9"/>
    <x v="7"/>
  </r>
  <r>
    <s v="MonthlyTradeStatistics 2025_08.xlsx"/>
    <x v="30"/>
    <n v="1153112.3507000001"/>
    <s v="2025_08.xlsx"/>
    <x v="9"/>
    <x v="7"/>
  </r>
  <r>
    <s v="MonthlyTradeStatistics 2025_08.xlsx"/>
    <x v="31"/>
    <n v="1037.7275999999999"/>
    <s v="2025_08.xlsx"/>
    <x v="9"/>
    <x v="7"/>
  </r>
  <r>
    <s v="MonthlyTradeStatistics 2025_08.xlsx"/>
    <x v="32"/>
    <n v="63023.200100000002"/>
    <s v="2025_08.xlsx"/>
    <x v="9"/>
    <x v="7"/>
  </r>
  <r>
    <s v="MonthlyTradeStatistics 2025_08.xlsx"/>
    <x v="33"/>
    <n v="61999.9954"/>
    <s v="2025_08.xlsx"/>
    <x v="9"/>
    <x v="7"/>
  </r>
  <r>
    <s v="MonthlyTradeStatistics 2025_08.xlsx"/>
    <x v="35"/>
    <n v="198.33330000000001"/>
    <s v="2025_08.xlsx"/>
    <x v="9"/>
    <x v="7"/>
  </r>
  <r>
    <s v="MonthlyTradeStatistics 2025_08.xlsx"/>
    <x v="36"/>
    <n v="939.99440000000004"/>
    <s v="2025_08.xlsx"/>
    <x v="9"/>
    <x v="7"/>
  </r>
  <r>
    <s v="MonthlyTradeStatistics 2025_08.xlsx"/>
    <x v="37"/>
    <n v="237000.0166"/>
    <s v="2025_08.xlsx"/>
    <x v="9"/>
    <x v="7"/>
  </r>
  <r>
    <s v="MonthlyTradeStatistics 2025_08.xlsx"/>
    <x v="38"/>
    <n v="165.2833"/>
    <s v="2025_08.xlsx"/>
    <x v="9"/>
    <x v="7"/>
  </r>
  <r>
    <s v="MonthlyTradeStatistics 2025_08.xlsx"/>
    <x v="39"/>
    <n v="186794.39869999999"/>
    <s v="2025_08.xlsx"/>
    <x v="9"/>
    <x v="7"/>
  </r>
  <r>
    <s v="MonthlyTradeStatistics 2025_08.xlsx"/>
    <x v="41"/>
    <n v="3517.2208000000001"/>
    <s v="2025_08.xlsx"/>
    <x v="9"/>
    <x v="7"/>
  </r>
  <r>
    <s v="MonthlyTradeStatistics 2025_08.xlsx"/>
    <x v="42"/>
    <n v="68469"/>
    <s v="2025_08.xlsx"/>
    <x v="9"/>
    <x v="7"/>
  </r>
  <r>
    <s v="MonthlyTradeStatistics 2025_08.xlsx"/>
    <x v="43"/>
    <n v="0.4975"/>
    <s v="2025_08.xlsx"/>
    <x v="9"/>
    <x v="7"/>
  </r>
  <r>
    <s v="MonthlyTradeStatistics 2025_08.xlsx"/>
    <x v="44"/>
    <n v="568699.26749999996"/>
    <s v="2025_08.xlsx"/>
    <x v="9"/>
    <x v="7"/>
  </r>
  <r>
    <s v="MonthlyTradeStatistics 2025_08.xlsx"/>
    <x v="45"/>
    <n v="578.97739999999999"/>
    <s v="2025_08.xlsx"/>
    <x v="9"/>
    <x v="7"/>
  </r>
  <r>
    <s v="MonthlyTradeStatistics 2025_08.xlsx"/>
    <x v="46"/>
    <n v="20761.599999999999"/>
    <s v="2025_08.xlsx"/>
    <x v="9"/>
    <x v="7"/>
  </r>
  <r>
    <s v="MonthlyTradeStatistics 2025_08.xlsx"/>
    <x v="47"/>
    <n v="5400"/>
    <s v="2025_08.xlsx"/>
    <x v="9"/>
    <x v="7"/>
  </r>
  <r>
    <s v="MonthlyTradeStatistics 2025_08.xlsx"/>
    <x v="48"/>
    <n v="33.171999999999997"/>
    <s v="2025_08.xlsx"/>
    <x v="9"/>
    <x v="7"/>
  </r>
  <r>
    <s v="MonthlyTradeStatistics 2025_08.xlsx"/>
    <x v="49"/>
    <n v="16827.333299999998"/>
    <s v="2025_08.xlsx"/>
    <x v="9"/>
    <x v="7"/>
  </r>
  <r>
    <s v="MonthlyTradeStatistics 2025_08.xlsx"/>
    <x v="50"/>
    <n v="20164.660400000001"/>
    <s v="2025_08.xlsx"/>
    <x v="9"/>
    <x v="7"/>
  </r>
  <r>
    <s v="MonthlyTradeStatistics 2025_08.xlsx"/>
    <x v="51"/>
    <n v="4796.0833000000002"/>
    <s v="2025_08.xlsx"/>
    <x v="9"/>
    <x v="7"/>
  </r>
  <r>
    <s v="MonthlyTradeStatistics 2025_08.xlsx"/>
    <x v="52"/>
    <n v="2863.3332999999998"/>
    <s v="2025_08.xlsx"/>
    <x v="9"/>
    <x v="7"/>
  </r>
  <r>
    <s v="MonthlyTradeStatistics 2025_08.xlsx"/>
    <x v="53"/>
    <n v="29.99"/>
    <s v="2025_08.xlsx"/>
    <x v="9"/>
    <x v="7"/>
  </r>
  <r>
    <s v="MonthlyTradeStatistics 2025_08.xlsx"/>
    <x v="54"/>
    <n v="855441"/>
    <s v="2025_08.xlsx"/>
    <x v="9"/>
    <x v="7"/>
  </r>
  <r>
    <s v="MonthlyTradeStatistics 2025_08.xlsx"/>
    <x v="55"/>
    <n v="4800"/>
    <s v="2025_08.xlsx"/>
    <x v="9"/>
    <x v="7"/>
  </r>
  <r>
    <s v="MonthlyTradeStatistics 2025_08.xlsx"/>
    <x v="56"/>
    <n v="1513442.9127"/>
    <s v="2025_08.xlsx"/>
    <x v="9"/>
    <x v="7"/>
  </r>
  <r>
    <s v="MonthlyTradeStatistics 2025_08.xlsx"/>
    <x v="57"/>
    <n v="3699.9956999999999"/>
    <s v="2025_08.xlsx"/>
    <x v="9"/>
    <x v="7"/>
  </r>
  <r>
    <s v="MonthlyTradeStatistics 2025_08.xlsx"/>
    <x v="58"/>
    <n v="8829.35"/>
    <s v="2025_08.xlsx"/>
    <x v="9"/>
    <x v="7"/>
  </r>
  <r>
    <s v="MonthlyTradeStatistics 2025_08.xlsx"/>
    <x v="59"/>
    <n v="1.9800000000000002E-2"/>
    <s v="2025_08.xlsx"/>
    <x v="9"/>
    <x v="7"/>
  </r>
  <r>
    <s v="MonthlyTradeStatistics 2025_09.xlsx"/>
    <x v="0"/>
    <n v="11916224.100400001"/>
    <s v="2025_09.xlsx"/>
    <x v="9"/>
    <x v="8"/>
  </r>
  <r>
    <s v="MonthlyTradeStatistics 2025_09.xlsx"/>
    <x v="1"/>
    <n v="1162494.8476"/>
    <s v="2025_09.xlsx"/>
    <x v="9"/>
    <x v="8"/>
  </r>
  <r>
    <s v="MonthlyTradeStatistics 2025_09.xlsx"/>
    <x v="2"/>
    <n v="1968112.5593000001"/>
    <s v="2025_09.xlsx"/>
    <x v="9"/>
    <x v="8"/>
  </r>
  <r>
    <s v="MonthlyTradeStatistics 2025_09.xlsx"/>
    <x v="3"/>
    <n v="3980844.22"/>
    <s v="2025_09.xlsx"/>
    <x v="9"/>
    <x v="8"/>
  </r>
  <r>
    <s v="MonthlyTradeStatistics 2025_09.xlsx"/>
    <x v="4"/>
    <n v="4804772.4735000003"/>
    <s v="2025_09.xlsx"/>
    <x v="9"/>
    <x v="8"/>
  </r>
  <r>
    <s v="MonthlyTradeStatistics 2025_09.xlsx"/>
    <x v="5"/>
    <n v="2250.7833999999998"/>
    <s v="2025_09.xlsx"/>
    <x v="9"/>
    <x v="8"/>
  </r>
  <r>
    <s v="MonthlyTradeStatistics 2025_09.xlsx"/>
    <x v="6"/>
    <n v="4683.6319999999996"/>
    <s v="2025_09.xlsx"/>
    <x v="9"/>
    <x v="8"/>
  </r>
  <r>
    <s v="MonthlyTradeStatistics 2025_09.xlsx"/>
    <x v="7"/>
    <n v="4040788.3796000001"/>
    <s v="2025_09.xlsx"/>
    <x v="9"/>
    <x v="8"/>
  </r>
  <r>
    <s v="MonthlyTradeStatistics 2025_09.xlsx"/>
    <x v="8"/>
    <n v="29000"/>
    <s v="2025_09.xlsx"/>
    <x v="9"/>
    <x v="8"/>
  </r>
  <r>
    <s v="MonthlyTradeStatistics 2025_09.xlsx"/>
    <x v="9"/>
    <n v="8655.0300000000007"/>
    <s v="2025_09.xlsx"/>
    <x v="9"/>
    <x v="8"/>
  </r>
  <r>
    <s v="MonthlyTradeStatistics 2025_09.xlsx"/>
    <x v="10"/>
    <n v="640"/>
    <s v="2025_09.xlsx"/>
    <x v="9"/>
    <x v="8"/>
  </r>
  <r>
    <s v="MonthlyTradeStatistics 2025_09.xlsx"/>
    <x v="11"/>
    <n v="1086609.8515000001"/>
    <s v="2025_09.xlsx"/>
    <x v="9"/>
    <x v="8"/>
  </r>
  <r>
    <s v="MonthlyTradeStatistics 2025_09.xlsx"/>
    <x v="13"/>
    <n v="90965.872900000002"/>
    <s v="2025_09.xlsx"/>
    <x v="9"/>
    <x v="8"/>
  </r>
  <r>
    <s v="MonthlyTradeStatistics 2025_09.xlsx"/>
    <x v="14"/>
    <n v="49233.900900000001"/>
    <s v="2025_09.xlsx"/>
    <x v="9"/>
    <x v="8"/>
  </r>
  <r>
    <s v="MonthlyTradeStatistics 2025_09.xlsx"/>
    <x v="15"/>
    <n v="499.9957"/>
    <s v="2025_09.xlsx"/>
    <x v="9"/>
    <x v="8"/>
  </r>
  <r>
    <s v="MonthlyTradeStatistics 2025_09.xlsx"/>
    <x v="16"/>
    <n v="16200"/>
    <s v="2025_09.xlsx"/>
    <x v="9"/>
    <x v="8"/>
  </r>
  <r>
    <s v="MonthlyTradeStatistics 2025_09.xlsx"/>
    <x v="17"/>
    <n v="2115.6579999999999"/>
    <s v="2025_09.xlsx"/>
    <x v="9"/>
    <x v="8"/>
  </r>
  <r>
    <s v="MonthlyTradeStatistics 2025_09.xlsx"/>
    <x v="18"/>
    <n v="52657.504399999998"/>
    <s v="2025_09.xlsx"/>
    <x v="9"/>
    <x v="8"/>
  </r>
  <r>
    <s v="MonthlyTradeStatistics 2025_09.xlsx"/>
    <x v="19"/>
    <n v="16922.374400000001"/>
    <s v="2025_09.xlsx"/>
    <x v="9"/>
    <x v="8"/>
  </r>
  <r>
    <s v="MonthlyTradeStatistics 2025_09.xlsx"/>
    <x v="21"/>
    <n v="440000"/>
    <s v="2025_09.xlsx"/>
    <x v="9"/>
    <x v="8"/>
  </r>
  <r>
    <s v="MonthlyTradeStatistics 2025_09.xlsx"/>
    <x v="23"/>
    <n v="199.53729999999999"/>
    <s v="2025_09.xlsx"/>
    <x v="9"/>
    <x v="8"/>
  </r>
  <r>
    <s v="MonthlyTradeStatistics 2025_09.xlsx"/>
    <x v="24"/>
    <n v="63047.825900000003"/>
    <s v="2025_09.xlsx"/>
    <x v="9"/>
    <x v="8"/>
  </r>
  <r>
    <s v="MonthlyTradeStatistics 2025_09.xlsx"/>
    <x v="25"/>
    <n v="574.38850000000002"/>
    <s v="2025_09.xlsx"/>
    <x v="9"/>
    <x v="8"/>
  </r>
  <r>
    <s v="MonthlyTradeStatistics 2025_09.xlsx"/>
    <x v="26"/>
    <n v="1.9800000000000002E-2"/>
    <s v="2025_09.xlsx"/>
    <x v="9"/>
    <x v="8"/>
  </r>
  <r>
    <s v="MonthlyTradeStatistics 2025_09.xlsx"/>
    <x v="27"/>
    <n v="40"/>
    <s v="2025_09.xlsx"/>
    <x v="9"/>
    <x v="8"/>
  </r>
  <r>
    <s v="MonthlyTradeStatistics 2025_09.xlsx"/>
    <x v="28"/>
    <n v="167322.17000000001"/>
    <s v="2025_09.xlsx"/>
    <x v="9"/>
    <x v="8"/>
  </r>
  <r>
    <s v="MonthlyTradeStatistics 2025_09.xlsx"/>
    <x v="29"/>
    <n v="544202.90709999995"/>
    <s v="2025_09.xlsx"/>
    <x v="9"/>
    <x v="8"/>
  </r>
  <r>
    <s v="MonthlyTradeStatistics 2025_09.xlsx"/>
    <x v="30"/>
    <n v="1177686.3628"/>
    <s v="2025_09.xlsx"/>
    <x v="9"/>
    <x v="8"/>
  </r>
  <r>
    <s v="MonthlyTradeStatistics 2025_09.xlsx"/>
    <x v="31"/>
    <n v="978.17330000000004"/>
    <s v="2025_09.xlsx"/>
    <x v="9"/>
    <x v="8"/>
  </r>
  <r>
    <s v="MonthlyTradeStatistics 2025_09.xlsx"/>
    <x v="32"/>
    <n v="57785.000099999997"/>
    <s v="2025_09.xlsx"/>
    <x v="9"/>
    <x v="8"/>
  </r>
  <r>
    <s v="MonthlyTradeStatistics 2025_09.xlsx"/>
    <x v="33"/>
    <n v="54000.0026"/>
    <s v="2025_09.xlsx"/>
    <x v="9"/>
    <x v="8"/>
  </r>
  <r>
    <s v="MonthlyTradeStatistics 2025_09.xlsx"/>
    <x v="35"/>
    <n v="4617.2030999999997"/>
    <s v="2025_09.xlsx"/>
    <x v="9"/>
    <x v="8"/>
  </r>
  <r>
    <s v="MonthlyTradeStatistics 2025_09.xlsx"/>
    <x v="36"/>
    <n v="730.00260000000003"/>
    <s v="2025_09.xlsx"/>
    <x v="9"/>
    <x v="8"/>
  </r>
  <r>
    <s v="MonthlyTradeStatistics 2025_09.xlsx"/>
    <x v="37"/>
    <n v="212300.00260000001"/>
    <s v="2025_09.xlsx"/>
    <x v="9"/>
    <x v="8"/>
  </r>
  <r>
    <s v="MonthlyTradeStatistics 2025_09.xlsx"/>
    <x v="38"/>
    <n v="68.900000000000006"/>
    <s v="2025_09.xlsx"/>
    <x v="9"/>
    <x v="8"/>
  </r>
  <r>
    <s v="MonthlyTradeStatistics 2025_09.xlsx"/>
    <x v="39"/>
    <n v="95674.424899999998"/>
    <s v="2025_09.xlsx"/>
    <x v="9"/>
    <x v="8"/>
  </r>
  <r>
    <s v="MonthlyTradeStatistics 2025_09.xlsx"/>
    <x v="41"/>
    <n v="2303.665"/>
    <s v="2025_09.xlsx"/>
    <x v="9"/>
    <x v="8"/>
  </r>
  <r>
    <s v="MonthlyTradeStatistics 2025_09.xlsx"/>
    <x v="42"/>
    <n v="77815.039999999994"/>
    <s v="2025_09.xlsx"/>
    <x v="9"/>
    <x v="8"/>
  </r>
  <r>
    <s v="MonthlyTradeStatistics 2025_09.xlsx"/>
    <x v="43"/>
    <n v="3.2153"/>
    <s v="2025_09.xlsx"/>
    <x v="9"/>
    <x v="8"/>
  </r>
  <r>
    <s v="MonthlyTradeStatistics 2025_09.xlsx"/>
    <x v="44"/>
    <n v="752085.93350000004"/>
    <s v="2025_09.xlsx"/>
    <x v="9"/>
    <x v="8"/>
  </r>
  <r>
    <s v="MonthlyTradeStatistics 2025_09.xlsx"/>
    <x v="45"/>
    <n v="426.25799999999998"/>
    <s v="2025_09.xlsx"/>
    <x v="9"/>
    <x v="8"/>
  </r>
  <r>
    <s v="MonthlyTradeStatistics 2025_09.xlsx"/>
    <x v="46"/>
    <n v="22380.799999999999"/>
    <s v="2025_09.xlsx"/>
    <x v="9"/>
    <x v="8"/>
  </r>
  <r>
    <s v="MonthlyTradeStatistics 2025_09.xlsx"/>
    <x v="47"/>
    <n v="4800"/>
    <s v="2025_09.xlsx"/>
    <x v="9"/>
    <x v="8"/>
  </r>
  <r>
    <s v="MonthlyTradeStatistics 2025_09.xlsx"/>
    <x v="48"/>
    <n v="198.1087"/>
    <s v="2025_09.xlsx"/>
    <x v="9"/>
    <x v="8"/>
  </r>
  <r>
    <s v="MonthlyTradeStatistics 2025_09.xlsx"/>
    <x v="49"/>
    <n v="28199.991999999998"/>
    <s v="2025_09.xlsx"/>
    <x v="9"/>
    <x v="8"/>
  </r>
  <r>
    <s v="MonthlyTradeStatistics 2025_09.xlsx"/>
    <x v="50"/>
    <n v="24137.1849"/>
    <s v="2025_09.xlsx"/>
    <x v="9"/>
    <x v="8"/>
  </r>
  <r>
    <s v="MonthlyTradeStatistics 2025_09.xlsx"/>
    <x v="51"/>
    <n v="23654.272700000001"/>
    <s v="2025_09.xlsx"/>
    <x v="9"/>
    <x v="8"/>
  </r>
  <r>
    <s v="MonthlyTradeStatistics 2025_09.xlsx"/>
    <x v="52"/>
    <n v="1344.0365999999999"/>
    <s v="2025_09.xlsx"/>
    <x v="9"/>
    <x v="8"/>
  </r>
  <r>
    <s v="MonthlyTradeStatistics 2025_09.xlsx"/>
    <x v="53"/>
    <n v="80.004000000000005"/>
    <s v="2025_09.xlsx"/>
    <x v="9"/>
    <x v="8"/>
  </r>
  <r>
    <s v="MonthlyTradeStatistics 2025_09.xlsx"/>
    <x v="54"/>
    <n v="844949"/>
    <s v="2025_09.xlsx"/>
    <x v="9"/>
    <x v="8"/>
  </r>
  <r>
    <s v="MonthlyTradeStatistics 2025_09.xlsx"/>
    <x v="55"/>
    <n v="5000"/>
    <s v="2025_09.xlsx"/>
    <x v="9"/>
    <x v="8"/>
  </r>
  <r>
    <s v="MonthlyTradeStatistics 2025_09.xlsx"/>
    <x v="56"/>
    <n v="1895689.456"/>
    <s v="2025_09.xlsx"/>
    <x v="9"/>
    <x v="8"/>
  </r>
  <r>
    <s v="MonthlyTradeStatistics 2025_09.xlsx"/>
    <x v="57"/>
    <n v="3899.9956999999999"/>
    <s v="2025_09.xlsx"/>
    <x v="9"/>
    <x v="8"/>
  </r>
  <r>
    <s v="MonthlyTradeStatistics 2025_09.xlsx"/>
    <x v="58"/>
    <n v="8807.2167000000009"/>
    <s v="2025_09.xlsx"/>
    <x v="9"/>
    <x v="8"/>
  </r>
  <r>
    <s v="MonthlyTradeStatistics 2025_09.xlsx"/>
    <x v="59"/>
    <n v="1.7899999999999999E-2"/>
    <s v="2025_09.xlsx"/>
    <x v="9"/>
    <x v="8"/>
  </r>
  <r>
    <s v="MonthlyTradeStatistics 2025_10.xlsx"/>
    <x v="0"/>
    <n v="11108134.1621"/>
    <s v="2025_10.xlsx"/>
    <x v="9"/>
    <x v="9"/>
  </r>
  <r>
    <s v="MonthlyTradeStatistics 2025_10.xlsx"/>
    <x v="1"/>
    <n v="1191575.1258"/>
    <s v="2025_10.xlsx"/>
    <x v="9"/>
    <x v="9"/>
  </r>
  <r>
    <s v="MonthlyTradeStatistics 2025_10.xlsx"/>
    <x v="2"/>
    <n v="1637079.2475000001"/>
    <s v="2025_10.xlsx"/>
    <x v="9"/>
    <x v="9"/>
  </r>
  <r>
    <s v="MonthlyTradeStatistics 2025_10.xlsx"/>
    <x v="3"/>
    <n v="4490772.4551999997"/>
    <s v="2025_10.xlsx"/>
    <x v="9"/>
    <x v="9"/>
  </r>
  <r>
    <s v="MonthlyTradeStatistics 2025_10.xlsx"/>
    <x v="4"/>
    <n v="3788707.3336"/>
    <s v="2025_10.xlsx"/>
    <x v="9"/>
    <x v="9"/>
  </r>
  <r>
    <s v="MonthlyTradeStatistics 2025_10.xlsx"/>
    <x v="5"/>
    <n v="5621.6665999999996"/>
    <s v="2025_10.xlsx"/>
    <x v="9"/>
    <x v="9"/>
  </r>
  <r>
    <s v="MonthlyTradeStatistics 2025_10.xlsx"/>
    <x v="6"/>
    <n v="4275.42"/>
    <s v="2025_10.xlsx"/>
    <x v="9"/>
    <x v="9"/>
  </r>
  <r>
    <s v="MonthlyTradeStatistics 2025_10.xlsx"/>
    <x v="7"/>
    <n v="4261080.5694000004"/>
    <s v="2025_10.xlsx"/>
    <x v="9"/>
    <x v="9"/>
  </r>
  <r>
    <s v="MonthlyTradeStatistics 2025_10.xlsx"/>
    <x v="8"/>
    <n v="14000"/>
    <s v="2025_10.xlsx"/>
    <x v="9"/>
    <x v="9"/>
  </r>
  <r>
    <s v="MonthlyTradeStatistics 2025_10.xlsx"/>
    <x v="9"/>
    <n v="13655.42"/>
    <s v="2025_10.xlsx"/>
    <x v="9"/>
    <x v="9"/>
  </r>
  <r>
    <s v="MonthlyTradeStatistics 2025_10.xlsx"/>
    <x v="10"/>
    <n v="1400"/>
    <s v="2025_10.xlsx"/>
    <x v="9"/>
    <x v="9"/>
  </r>
  <r>
    <s v="MonthlyTradeStatistics 2025_10.xlsx"/>
    <x v="11"/>
    <n v="1065409.3256999999"/>
    <s v="2025_10.xlsx"/>
    <x v="9"/>
    <x v="9"/>
  </r>
  <r>
    <s v="MonthlyTradeStatistics 2025_10.xlsx"/>
    <x v="13"/>
    <n v="30014.915799999999"/>
    <s v="2025_10.xlsx"/>
    <x v="9"/>
    <x v="9"/>
  </r>
  <r>
    <s v="MonthlyTradeStatistics 2025_10.xlsx"/>
    <x v="14"/>
    <n v="57586.052000000003"/>
    <s v="2025_10.xlsx"/>
    <x v="9"/>
    <x v="9"/>
  </r>
  <r>
    <s v="MonthlyTradeStatistics 2025_10.xlsx"/>
    <x v="15"/>
    <n v="1099.9917"/>
    <s v="2025_10.xlsx"/>
    <x v="9"/>
    <x v="9"/>
  </r>
  <r>
    <s v="MonthlyTradeStatistics 2025_10.xlsx"/>
    <x v="16"/>
    <n v="12600"/>
    <s v="2025_10.xlsx"/>
    <x v="9"/>
    <x v="9"/>
  </r>
  <r>
    <s v="MonthlyTradeStatistics 2025_10.xlsx"/>
    <x v="17"/>
    <n v="15465.3333"/>
    <s v="2025_10.xlsx"/>
    <x v="9"/>
    <x v="9"/>
  </r>
  <r>
    <s v="MonthlyTradeStatistics 2025_10.xlsx"/>
    <x v="18"/>
    <n v="34190.408000000003"/>
    <s v="2025_10.xlsx"/>
    <x v="9"/>
    <x v="9"/>
  </r>
  <r>
    <s v="MonthlyTradeStatistics 2025_10.xlsx"/>
    <x v="19"/>
    <n v="5500.0006999999996"/>
    <s v="2025_10.xlsx"/>
    <x v="9"/>
    <x v="9"/>
  </r>
  <r>
    <s v="MonthlyTradeStatistics 2025_10.xlsx"/>
    <x v="21"/>
    <n v="620000"/>
    <s v="2025_10.xlsx"/>
    <x v="9"/>
    <x v="9"/>
  </r>
  <r>
    <s v="MonthlyTradeStatistics 2025_10.xlsx"/>
    <x v="23"/>
    <n v="847.08879999999999"/>
    <s v="2025_10.xlsx"/>
    <x v="9"/>
    <x v="9"/>
  </r>
  <r>
    <s v="MonthlyTradeStatistics 2025_10.xlsx"/>
    <x v="24"/>
    <n v="34414.128400000001"/>
    <s v="2025_10.xlsx"/>
    <x v="9"/>
    <x v="9"/>
  </r>
  <r>
    <s v="MonthlyTradeStatistics 2025_10.xlsx"/>
    <x v="25"/>
    <n v="1662.9295"/>
    <s v="2025_10.xlsx"/>
    <x v="9"/>
    <x v="9"/>
  </r>
  <r>
    <s v="MonthlyTradeStatistics 2025_10.xlsx"/>
    <x v="26"/>
    <n v="5.7148000000000003"/>
    <s v="2025_10.xlsx"/>
    <x v="9"/>
    <x v="9"/>
  </r>
  <r>
    <s v="MonthlyTradeStatistics 2025_10.xlsx"/>
    <x v="27"/>
    <n v="10"/>
    <s v="2025_10.xlsx"/>
    <x v="9"/>
    <x v="9"/>
  </r>
  <r>
    <s v="MonthlyTradeStatistics 2025_10.xlsx"/>
    <x v="28"/>
    <n v="29951.91"/>
    <s v="2025_10.xlsx"/>
    <x v="9"/>
    <x v="9"/>
  </r>
  <r>
    <s v="MonthlyTradeStatistics 2025_10.xlsx"/>
    <x v="29"/>
    <n v="442164.9914"/>
    <s v="2025_10.xlsx"/>
    <x v="9"/>
    <x v="9"/>
  </r>
  <r>
    <s v="MonthlyTradeStatistics 2025_10.xlsx"/>
    <x v="30"/>
    <n v="1199000.0120000001"/>
    <s v="2025_10.xlsx"/>
    <x v="9"/>
    <x v="9"/>
  </r>
  <r>
    <s v="MonthlyTradeStatistics 2025_10.xlsx"/>
    <x v="31"/>
    <n v="1449.1079999999999"/>
    <s v="2025_10.xlsx"/>
    <x v="9"/>
    <x v="9"/>
  </r>
  <r>
    <s v="MonthlyTradeStatistics 2025_10.xlsx"/>
    <x v="32"/>
    <n v="44785.000099999997"/>
    <s v="2025_10.xlsx"/>
    <x v="9"/>
    <x v="9"/>
  </r>
  <r>
    <s v="MonthlyTradeStatistics 2025_10.xlsx"/>
    <x v="33"/>
    <n v="61999.9954"/>
    <s v="2025_10.xlsx"/>
    <x v="9"/>
    <x v="9"/>
  </r>
  <r>
    <s v="MonthlyTradeStatistics 2025_10.xlsx"/>
    <x v="35"/>
    <n v="3904.5745999999999"/>
    <s v="2025_10.xlsx"/>
    <x v="9"/>
    <x v="9"/>
  </r>
  <r>
    <s v="MonthlyTradeStatistics 2025_10.xlsx"/>
    <x v="36"/>
    <n v="509.995"/>
    <s v="2025_10.xlsx"/>
    <x v="9"/>
    <x v="9"/>
  </r>
  <r>
    <s v="MonthlyTradeStatistics 2025_10.xlsx"/>
    <x v="37"/>
    <n v="159007.73480000001"/>
    <s v="2025_10.xlsx"/>
    <x v="9"/>
    <x v="9"/>
  </r>
  <r>
    <s v="MonthlyTradeStatistics 2025_10.xlsx"/>
    <x v="38"/>
    <n v="16.647500000000001"/>
    <s v="2025_10.xlsx"/>
    <x v="9"/>
    <x v="9"/>
  </r>
  <r>
    <s v="MonthlyTradeStatistics 2025_10.xlsx"/>
    <x v="39"/>
    <n v="56514.257299999997"/>
    <s v="2025_10.xlsx"/>
    <x v="9"/>
    <x v="9"/>
  </r>
  <r>
    <s v="MonthlyTradeStatistics 2025_10.xlsx"/>
    <x v="41"/>
    <n v="1947.49"/>
    <s v="2025_10.xlsx"/>
    <x v="9"/>
    <x v="9"/>
  </r>
  <r>
    <s v="MonthlyTradeStatistics 2025_10.xlsx"/>
    <x v="42"/>
    <n v="95852.917600000001"/>
    <s v="2025_10.xlsx"/>
    <x v="9"/>
    <x v="9"/>
  </r>
  <r>
    <s v="MonthlyTradeStatistics 2025_10.xlsx"/>
    <x v="43"/>
    <n v="1.6941999999999999"/>
    <s v="2025_10.xlsx"/>
    <x v="9"/>
    <x v="9"/>
  </r>
  <r>
    <s v="MonthlyTradeStatistics 2025_10.xlsx"/>
    <x v="44"/>
    <n v="659372.34840000002"/>
    <s v="2025_10.xlsx"/>
    <x v="9"/>
    <x v="9"/>
  </r>
  <r>
    <s v="MonthlyTradeStatistics 2025_10.xlsx"/>
    <x v="45"/>
    <n v="439.2627"/>
    <s v="2025_10.xlsx"/>
    <x v="9"/>
    <x v="9"/>
  </r>
  <r>
    <s v="MonthlyTradeStatistics 2025_10.xlsx"/>
    <x v="46"/>
    <n v="24380.799999999999"/>
    <s v="2025_10.xlsx"/>
    <x v="9"/>
    <x v="9"/>
  </r>
  <r>
    <s v="MonthlyTradeStatistics 2025_10.xlsx"/>
    <x v="47"/>
    <n v="1500"/>
    <s v="2025_10.xlsx"/>
    <x v="9"/>
    <x v="9"/>
  </r>
  <r>
    <s v="MonthlyTradeStatistics 2025_10.xlsx"/>
    <x v="48"/>
    <n v="181.40960000000001"/>
    <s v="2025_10.xlsx"/>
    <x v="9"/>
    <x v="9"/>
  </r>
  <r>
    <s v="MonthlyTradeStatistics 2025_10.xlsx"/>
    <x v="49"/>
    <n v="111761.60000000001"/>
    <s v="2025_10.xlsx"/>
    <x v="9"/>
    <x v="9"/>
  </r>
  <r>
    <s v="MonthlyTradeStatistics 2025_10.xlsx"/>
    <x v="50"/>
    <n v="18045.192800000001"/>
    <s v="2025_10.xlsx"/>
    <x v="9"/>
    <x v="9"/>
  </r>
  <r>
    <s v="MonthlyTradeStatistics 2025_10.xlsx"/>
    <x v="51"/>
    <n v="14512.4782"/>
    <s v="2025_10.xlsx"/>
    <x v="9"/>
    <x v="9"/>
  </r>
  <r>
    <s v="MonthlyTradeStatistics 2025_10.xlsx"/>
    <x v="52"/>
    <n v="3400"/>
    <s v="2025_10.xlsx"/>
    <x v="9"/>
    <x v="9"/>
  </r>
  <r>
    <s v="MonthlyTradeStatistics 2025_10.xlsx"/>
    <x v="53"/>
    <n v="69.994"/>
    <s v="2025_10.xlsx"/>
    <x v="9"/>
    <x v="9"/>
  </r>
  <r>
    <s v="MonthlyTradeStatistics 2025_10.xlsx"/>
    <x v="54"/>
    <n v="687211.52000000002"/>
    <s v="2025_10.xlsx"/>
    <x v="9"/>
    <x v="9"/>
  </r>
  <r>
    <s v="MonthlyTradeStatistics 2025_10.xlsx"/>
    <x v="55"/>
    <n v="14000"/>
    <s v="2025_10.xlsx"/>
    <x v="9"/>
    <x v="9"/>
  </r>
  <r>
    <s v="MonthlyTradeStatistics 2025_10.xlsx"/>
    <x v="56"/>
    <n v="1287378.1414999999"/>
    <s v="2025_10.xlsx"/>
    <x v="9"/>
    <x v="9"/>
  </r>
  <r>
    <s v="MonthlyTradeStatistics 2025_10.xlsx"/>
    <x v="57"/>
    <n v="4600.0033000000003"/>
    <s v="2025_10.xlsx"/>
    <x v="9"/>
    <x v="9"/>
  </r>
  <r>
    <s v="MonthlyTradeStatistics 2025_10.xlsx"/>
    <x v="58"/>
    <n v="5336"/>
    <s v="2025_10.xlsx"/>
    <x v="9"/>
    <x v="9"/>
  </r>
  <r>
    <s v="MonthlyTradeStatistics 2025_10.xlsx"/>
    <x v="59"/>
    <n v="0.11899999999999999"/>
    <s v="2025_10.xlsx"/>
    <x v="9"/>
    <x v="9"/>
  </r>
  <r>
    <s v="MonthlyTradeStatistics 2025_11.xlsx"/>
    <x v="0"/>
    <n v="10749261.8936"/>
    <s v="2025_11.xlsx"/>
    <x v="9"/>
    <x v="10"/>
  </r>
  <r>
    <s v="MonthlyTradeStatistics 2025_11.xlsx"/>
    <x v="1"/>
    <n v="1317559.3115999999"/>
    <s v="2025_11.xlsx"/>
    <x v="9"/>
    <x v="10"/>
  </r>
  <r>
    <s v="MonthlyTradeStatistics 2025_11.xlsx"/>
    <x v="2"/>
    <n v="1497979.5449999999"/>
    <s v="2025_11.xlsx"/>
    <x v="9"/>
    <x v="10"/>
  </r>
  <r>
    <s v="MonthlyTradeStatistics 2025_11.xlsx"/>
    <x v="3"/>
    <n v="3979124.6987000001"/>
    <s v="2025_11.xlsx"/>
    <x v="9"/>
    <x v="10"/>
  </r>
  <r>
    <s v="MonthlyTradeStatistics 2025_11.xlsx"/>
    <x v="4"/>
    <n v="3954598.3382999999"/>
    <s v="2025_11.xlsx"/>
    <x v="9"/>
    <x v="10"/>
  </r>
  <r>
    <s v="MonthlyTradeStatistics 2025_11.xlsx"/>
    <x v="5"/>
    <n v="2565.8712999999998"/>
    <s v="2025_11.xlsx"/>
    <x v="9"/>
    <x v="10"/>
  </r>
  <r>
    <s v="MonthlyTradeStatistics 2025_11.xlsx"/>
    <x v="6"/>
    <n v="5675.31"/>
    <s v="2025_11.xlsx"/>
    <x v="9"/>
    <x v="10"/>
  </r>
  <r>
    <s v="MonthlyTradeStatistics 2025_11.xlsx"/>
    <x v="7"/>
    <n v="3650503.9964000001"/>
    <s v="2025_11.xlsx"/>
    <x v="9"/>
    <x v="10"/>
  </r>
  <r>
    <s v="MonthlyTradeStatistics 2025_11.xlsx"/>
    <x v="8"/>
    <n v="12000"/>
    <s v="2025_11.xlsx"/>
    <x v="9"/>
    <x v="10"/>
  </r>
  <r>
    <s v="MonthlyTradeStatistics 2025_11.xlsx"/>
    <x v="9"/>
    <n v="13053.47"/>
    <s v="2025_11.xlsx"/>
    <x v="9"/>
    <x v="10"/>
  </r>
  <r>
    <s v="MonthlyTradeStatistics 2025_11.xlsx"/>
    <x v="10"/>
    <n v="640"/>
    <s v="2025_11.xlsx"/>
    <x v="9"/>
    <x v="10"/>
  </r>
  <r>
    <s v="MonthlyTradeStatistics 2025_11.xlsx"/>
    <x v="11"/>
    <n v="1227217.3115000001"/>
    <s v="2025_11.xlsx"/>
    <x v="9"/>
    <x v="10"/>
  </r>
  <r>
    <s v="MonthlyTradeStatistics 2025_11.xlsx"/>
    <x v="13"/>
    <n v="25452.228500000001"/>
    <s v="2025_11.xlsx"/>
    <x v="9"/>
    <x v="10"/>
  </r>
  <r>
    <s v="MonthlyTradeStatistics 2025_11.xlsx"/>
    <x v="14"/>
    <n v="44286.000599999999"/>
    <s v="2025_11.xlsx"/>
    <x v="9"/>
    <x v="10"/>
  </r>
  <r>
    <s v="MonthlyTradeStatistics 2025_11.xlsx"/>
    <x v="15"/>
    <n v="2299.991"/>
    <s v="2025_11.xlsx"/>
    <x v="9"/>
    <x v="10"/>
  </r>
  <r>
    <s v="MonthlyTradeStatistics 2025_11.xlsx"/>
    <x v="16"/>
    <n v="14000"/>
    <s v="2025_11.xlsx"/>
    <x v="9"/>
    <x v="10"/>
  </r>
  <r>
    <s v="MonthlyTradeStatistics 2025_11.xlsx"/>
    <x v="17"/>
    <n v="16599.7857"/>
    <s v="2025_11.xlsx"/>
    <x v="9"/>
    <x v="10"/>
  </r>
  <r>
    <s v="MonthlyTradeStatistics 2025_11.xlsx"/>
    <x v="18"/>
    <n v="61998.866000000002"/>
    <s v="2025_11.xlsx"/>
    <x v="9"/>
    <x v="10"/>
  </r>
  <r>
    <s v="MonthlyTradeStatistics 2025_11.xlsx"/>
    <x v="19"/>
    <n v="6400.0047000000004"/>
    <s v="2025_11.xlsx"/>
    <x v="9"/>
    <x v="10"/>
  </r>
  <r>
    <s v="MonthlyTradeStatistics 2025_11.xlsx"/>
    <x v="21"/>
    <n v="460000"/>
    <s v="2025_11.xlsx"/>
    <x v="9"/>
    <x v="10"/>
  </r>
  <r>
    <s v="MonthlyTradeStatistics 2025_11.xlsx"/>
    <x v="23"/>
    <n v="1551.1014"/>
    <s v="2025_11.xlsx"/>
    <x v="9"/>
    <x v="10"/>
  </r>
  <r>
    <s v="MonthlyTradeStatistics 2025_11.xlsx"/>
    <x v="24"/>
    <n v="35530.950400000002"/>
    <s v="2025_11.xlsx"/>
    <x v="9"/>
    <x v="10"/>
  </r>
  <r>
    <s v="MonthlyTradeStatistics 2025_11.xlsx"/>
    <x v="25"/>
    <n v="471.08330000000001"/>
    <s v="2025_11.xlsx"/>
    <x v="9"/>
    <x v="10"/>
  </r>
  <r>
    <s v="MonthlyTradeStatistics 2025_11.xlsx"/>
    <x v="26"/>
    <n v="78.623999999999995"/>
    <s v="2025_11.xlsx"/>
    <x v="9"/>
    <x v="10"/>
  </r>
  <r>
    <s v="MonthlyTradeStatistics 2025_11.xlsx"/>
    <x v="27"/>
    <n v="70"/>
    <s v="2025_11.xlsx"/>
    <x v="9"/>
    <x v="10"/>
  </r>
  <r>
    <s v="MonthlyTradeStatistics 2025_11.xlsx"/>
    <x v="28"/>
    <n v="60223.7"/>
    <s v="2025_11.xlsx"/>
    <x v="9"/>
    <x v="10"/>
  </r>
  <r>
    <s v="MonthlyTradeStatistics 2025_11.xlsx"/>
    <x v="29"/>
    <n v="459350.91340000002"/>
    <s v="2025_11.xlsx"/>
    <x v="9"/>
    <x v="10"/>
  </r>
  <r>
    <s v="MonthlyTradeStatistics 2025_11.xlsx"/>
    <x v="30"/>
    <n v="1073999.996"/>
    <s v="2025_11.xlsx"/>
    <x v="9"/>
    <x v="10"/>
  </r>
  <r>
    <s v="MonthlyTradeStatistics 2025_11.xlsx"/>
    <x v="31"/>
    <n v="470.91230000000002"/>
    <s v="2025_11.xlsx"/>
    <x v="9"/>
    <x v="10"/>
  </r>
  <r>
    <s v="MonthlyTradeStatistics 2025_11.xlsx"/>
    <x v="32"/>
    <n v="41094.000099999997"/>
    <s v="2025_11.xlsx"/>
    <x v="9"/>
    <x v="10"/>
  </r>
  <r>
    <s v="MonthlyTradeStatistics 2025_11.xlsx"/>
    <x v="33"/>
    <n v="71999.9954"/>
    <s v="2025_11.xlsx"/>
    <x v="9"/>
    <x v="10"/>
  </r>
  <r>
    <s v="MonthlyTradeStatistics 2025_11.xlsx"/>
    <x v="35"/>
    <n v="299.87799999999999"/>
    <s v="2025_11.xlsx"/>
    <x v="9"/>
    <x v="10"/>
  </r>
  <r>
    <s v="MonthlyTradeStatistics 2025_11.xlsx"/>
    <x v="36"/>
    <n v="640"/>
    <s v="2025_11.xlsx"/>
    <x v="9"/>
    <x v="10"/>
  </r>
  <r>
    <s v="MonthlyTradeStatistics 2025_11.xlsx"/>
    <x v="37"/>
    <n v="148876.91399999999"/>
    <s v="2025_11.xlsx"/>
    <x v="9"/>
    <x v="10"/>
  </r>
  <r>
    <s v="MonthlyTradeStatistics 2025_11.xlsx"/>
    <x v="38"/>
    <n v="56.583300000000001"/>
    <s v="2025_11.xlsx"/>
    <x v="9"/>
    <x v="10"/>
  </r>
  <r>
    <s v="MonthlyTradeStatistics 2025_11.xlsx"/>
    <x v="39"/>
    <n v="62652.201300000001"/>
    <s v="2025_11.xlsx"/>
    <x v="9"/>
    <x v="10"/>
  </r>
  <r>
    <s v="MonthlyTradeStatistics 2025_11.xlsx"/>
    <x v="41"/>
    <n v="987.14710000000002"/>
    <s v="2025_11.xlsx"/>
    <x v="9"/>
    <x v="10"/>
  </r>
  <r>
    <s v="MonthlyTradeStatistics 2025_11.xlsx"/>
    <x v="42"/>
    <n v="79635.839999999997"/>
    <s v="2025_11.xlsx"/>
    <x v="9"/>
    <x v="10"/>
  </r>
  <r>
    <s v="MonthlyTradeStatistics 2025_11.xlsx"/>
    <x v="43"/>
    <n v="0.41670000000000001"/>
    <s v="2025_11.xlsx"/>
    <x v="9"/>
    <x v="10"/>
  </r>
  <r>
    <s v="MonthlyTradeStatistics 2025_11.xlsx"/>
    <x v="44"/>
    <n v="530319.75879999995"/>
    <s v="2025_11.xlsx"/>
    <x v="9"/>
    <x v="10"/>
  </r>
  <r>
    <s v="MonthlyTradeStatistics 2025_11.xlsx"/>
    <x v="45"/>
    <n v="294.0127"/>
    <s v="2025_11.xlsx"/>
    <x v="9"/>
    <x v="10"/>
  </r>
  <r>
    <s v="MonthlyTradeStatistics 2025_11.xlsx"/>
    <x v="46"/>
    <n v="26281.599999999999"/>
    <s v="2025_11.xlsx"/>
    <x v="9"/>
    <x v="10"/>
  </r>
  <r>
    <s v="MonthlyTradeStatistics 2025_11.xlsx"/>
    <x v="47"/>
    <n v="3600"/>
    <s v="2025_11.xlsx"/>
    <x v="9"/>
    <x v="10"/>
  </r>
  <r>
    <s v="MonthlyTradeStatistics 2025_11.xlsx"/>
    <x v="48"/>
    <n v="878.77779999999996"/>
    <s v="2025_11.xlsx"/>
    <x v="9"/>
    <x v="10"/>
  </r>
  <r>
    <s v="MonthlyTradeStatistics 2025_11.xlsx"/>
    <x v="49"/>
    <n v="84496"/>
    <s v="2025_11.xlsx"/>
    <x v="9"/>
    <x v="10"/>
  </r>
  <r>
    <s v="MonthlyTradeStatistics 2025_11.xlsx"/>
    <x v="50"/>
    <n v="28788.499400000001"/>
    <s v="2025_11.xlsx"/>
    <x v="9"/>
    <x v="10"/>
  </r>
  <r>
    <s v="MonthlyTradeStatistics 2025_11.xlsx"/>
    <x v="51"/>
    <n v="18081.126700000001"/>
    <s v="2025_11.xlsx"/>
    <x v="9"/>
    <x v="10"/>
  </r>
  <r>
    <s v="MonthlyTradeStatistics 2025_11.xlsx"/>
    <x v="52"/>
    <n v="640"/>
    <s v="2025_11.xlsx"/>
    <x v="9"/>
    <x v="10"/>
  </r>
  <r>
    <s v="MonthlyTradeStatistics 2025_11.xlsx"/>
    <x v="53"/>
    <n v="169.98990000000001"/>
    <s v="2025_11.xlsx"/>
    <x v="9"/>
    <x v="10"/>
  </r>
  <r>
    <s v="MonthlyTradeStatistics 2025_11.xlsx"/>
    <x v="54"/>
    <n v="640328"/>
    <s v="2025_11.xlsx"/>
    <x v="9"/>
    <x v="10"/>
  </r>
  <r>
    <s v="MonthlyTradeStatistics 2025_11.xlsx"/>
    <x v="55"/>
    <n v="1700"/>
    <s v="2025_11.xlsx"/>
    <x v="9"/>
    <x v="10"/>
  </r>
  <r>
    <s v="MonthlyTradeStatistics 2025_11.xlsx"/>
    <x v="56"/>
    <n v="1818208.4325999999"/>
    <s v="2025_11.xlsx"/>
    <x v="9"/>
    <x v="10"/>
  </r>
  <r>
    <s v="MonthlyTradeStatistics 2025_11.xlsx"/>
    <x v="57"/>
    <n v="5800.0033000000003"/>
    <s v="2025_11.xlsx"/>
    <x v="9"/>
    <x v="10"/>
  </r>
  <r>
    <s v="MonthlyTradeStatistics 2025_11.xlsx"/>
    <x v="58"/>
    <n v="8992.6"/>
    <s v="2025_11.xlsx"/>
    <x v="9"/>
    <x v="10"/>
  </r>
  <r>
    <s v="MonthlyTradeStatistics 2025_11.xlsx"/>
    <x v="59"/>
    <n v="0"/>
    <s v="2025_11.xlsx"/>
    <x v="9"/>
    <x v="10"/>
  </r>
  <r>
    <s v="MonthlyTradeStatistics 2025_12.xlsx"/>
    <x v="0"/>
    <n v="11908150.0219"/>
    <s v="2025_12.xlsx"/>
    <x v="9"/>
    <x v="11"/>
  </r>
  <r>
    <s v="MonthlyTradeStatistics 2025_12.xlsx"/>
    <x v="1"/>
    <n v="1180461.5209999999"/>
    <s v="2025_12.xlsx"/>
    <x v="9"/>
    <x v="11"/>
  </r>
  <r>
    <s v="MonthlyTradeStatistics 2025_12.xlsx"/>
    <x v="2"/>
    <n v="1956811.4454999999"/>
    <s v="2025_12.xlsx"/>
    <x v="9"/>
    <x v="11"/>
  </r>
  <r>
    <s v="MonthlyTradeStatistics 2025_12.xlsx"/>
    <x v="3"/>
    <n v="3303523.3683000002"/>
    <s v="2025_12.xlsx"/>
    <x v="9"/>
    <x v="11"/>
  </r>
  <r>
    <s v="MonthlyTradeStatistics 2025_12.xlsx"/>
    <x v="4"/>
    <n v="5467353.6870999997"/>
    <s v="2025_12.xlsx"/>
    <x v="9"/>
    <x v="11"/>
  </r>
  <r>
    <s v="MonthlyTradeStatistics 2025_12.xlsx"/>
    <x v="5"/>
    <n v="1630.6224999999999"/>
    <s v="2025_12.xlsx"/>
    <x v="9"/>
    <x v="11"/>
  </r>
  <r>
    <s v="MonthlyTradeStatistics 2025_12.xlsx"/>
    <x v="6"/>
    <n v="4163.4439000000002"/>
    <s v="2025_12.xlsx"/>
    <x v="9"/>
    <x v="11"/>
  </r>
  <r>
    <s v="MonthlyTradeStatistics 2025_12.xlsx"/>
    <x v="7"/>
    <n v="3169202.7525999998"/>
    <s v="2025_12.xlsx"/>
    <x v="9"/>
    <x v="11"/>
  </r>
  <r>
    <s v="MonthlyTradeStatistics 2025_12.xlsx"/>
    <x v="8"/>
    <n v="13000"/>
    <s v="2025_12.xlsx"/>
    <x v="9"/>
    <x v="11"/>
  </r>
  <r>
    <s v="MonthlyTradeStatistics 2025_12.xlsx"/>
    <x v="9"/>
    <n v="8600"/>
    <s v="2025_12.xlsx"/>
    <x v="9"/>
    <x v="11"/>
  </r>
  <r>
    <s v="MonthlyTradeStatistics 2025_12.xlsx"/>
    <x v="10"/>
    <n v="700"/>
    <s v="2025_12.xlsx"/>
    <x v="9"/>
    <x v="11"/>
  </r>
  <r>
    <s v="MonthlyTradeStatistics 2025_12.xlsx"/>
    <x v="11"/>
    <n v="1064161.5163"/>
    <s v="2025_12.xlsx"/>
    <x v="9"/>
    <x v="11"/>
  </r>
  <r>
    <s v="MonthlyTradeStatistics 2025_12.xlsx"/>
    <x v="13"/>
    <n v="57569.694300000003"/>
    <s v="2025_12.xlsx"/>
    <x v="9"/>
    <x v="11"/>
  </r>
  <r>
    <s v="MonthlyTradeStatistics 2025_12.xlsx"/>
    <x v="14"/>
    <n v="14451.616"/>
    <s v="2025_12.xlsx"/>
    <x v="9"/>
    <x v="11"/>
  </r>
  <r>
    <s v="MonthlyTradeStatistics 2025_12.xlsx"/>
    <x v="15"/>
    <n v="1599.9992999999999"/>
    <s v="2025_12.xlsx"/>
    <x v="9"/>
    <x v="11"/>
  </r>
  <r>
    <s v="MonthlyTradeStatistics 2025_12.xlsx"/>
    <x v="16"/>
    <n v="11000"/>
    <s v="2025_12.xlsx"/>
    <x v="9"/>
    <x v="11"/>
  </r>
  <r>
    <s v="MonthlyTradeStatistics 2025_12.xlsx"/>
    <x v="17"/>
    <n v="11425.361199999999"/>
    <s v="2025_12.xlsx"/>
    <x v="9"/>
    <x v="11"/>
  </r>
  <r>
    <s v="MonthlyTradeStatistics 2025_12.xlsx"/>
    <x v="18"/>
    <n v="44989.284"/>
    <s v="2025_12.xlsx"/>
    <x v="9"/>
    <x v="11"/>
  </r>
  <r>
    <s v="MonthlyTradeStatistics 2025_12.xlsx"/>
    <x v="19"/>
    <n v="15400.017599999999"/>
    <s v="2025_12.xlsx"/>
    <x v="9"/>
    <x v="11"/>
  </r>
  <r>
    <s v="MonthlyTradeStatistics 2025_12.xlsx"/>
    <x v="21"/>
    <n v="430000"/>
    <s v="2025_12.xlsx"/>
    <x v="9"/>
    <x v="11"/>
  </r>
  <r>
    <s v="MonthlyTradeStatistics 2025_12.xlsx"/>
    <x v="23"/>
    <n v="390.31619999999998"/>
    <s v="2025_12.xlsx"/>
    <x v="9"/>
    <x v="11"/>
  </r>
  <r>
    <s v="MonthlyTradeStatistics 2025_12.xlsx"/>
    <x v="24"/>
    <n v="171213.9117"/>
    <s v="2025_12.xlsx"/>
    <x v="9"/>
    <x v="11"/>
  </r>
  <r>
    <s v="MonthlyTradeStatistics 2025_12.xlsx"/>
    <x v="25"/>
    <n v="5416.6666999999998"/>
    <s v="2025_12.xlsx"/>
    <x v="9"/>
    <x v="11"/>
  </r>
  <r>
    <s v="MonthlyTradeStatistics 2025_12.xlsx"/>
    <x v="26"/>
    <n v="57.350700000000003"/>
    <s v="2025_12.xlsx"/>
    <x v="9"/>
    <x v="11"/>
  </r>
  <r>
    <s v="MonthlyTradeStatistics 2025_12.xlsx"/>
    <x v="27"/>
    <n v="70"/>
    <s v="2025_12.xlsx"/>
    <x v="9"/>
    <x v="11"/>
  </r>
  <r>
    <s v="MonthlyTradeStatistics 2025_12.xlsx"/>
    <x v="28"/>
    <n v="271711.75"/>
    <s v="2025_12.xlsx"/>
    <x v="9"/>
    <x v="11"/>
  </r>
  <r>
    <s v="MonthlyTradeStatistics 2025_12.xlsx"/>
    <x v="29"/>
    <n v="557585.96790000005"/>
    <s v="2025_12.xlsx"/>
    <x v="9"/>
    <x v="11"/>
  </r>
  <r>
    <s v="MonthlyTradeStatistics 2025_12.xlsx"/>
    <x v="30"/>
    <n v="1012710.1144"/>
    <s v="2025_12.xlsx"/>
    <x v="9"/>
    <x v="11"/>
  </r>
  <r>
    <s v="MonthlyTradeStatistics 2025_12.xlsx"/>
    <x v="31"/>
    <n v="1712.4893999999999"/>
    <s v="2025_12.xlsx"/>
    <x v="9"/>
    <x v="11"/>
  </r>
  <r>
    <s v="MonthlyTradeStatistics 2025_12.xlsx"/>
    <x v="32"/>
    <n v="50799.998699999996"/>
    <s v="2025_12.xlsx"/>
    <x v="9"/>
    <x v="11"/>
  </r>
  <r>
    <s v="MonthlyTradeStatistics 2025_12.xlsx"/>
    <x v="33"/>
    <n v="83000.002600000007"/>
    <s v="2025_12.xlsx"/>
    <x v="9"/>
    <x v="11"/>
  </r>
  <r>
    <s v="MonthlyTradeStatistics 2025_12.xlsx"/>
    <x v="35"/>
    <n v="2584.2833000000001"/>
    <s v="2025_12.xlsx"/>
    <x v="9"/>
    <x v="11"/>
  </r>
  <r>
    <s v="MonthlyTradeStatistics 2025_12.xlsx"/>
    <x v="36"/>
    <n v="800"/>
    <s v="2025_12.xlsx"/>
    <x v="9"/>
    <x v="11"/>
  </r>
  <r>
    <s v="MonthlyTradeStatistics 2025_12.xlsx"/>
    <x v="37"/>
    <n v="169200.01459999999"/>
    <s v="2025_12.xlsx"/>
    <x v="9"/>
    <x v="11"/>
  </r>
  <r>
    <s v="MonthlyTradeStatistics 2025_12.xlsx"/>
    <x v="38"/>
    <n v="2.8666999999999998"/>
    <s v="2025_12.xlsx"/>
    <x v="9"/>
    <x v="11"/>
  </r>
  <r>
    <s v="MonthlyTradeStatistics 2025_12.xlsx"/>
    <x v="39"/>
    <n v="175597.28880000001"/>
    <s v="2025_12.xlsx"/>
    <x v="9"/>
    <x v="11"/>
  </r>
  <r>
    <s v="MonthlyTradeStatistics 2025_12.xlsx"/>
    <x v="41"/>
    <n v="1485.9485"/>
    <s v="2025_12.xlsx"/>
    <x v="9"/>
    <x v="11"/>
  </r>
  <r>
    <s v="MonthlyTradeStatistics 2025_12.xlsx"/>
    <x v="42"/>
    <n v="59551.34"/>
    <s v="2025_12.xlsx"/>
    <x v="9"/>
    <x v="11"/>
  </r>
  <r>
    <s v="MonthlyTradeStatistics 2025_12.xlsx"/>
    <x v="43"/>
    <n v="0"/>
    <s v="2025_12.xlsx"/>
    <x v="9"/>
    <x v="11"/>
  </r>
  <r>
    <s v="MonthlyTradeStatistics 2025_12.xlsx"/>
    <x v="44"/>
    <n v="393021.66110000003"/>
    <s v="2025_12.xlsx"/>
    <x v="9"/>
    <x v="11"/>
  </r>
  <r>
    <s v="MonthlyTradeStatistics 2025_12.xlsx"/>
    <x v="45"/>
    <n v="498.05029999999999"/>
    <s v="2025_12.xlsx"/>
    <x v="9"/>
    <x v="11"/>
  </r>
  <r>
    <s v="MonthlyTradeStatistics 2025_12.xlsx"/>
    <x v="46"/>
    <n v="27999.993299999998"/>
    <s v="2025_12.xlsx"/>
    <x v="9"/>
    <x v="11"/>
  </r>
  <r>
    <s v="MonthlyTradeStatistics 2025_12.xlsx"/>
    <x v="47"/>
    <n v="3800"/>
    <s v="2025_12.xlsx"/>
    <x v="9"/>
    <x v="11"/>
  </r>
  <r>
    <s v="MonthlyTradeStatistics 2025_12.xlsx"/>
    <x v="48"/>
    <n v="678.58879999999999"/>
    <s v="2025_12.xlsx"/>
    <x v="9"/>
    <x v="11"/>
  </r>
  <r>
    <s v="MonthlyTradeStatistics 2025_12.xlsx"/>
    <x v="49"/>
    <n v="84000.012000000002"/>
    <s v="2025_12.xlsx"/>
    <x v="9"/>
    <x v="11"/>
  </r>
  <r>
    <s v="MonthlyTradeStatistics 2025_12.xlsx"/>
    <x v="50"/>
    <n v="19478.691500000001"/>
    <s v="2025_12.xlsx"/>
    <x v="9"/>
    <x v="11"/>
  </r>
  <r>
    <s v="MonthlyTradeStatistics 2025_12.xlsx"/>
    <x v="51"/>
    <n v="9950.7332999999999"/>
    <s v="2025_12.xlsx"/>
    <x v="9"/>
    <x v="11"/>
  </r>
  <r>
    <s v="MonthlyTradeStatistics 2025_12.xlsx"/>
    <x v="52"/>
    <n v="1500"/>
    <s v="2025_12.xlsx"/>
    <x v="9"/>
    <x v="11"/>
  </r>
  <r>
    <s v="MonthlyTradeStatistics 2025_12.xlsx"/>
    <x v="53"/>
    <n v="130.01589999999999"/>
    <s v="2025_12.xlsx"/>
    <x v="9"/>
    <x v="11"/>
  </r>
  <r>
    <s v="MonthlyTradeStatistics 2025_12.xlsx"/>
    <x v="54"/>
    <n v="502582"/>
    <s v="2025_12.xlsx"/>
    <x v="9"/>
    <x v="11"/>
  </r>
  <r>
    <s v="MonthlyTradeStatistics 2025_12.xlsx"/>
    <x v="55"/>
    <n v="9700"/>
    <s v="2025_12.xlsx"/>
    <x v="9"/>
    <x v="11"/>
  </r>
  <r>
    <s v="MonthlyTradeStatistics 2025_12.xlsx"/>
    <x v="56"/>
    <n v="3429999.9877999998"/>
    <s v="2025_12.xlsx"/>
    <x v="9"/>
    <x v="11"/>
  </r>
  <r>
    <s v="MonthlyTradeStatistics 2025_12.xlsx"/>
    <x v="57"/>
    <n v="4400.0033000000003"/>
    <s v="2025_12.xlsx"/>
    <x v="9"/>
    <x v="11"/>
  </r>
  <r>
    <s v="MonthlyTradeStatistics 2025_12.xlsx"/>
    <x v="58"/>
    <n v="7897.6666999999998"/>
    <s v="2025_12.xlsx"/>
    <x v="9"/>
    <x v="11"/>
  </r>
  <r>
    <s v="MonthlyTradeStatistics 2025_12.xlsx"/>
    <x v="59"/>
    <n v="728"/>
    <s v="2025_12.xlsx"/>
    <x v="9"/>
    <x v="11"/>
  </r>
  <r>
    <s v="MonthlyTradeStatistics 2026_01.xlsx"/>
    <x v="0"/>
    <n v="12409032.4219"/>
    <s v="2026_01.xlsx"/>
    <x v="10"/>
    <x v="0"/>
  </r>
  <r>
    <s v="MonthlyTradeStatistics 2026_01.xlsx"/>
    <x v="1"/>
    <n v="1079468.5144"/>
    <s v="2026_01.xlsx"/>
    <x v="10"/>
    <x v="0"/>
  </r>
  <r>
    <s v="MonthlyTradeStatistics 2026_01.xlsx"/>
    <x v="2"/>
    <n v="2412887.3539999998"/>
    <s v="2026_01.xlsx"/>
    <x v="10"/>
    <x v="0"/>
  </r>
  <r>
    <s v="MonthlyTradeStatistics 2026_01.xlsx"/>
    <x v="3"/>
    <n v="2845855.3094000001"/>
    <s v="2026_01.xlsx"/>
    <x v="10"/>
    <x v="0"/>
  </r>
  <r>
    <s v="MonthlyTradeStatistics 2026_01.xlsx"/>
    <x v="4"/>
    <n v="6070821.2440999998"/>
    <s v="2026_01.xlsx"/>
    <x v="10"/>
    <x v="0"/>
  </r>
  <r>
    <s v="MonthlyTradeStatistics 2026_01.xlsx"/>
    <x v="5"/>
    <n v="4120"/>
    <s v="2026_01.xlsx"/>
    <x v="10"/>
    <x v="0"/>
  </r>
  <r>
    <s v="MonthlyTradeStatistics 2026_01.xlsx"/>
    <x v="6"/>
    <n v="3400"/>
    <s v="2026_01.xlsx"/>
    <x v="10"/>
    <x v="0"/>
  </r>
  <r>
    <s v="MonthlyTradeStatistics 2026_01.xlsx"/>
    <x v="7"/>
    <n v="2808075.7245"/>
    <s v="2026_01.xlsx"/>
    <x v="10"/>
    <x v="0"/>
  </r>
  <r>
    <s v="MonthlyTradeStatistics 2026_01.xlsx"/>
    <x v="8"/>
    <n v="15000"/>
    <s v="2026_01.xlsx"/>
    <x v="10"/>
    <x v="0"/>
  </r>
  <r>
    <s v="MonthlyTradeStatistics 2026_01.xlsx"/>
    <x v="9"/>
    <n v="8200"/>
    <s v="2026_01.xlsx"/>
    <x v="10"/>
    <x v="0"/>
  </r>
  <r>
    <s v="MonthlyTradeStatistics 2026_01.xlsx"/>
    <x v="10"/>
    <n v="1000"/>
    <s v="2026_01.xlsx"/>
    <x v="10"/>
    <x v="0"/>
  </r>
  <r>
    <s v="MonthlyTradeStatistics 2026_01.xlsx"/>
    <x v="11"/>
    <n v="937304.51419999998"/>
    <s v="2026_01.xlsx"/>
    <x v="10"/>
    <x v="0"/>
  </r>
  <r>
    <s v="MonthlyTradeStatistics 2026_01.xlsx"/>
    <x v="13"/>
    <n v="47521.972500000003"/>
    <s v="2026_01.xlsx"/>
    <x v="10"/>
    <x v="0"/>
  </r>
  <r>
    <s v="MonthlyTradeStatistics 2026_01.xlsx"/>
    <x v="14"/>
    <n v="14889.99"/>
    <s v="2026_01.xlsx"/>
    <x v="10"/>
    <x v="0"/>
  </r>
  <r>
    <s v="MonthlyTradeStatistics 2026_01.xlsx"/>
    <x v="15"/>
    <n v="1699.9992999999999"/>
    <s v="2026_01.xlsx"/>
    <x v="10"/>
    <x v="0"/>
  </r>
  <r>
    <s v="MonthlyTradeStatistics 2026_01.xlsx"/>
    <x v="16"/>
    <n v="13000"/>
    <s v="2026_01.xlsx"/>
    <x v="10"/>
    <x v="0"/>
  </r>
  <r>
    <s v="MonthlyTradeStatistics 2026_01.xlsx"/>
    <x v="17"/>
    <n v="2028.7045000000001"/>
    <s v="2026_01.xlsx"/>
    <x v="10"/>
    <x v="0"/>
  </r>
  <r>
    <s v="MonthlyTradeStatistics 2026_01.xlsx"/>
    <x v="18"/>
    <n v="48577.252"/>
    <s v="2026_01.xlsx"/>
    <x v="10"/>
    <x v="0"/>
  </r>
  <r>
    <s v="MonthlyTradeStatistics 2026_01.xlsx"/>
    <x v="19"/>
    <n v="67400.016600000003"/>
    <s v="2026_01.xlsx"/>
    <x v="10"/>
    <x v="0"/>
  </r>
  <r>
    <s v="MonthlyTradeStatistics 2026_01.xlsx"/>
    <x v="21"/>
    <n v="285000"/>
    <s v="2026_01.xlsx"/>
    <x v="10"/>
    <x v="0"/>
  </r>
  <r>
    <s v="MonthlyTradeStatistics 2026_01.xlsx"/>
    <x v="23"/>
    <n v="499.988"/>
    <s v="2026_01.xlsx"/>
    <x v="10"/>
    <x v="0"/>
  </r>
  <r>
    <s v="MonthlyTradeStatistics 2026_01.xlsx"/>
    <x v="24"/>
    <n v="309300.01140000002"/>
    <s v="2026_01.xlsx"/>
    <x v="10"/>
    <x v="0"/>
  </r>
  <r>
    <s v="MonthlyTradeStatistics 2026_01.xlsx"/>
    <x v="25"/>
    <n v="14518.8837"/>
    <s v="2026_01.xlsx"/>
    <x v="10"/>
    <x v="0"/>
  </r>
  <r>
    <s v="MonthlyTradeStatistics 2026_01.xlsx"/>
    <x v="26"/>
    <n v="0"/>
    <s v="2026_01.xlsx"/>
    <x v="10"/>
    <x v="0"/>
  </r>
  <r>
    <s v="MonthlyTradeStatistics 2026_01.xlsx"/>
    <x v="27"/>
    <n v="50"/>
    <s v="2026_01.xlsx"/>
    <x v="10"/>
    <x v="0"/>
  </r>
  <r>
    <s v="MonthlyTradeStatistics 2026_01.xlsx"/>
    <x v="28"/>
    <n v="638298.51"/>
    <s v="2026_01.xlsx"/>
    <x v="10"/>
    <x v="0"/>
  </r>
  <r>
    <s v="MonthlyTradeStatistics 2026_01.xlsx"/>
    <x v="29"/>
    <n v="564989.0858"/>
    <s v="2026_01.xlsx"/>
    <x v="10"/>
    <x v="0"/>
  </r>
  <r>
    <s v="MonthlyTradeStatistics 2026_01.xlsx"/>
    <x v="30"/>
    <n v="561408.74230000004"/>
    <s v="2026_01.xlsx"/>
    <x v="10"/>
    <x v="0"/>
  </r>
  <r>
    <s v="MonthlyTradeStatistics 2026_01.xlsx"/>
    <x v="31"/>
    <n v="754.60509999999999"/>
    <s v="2026_01.xlsx"/>
    <x v="10"/>
    <x v="0"/>
  </r>
  <r>
    <s v="MonthlyTradeStatistics 2026_01.xlsx"/>
    <x v="32"/>
    <n v="67332.000199999995"/>
    <s v="2026_01.xlsx"/>
    <x v="10"/>
    <x v="0"/>
  </r>
  <r>
    <s v="MonthlyTradeStatistics 2026_01.xlsx"/>
    <x v="33"/>
    <n v="124830.76549999999"/>
    <s v="2026_01.xlsx"/>
    <x v="10"/>
    <x v="0"/>
  </r>
  <r>
    <s v="MonthlyTradeStatistics 2026_01.xlsx"/>
    <x v="35"/>
    <n v="321"/>
    <s v="2026_01.xlsx"/>
    <x v="10"/>
    <x v="0"/>
  </r>
  <r>
    <s v="MonthlyTradeStatistics 2026_01.xlsx"/>
    <x v="36"/>
    <n v="850"/>
    <s v="2026_01.xlsx"/>
    <x v="10"/>
    <x v="0"/>
  </r>
  <r>
    <s v="MonthlyTradeStatistics 2026_01.xlsx"/>
    <x v="37"/>
    <n v="201399.99540000001"/>
    <s v="2026_01.xlsx"/>
    <x v="10"/>
    <x v="0"/>
  </r>
  <r>
    <s v="MonthlyTradeStatistics 2026_01.xlsx"/>
    <x v="38"/>
    <n v="29.621200000000002"/>
    <s v="2026_01.xlsx"/>
    <x v="10"/>
    <x v="0"/>
  </r>
  <r>
    <s v="MonthlyTradeStatistics 2026_01.xlsx"/>
    <x v="39"/>
    <n v="333416.13209999999"/>
    <s v="2026_01.xlsx"/>
    <x v="10"/>
    <x v="0"/>
  </r>
  <r>
    <s v="MonthlyTradeStatistics 2026_01.xlsx"/>
    <x v="41"/>
    <n v="1175.4639999999999"/>
    <s v="2026_01.xlsx"/>
    <x v="10"/>
    <x v="0"/>
  </r>
  <r>
    <s v="MonthlyTradeStatistics 2026_01.xlsx"/>
    <x v="42"/>
    <n v="37216.25"/>
    <s v="2026_01.xlsx"/>
    <x v="10"/>
    <x v="0"/>
  </r>
  <r>
    <s v="MonthlyTradeStatistics 2026_01.xlsx"/>
    <x v="43"/>
    <n v="0.5"/>
    <s v="2026_01.xlsx"/>
    <x v="10"/>
    <x v="0"/>
  </r>
  <r>
    <s v="MonthlyTradeStatistics 2026_01.xlsx"/>
    <x v="44"/>
    <n v="189913.37109999999"/>
    <s v="2026_01.xlsx"/>
    <x v="10"/>
    <x v="0"/>
  </r>
  <r>
    <s v="MonthlyTradeStatistics 2026_01.xlsx"/>
    <x v="45"/>
    <n v="446.80250000000001"/>
    <s v="2026_01.xlsx"/>
    <x v="10"/>
    <x v="0"/>
  </r>
  <r>
    <s v="MonthlyTradeStatistics 2026_01.xlsx"/>
    <x v="46"/>
    <n v="25427"/>
    <s v="2026_01.xlsx"/>
    <x v="10"/>
    <x v="0"/>
  </r>
  <r>
    <s v="MonthlyTradeStatistics 2026_01.xlsx"/>
    <x v="47"/>
    <n v="1800"/>
    <s v="2026_01.xlsx"/>
    <x v="10"/>
    <x v="0"/>
  </r>
  <r>
    <s v="MonthlyTradeStatistics 2026_01.xlsx"/>
    <x v="48"/>
    <n v="1138.3713"/>
    <s v="2026_01.xlsx"/>
    <x v="10"/>
    <x v="0"/>
  </r>
  <r>
    <s v="MonthlyTradeStatistics 2026_01.xlsx"/>
    <x v="49"/>
    <n v="105664"/>
    <s v="2026_01.xlsx"/>
    <x v="10"/>
    <x v="0"/>
  </r>
  <r>
    <s v="MonthlyTradeStatistics 2026_01.xlsx"/>
    <x v="50"/>
    <n v="13403.6029"/>
    <s v="2026_01.xlsx"/>
    <x v="10"/>
    <x v="0"/>
  </r>
  <r>
    <s v="MonthlyTradeStatistics 2026_01.xlsx"/>
    <x v="51"/>
    <n v="9273.7772999999997"/>
    <s v="2026_01.xlsx"/>
    <x v="10"/>
    <x v="0"/>
  </r>
  <r>
    <s v="MonthlyTradeStatistics 2026_01.xlsx"/>
    <x v="52"/>
    <n v="11000"/>
    <s v="2026_01.xlsx"/>
    <x v="10"/>
    <x v="0"/>
  </r>
  <r>
    <s v="MonthlyTradeStatistics 2026_01.xlsx"/>
    <x v="53"/>
    <n v="179.9999"/>
    <s v="2026_01.xlsx"/>
    <x v="10"/>
    <x v="0"/>
  </r>
  <r>
    <s v="MonthlyTradeStatistics 2026_01.xlsx"/>
    <x v="54"/>
    <n v="569454"/>
    <s v="2026_01.xlsx"/>
    <x v="10"/>
    <x v="0"/>
  </r>
  <r>
    <s v="MonthlyTradeStatistics 2026_01.xlsx"/>
    <x v="55"/>
    <n v="23000"/>
    <s v="2026_01.xlsx"/>
    <x v="10"/>
    <x v="0"/>
  </r>
  <r>
    <s v="MonthlyTradeStatistics 2026_01.xlsx"/>
    <x v="56"/>
    <n v="4329999.9985999996"/>
    <s v="2026_01.xlsx"/>
    <x v="10"/>
    <x v="0"/>
  </r>
  <r>
    <s v="MonthlyTradeStatistics 2026_01.xlsx"/>
    <x v="57"/>
    <n v="5700.0033000000003"/>
    <s v="2026_01.xlsx"/>
    <x v="10"/>
    <x v="0"/>
  </r>
  <r>
    <s v="MonthlyTradeStatistics 2026_01.xlsx"/>
    <x v="58"/>
    <n v="8332.7667000000001"/>
    <s v="2026_01.xlsx"/>
    <x v="10"/>
    <x v="0"/>
  </r>
  <r>
    <s v="MonthlyTradeStatistics 2026_01.xlsx"/>
    <x v="59"/>
    <n v="689"/>
    <s v="2026_01.xlsx"/>
    <x v="10"/>
    <x v="0"/>
  </r>
  <r>
    <s v="MonthlyTradeStatistics 2026_02.xlsx"/>
    <x v="0"/>
    <n v="11147236.9352"/>
    <s v="2026_02.xlsx"/>
    <x v="10"/>
    <x v="1"/>
  </r>
  <r>
    <s v="MonthlyTradeStatistics 2026_02.xlsx"/>
    <x v="1"/>
    <n v="1016758.4134"/>
    <s v="2026_02.xlsx"/>
    <x v="10"/>
    <x v="1"/>
  </r>
  <r>
    <s v="MonthlyTradeStatistics 2026_02.xlsx"/>
    <x v="2"/>
    <n v="2686274.2233000002"/>
    <s v="2026_02.xlsx"/>
    <x v="10"/>
    <x v="1"/>
  </r>
  <r>
    <s v="MonthlyTradeStatistics 2026_02.xlsx"/>
    <x v="3"/>
    <n v="2706994.0353000001"/>
    <s v="2026_02.xlsx"/>
    <x v="10"/>
    <x v="1"/>
  </r>
  <r>
    <s v="MonthlyTradeStatistics 2026_02.xlsx"/>
    <x v="4"/>
    <n v="4737210.2631999999"/>
    <s v="2026_02.xlsx"/>
    <x v="10"/>
    <x v="1"/>
  </r>
  <r>
    <s v="MonthlyTradeStatistics 2026_02.xlsx"/>
    <x v="5"/>
    <n v="1500"/>
    <s v="2026_02.xlsx"/>
    <x v="10"/>
    <x v="1"/>
  </r>
  <r>
    <s v="MonthlyTradeStatistics 2026_02.xlsx"/>
    <x v="6"/>
    <n v="3000"/>
    <s v="2026_02.xlsx"/>
    <x v="10"/>
    <x v="1"/>
  </r>
  <r>
    <s v="MonthlyTradeStatistics 2026_02.xlsx"/>
    <x v="7"/>
    <n v="2618119.8382000001"/>
    <s v="2026_02.xlsx"/>
    <x v="10"/>
    <x v="1"/>
  </r>
  <r>
    <s v="MonthlyTradeStatistics 2026_02.xlsx"/>
    <x v="8"/>
    <n v="17000"/>
    <s v="2026_02.xlsx"/>
    <x v="10"/>
    <x v="1"/>
  </r>
  <r>
    <s v="MonthlyTradeStatistics 2026_02.xlsx"/>
    <x v="9"/>
    <n v="6695.2"/>
    <s v="2026_02.xlsx"/>
    <x v="10"/>
    <x v="1"/>
  </r>
  <r>
    <s v="MonthlyTradeStatistics 2026_02.xlsx"/>
    <x v="10"/>
    <n v="1200"/>
    <s v="2026_02.xlsx"/>
    <x v="10"/>
    <x v="1"/>
  </r>
  <r>
    <s v="MonthlyTradeStatistics 2026_02.xlsx"/>
    <x v="11"/>
    <n v="859034.41330000001"/>
    <s v="2026_02.xlsx"/>
    <x v="10"/>
    <x v="1"/>
  </r>
  <r>
    <s v="MonthlyTradeStatistics 2026_02.xlsx"/>
    <x v="13"/>
    <n v="78060.615999999995"/>
    <s v="2026_02.xlsx"/>
    <x v="10"/>
    <x v="1"/>
  </r>
  <r>
    <s v="MonthlyTradeStatistics 2026_02.xlsx"/>
    <x v="14"/>
    <n v="27836.5501"/>
    <s v="2026_02.xlsx"/>
    <x v="10"/>
    <x v="1"/>
  </r>
  <r>
    <s v="MonthlyTradeStatistics 2026_02.xlsx"/>
    <x v="15"/>
    <n v="3599.9827"/>
    <s v="2026_02.xlsx"/>
    <x v="10"/>
    <x v="1"/>
  </r>
  <r>
    <s v="MonthlyTradeStatistics 2026_02.xlsx"/>
    <x v="16"/>
    <n v="15000"/>
    <s v="2026_02.xlsx"/>
    <x v="10"/>
    <x v="1"/>
  </r>
  <r>
    <s v="MonthlyTradeStatistics 2026_02.xlsx"/>
    <x v="17"/>
    <n v="3744.4047"/>
    <s v="2026_02.xlsx"/>
    <x v="10"/>
    <x v="1"/>
  </r>
  <r>
    <s v="MonthlyTradeStatistics 2026_02.xlsx"/>
    <x v="18"/>
    <n v="45263.673999999999"/>
    <s v="2026_02.xlsx"/>
    <x v="10"/>
    <x v="1"/>
  </r>
  <r>
    <s v="MonthlyTradeStatistics 2026_02.xlsx"/>
    <x v="19"/>
    <n v="65900.003299999997"/>
    <s v="2026_02.xlsx"/>
    <x v="10"/>
    <x v="1"/>
  </r>
  <r>
    <s v="MonthlyTradeStatistics 2026_02.xlsx"/>
    <x v="21"/>
    <n v="385000"/>
    <s v="2026_02.xlsx"/>
    <x v="10"/>
    <x v="1"/>
  </r>
  <r>
    <s v="MonthlyTradeStatistics 2026_02.xlsx"/>
    <x v="23"/>
    <n v="499.988"/>
    <s v="2026_02.xlsx"/>
    <x v="10"/>
    <x v="1"/>
  </r>
  <r>
    <s v="MonthlyTradeStatistics 2026_02.xlsx"/>
    <x v="24"/>
    <n v="392499.99040000001"/>
    <s v="2026_02.xlsx"/>
    <x v="10"/>
    <x v="1"/>
  </r>
  <r>
    <s v="MonthlyTradeStatistics 2026_02.xlsx"/>
    <x v="25"/>
    <n v="15368.000400000001"/>
    <s v="2026_02.xlsx"/>
    <x v="10"/>
    <x v="1"/>
  </r>
  <r>
    <s v="MonthlyTradeStatistics 2026_02.xlsx"/>
    <x v="26"/>
    <n v="30.004000000000001"/>
    <s v="2026_02.xlsx"/>
    <x v="10"/>
    <x v="1"/>
  </r>
  <r>
    <s v="MonthlyTradeStatistics 2026_02.xlsx"/>
    <x v="27"/>
    <n v="40"/>
    <s v="2026_02.xlsx"/>
    <x v="10"/>
    <x v="1"/>
  </r>
  <r>
    <s v="MonthlyTradeStatistics 2026_02.xlsx"/>
    <x v="28"/>
    <n v="935742.34"/>
    <s v="2026_02.xlsx"/>
    <x v="10"/>
    <x v="1"/>
  </r>
  <r>
    <s v="MonthlyTradeStatistics 2026_02.xlsx"/>
    <x v="29"/>
    <n v="780393.19590000005"/>
    <s v="2026_02.xlsx"/>
    <x v="10"/>
    <x v="1"/>
  </r>
  <r>
    <s v="MonthlyTradeStatistics 2026_02.xlsx"/>
    <x v="30"/>
    <n v="533058.05870000005"/>
    <s v="2026_02.xlsx"/>
    <x v="10"/>
    <x v="1"/>
  </r>
  <r>
    <s v="MonthlyTradeStatistics 2026_02.xlsx"/>
    <x v="31"/>
    <n v="1309.5235"/>
    <s v="2026_02.xlsx"/>
    <x v="10"/>
    <x v="1"/>
  </r>
  <r>
    <s v="MonthlyTradeStatistics 2026_02.xlsx"/>
    <x v="32"/>
    <n v="84518.000100000005"/>
    <s v="2026_02.xlsx"/>
    <x v="10"/>
    <x v="1"/>
  </r>
  <r>
    <s v="MonthlyTradeStatistics 2026_02.xlsx"/>
    <x v="33"/>
    <n v="75999.9954"/>
    <s v="2026_02.xlsx"/>
    <x v="10"/>
    <x v="1"/>
  </r>
  <r>
    <s v="MonthlyTradeStatistics 2026_02.xlsx"/>
    <x v="35"/>
    <n v="928.10530000000006"/>
    <s v="2026_02.xlsx"/>
    <x v="10"/>
    <x v="1"/>
  </r>
  <r>
    <s v="MonthlyTradeStatistics 2026_02.xlsx"/>
    <x v="36"/>
    <n v="2190.0001000000002"/>
    <s v="2026_02.xlsx"/>
    <x v="10"/>
    <x v="1"/>
  </r>
  <r>
    <s v="MonthlyTradeStatistics 2026_02.xlsx"/>
    <x v="37"/>
    <n v="229199.99830000001"/>
    <s v="2026_02.xlsx"/>
    <x v="10"/>
    <x v="1"/>
  </r>
  <r>
    <s v="MonthlyTradeStatistics 2026_02.xlsx"/>
    <x v="38"/>
    <n v="10.339700000000001"/>
    <s v="2026_02.xlsx"/>
    <x v="10"/>
    <x v="1"/>
  </r>
  <r>
    <s v="MonthlyTradeStatistics 2026_02.xlsx"/>
    <x v="39"/>
    <n v="268861.31949999998"/>
    <s v="2026_02.xlsx"/>
    <x v="10"/>
    <x v="1"/>
  </r>
  <r>
    <s v="MonthlyTradeStatistics 2026_02.xlsx"/>
    <x v="41"/>
    <n v="1633.6085"/>
    <s v="2026_02.xlsx"/>
    <x v="10"/>
    <x v="1"/>
  </r>
  <r>
    <s v="MonthlyTradeStatistics 2026_02.xlsx"/>
    <x v="42"/>
    <n v="20577.41"/>
    <s v="2026_02.xlsx"/>
    <x v="10"/>
    <x v="1"/>
  </r>
  <r>
    <s v="MonthlyTradeStatistics 2026_02.xlsx"/>
    <x v="43"/>
    <n v="0.5"/>
    <s v="2026_02.xlsx"/>
    <x v="10"/>
    <x v="1"/>
  </r>
  <r>
    <s v="MonthlyTradeStatistics 2026_02.xlsx"/>
    <x v="44"/>
    <n v="74370.458599999998"/>
    <s v="2026_02.xlsx"/>
    <x v="10"/>
    <x v="1"/>
  </r>
  <r>
    <s v="MonthlyTradeStatistics 2026_02.xlsx"/>
    <x v="45"/>
    <n v="319.2627"/>
    <s v="2026_02.xlsx"/>
    <x v="10"/>
    <x v="1"/>
  </r>
  <r>
    <s v="MonthlyTradeStatistics 2026_02.xlsx"/>
    <x v="46"/>
    <n v="11635"/>
    <s v="2026_02.xlsx"/>
    <x v="10"/>
    <x v="1"/>
  </r>
  <r>
    <s v="MonthlyTradeStatistics 2026_02.xlsx"/>
    <x v="47"/>
    <n v="2300"/>
    <s v="2026_02.xlsx"/>
    <x v="10"/>
    <x v="1"/>
  </r>
  <r>
    <s v="MonthlyTradeStatistics 2026_02.xlsx"/>
    <x v="48"/>
    <n v="40.7851"/>
    <s v="2026_02.xlsx"/>
    <x v="10"/>
    <x v="1"/>
  </r>
  <r>
    <s v="MonthlyTradeStatistics 2026_02.xlsx"/>
    <x v="49"/>
    <n v="108812"/>
    <s v="2026_02.xlsx"/>
    <x v="10"/>
    <x v="1"/>
  </r>
  <r>
    <s v="MonthlyTradeStatistics 2026_02.xlsx"/>
    <x v="50"/>
    <n v="20780.989799999999"/>
    <s v="2026_02.xlsx"/>
    <x v="10"/>
    <x v="1"/>
  </r>
  <r>
    <s v="MonthlyTradeStatistics 2026_02.xlsx"/>
    <x v="51"/>
    <n v="4838"/>
    <s v="2026_02.xlsx"/>
    <x v="10"/>
    <x v="1"/>
  </r>
  <r>
    <s v="MonthlyTradeStatistics 2026_02.xlsx"/>
    <x v="52"/>
    <n v="7000"/>
    <s v="2026_02.xlsx"/>
    <x v="10"/>
    <x v="1"/>
  </r>
  <r>
    <s v="MonthlyTradeStatistics 2026_02.xlsx"/>
    <x v="53"/>
    <n v="389.99380000000002"/>
    <s v="2026_02.xlsx"/>
    <x v="10"/>
    <x v="1"/>
  </r>
  <r>
    <s v="MonthlyTradeStatistics 2026_02.xlsx"/>
    <x v="54"/>
    <n v="651933"/>
    <s v="2026_02.xlsx"/>
    <x v="10"/>
    <x v="1"/>
  </r>
  <r>
    <s v="MonthlyTradeStatistics 2026_02.xlsx"/>
    <x v="55"/>
    <n v="17000"/>
    <s v="2026_02.xlsx"/>
    <x v="10"/>
    <x v="1"/>
  </r>
  <r>
    <s v="MonthlyTradeStatistics 2026_02.xlsx"/>
    <x v="56"/>
    <n v="2760000.0018000002"/>
    <s v="2026_02.xlsx"/>
    <x v="10"/>
    <x v="1"/>
  </r>
  <r>
    <s v="MonthlyTradeStatistics 2026_02.xlsx"/>
    <x v="57"/>
    <n v="5200.0033000000003"/>
    <s v="2026_02.xlsx"/>
    <x v="10"/>
    <x v="1"/>
  </r>
  <r>
    <s v="MonthlyTradeStatistics 2026_02.xlsx"/>
    <x v="58"/>
    <n v="8802.3799999999992"/>
    <s v="2026_02.xlsx"/>
    <x v="10"/>
    <x v="1"/>
  </r>
  <r>
    <s v="MonthlyTradeStatistics 2026_02.xlsx"/>
    <x v="59"/>
    <n v="0"/>
    <s v="2026_02.xlsx"/>
    <x v="10"/>
    <x v="1"/>
  </r>
  <r>
    <s v="MonthlyTradeStatistics 2026_03.xlsx"/>
    <x v="0"/>
    <n v="13589607.434"/>
    <s v="2026_03.xlsx"/>
    <x v="10"/>
    <x v="2"/>
  </r>
  <r>
    <s v="MonthlyTradeStatistics 2026_03.xlsx"/>
    <x v="1"/>
    <n v="1060409.1336000001"/>
    <s v="2026_03.xlsx"/>
    <x v="10"/>
    <x v="2"/>
  </r>
  <r>
    <s v="MonthlyTradeStatistics 2026_03.xlsx"/>
    <x v="2"/>
    <n v="2885111.6789000002"/>
    <s v="2026_03.xlsx"/>
    <x v="10"/>
    <x v="2"/>
  </r>
  <r>
    <s v="MonthlyTradeStatistics 2026_03.xlsx"/>
    <x v="3"/>
    <n v="3007906.1560999998"/>
    <s v="2026_03.xlsx"/>
    <x v="10"/>
    <x v="2"/>
  </r>
  <r>
    <s v="MonthlyTradeStatistics 2026_03.xlsx"/>
    <x v="4"/>
    <n v="6636180.4654000001"/>
    <s v="2026_03.xlsx"/>
    <x v="10"/>
    <x v="2"/>
  </r>
  <r>
    <s v="MonthlyTradeStatistics 2026_03.xlsx"/>
    <x v="5"/>
    <n v="2800"/>
    <s v="2026_03.xlsx"/>
    <x v="10"/>
    <x v="2"/>
  </r>
  <r>
    <s v="MonthlyTradeStatistics 2026_03.xlsx"/>
    <x v="6"/>
    <n v="2500"/>
    <s v="2026_03.xlsx"/>
    <x v="10"/>
    <x v="2"/>
  </r>
  <r>
    <s v="MonthlyTradeStatistics 2026_03.xlsx"/>
    <x v="7"/>
    <n v="3058938.5846000002"/>
    <s v="2026_03.xlsx"/>
    <x v="10"/>
    <x v="2"/>
  </r>
  <r>
    <s v="MonthlyTradeStatistics 2026_03.xlsx"/>
    <x v="8"/>
    <n v="24000"/>
    <s v="2026_03.xlsx"/>
    <x v="10"/>
    <x v="2"/>
  </r>
  <r>
    <s v="MonthlyTradeStatistics 2026_03.xlsx"/>
    <x v="9"/>
    <n v="10000.0034"/>
    <s v="2026_03.xlsx"/>
    <x v="10"/>
    <x v="2"/>
  </r>
  <r>
    <s v="MonthlyTradeStatistics 2026_03.xlsx"/>
    <x v="10"/>
    <n v="3000"/>
    <s v="2026_03.xlsx"/>
    <x v="10"/>
    <x v="2"/>
  </r>
  <r>
    <s v="MonthlyTradeStatistics 2026_03.xlsx"/>
    <x v="11"/>
    <n v="899959.12780000002"/>
    <s v="2026_03.xlsx"/>
    <x v="10"/>
    <x v="2"/>
  </r>
  <r>
    <s v="MonthlyTradeStatistics 2026_03.xlsx"/>
    <x v="13"/>
    <n v="147363.72440000001"/>
    <s v="2026_03.xlsx"/>
    <x v="10"/>
    <x v="2"/>
  </r>
  <r>
    <s v="MonthlyTradeStatistics 2026_03.xlsx"/>
    <x v="14"/>
    <n v="59521.132799999999"/>
    <s v="2026_03.xlsx"/>
    <x v="10"/>
    <x v="2"/>
  </r>
  <r>
    <s v="MonthlyTradeStatistics 2026_03.xlsx"/>
    <x v="15"/>
    <n v="2199.991"/>
    <s v="2026_03.xlsx"/>
    <x v="10"/>
    <x v="2"/>
  </r>
  <r>
    <s v="MonthlyTradeStatistics 2026_03.xlsx"/>
    <x v="16"/>
    <n v="14000"/>
    <s v="2026_03.xlsx"/>
    <x v="10"/>
    <x v="2"/>
  </r>
  <r>
    <s v="MonthlyTradeStatistics 2026_03.xlsx"/>
    <x v="17"/>
    <n v="8495.7222999999994"/>
    <s v="2026_03.xlsx"/>
    <x v="10"/>
    <x v="2"/>
  </r>
  <r>
    <s v="MonthlyTradeStatistics 2026_03.xlsx"/>
    <x v="18"/>
    <n v="38268.71"/>
    <s v="2026_03.xlsx"/>
    <x v="10"/>
    <x v="2"/>
  </r>
  <r>
    <s v="MonthlyTradeStatistics 2026_03.xlsx"/>
    <x v="19"/>
    <n v="64699.999300000003"/>
    <s v="2026_03.xlsx"/>
    <x v="10"/>
    <x v="2"/>
  </r>
  <r>
    <s v="MonthlyTradeStatistics 2026_03.xlsx"/>
    <x v="21"/>
    <n v="443143.77279999998"/>
    <s v="2026_03.xlsx"/>
    <x v="10"/>
    <x v="2"/>
  </r>
  <r>
    <s v="MonthlyTradeStatistics 2026_03.xlsx"/>
    <x v="23"/>
    <n v="1000.006"/>
    <s v="2026_03.xlsx"/>
    <x v="10"/>
    <x v="2"/>
  </r>
  <r>
    <s v="MonthlyTradeStatistics 2026_03.xlsx"/>
    <x v="24"/>
    <n v="495700.00770000002"/>
    <s v="2026_03.xlsx"/>
    <x v="10"/>
    <x v="2"/>
  </r>
  <r>
    <s v="MonthlyTradeStatistics 2026_03.xlsx"/>
    <x v="25"/>
    <n v="11985.715099999999"/>
    <s v="2026_03.xlsx"/>
    <x v="10"/>
    <x v="2"/>
  </r>
  <r>
    <s v="MonthlyTradeStatistics 2026_03.xlsx"/>
    <x v="26"/>
    <n v="30.004000000000001"/>
    <s v="2026_03.xlsx"/>
    <x v="10"/>
    <x v="2"/>
  </r>
  <r>
    <s v="MonthlyTradeStatistics 2026_03.xlsx"/>
    <x v="27"/>
    <n v="40"/>
    <s v="2026_03.xlsx"/>
    <x v="10"/>
    <x v="2"/>
  </r>
  <r>
    <s v="MonthlyTradeStatistics 2026_03.xlsx"/>
    <x v="28"/>
    <n v="969419.43"/>
    <s v="2026_03.xlsx"/>
    <x v="10"/>
    <x v="2"/>
  </r>
  <r>
    <s v="MonthlyTradeStatistics 2026_03.xlsx"/>
    <x v="29"/>
    <n v="832000.01060000004"/>
    <s v="2026_03.xlsx"/>
    <x v="10"/>
    <x v="2"/>
  </r>
  <r>
    <s v="MonthlyTradeStatistics 2026_03.xlsx"/>
    <x v="30"/>
    <n v="452642.84139999998"/>
    <s v="2026_03.xlsx"/>
    <x v="10"/>
    <x v="2"/>
  </r>
  <r>
    <s v="MonthlyTradeStatistics 2026_03.xlsx"/>
    <x v="31"/>
    <n v="737.6105"/>
    <s v="2026_03.xlsx"/>
    <x v="10"/>
    <x v="2"/>
  </r>
  <r>
    <s v="MonthlyTradeStatistics 2026_03.xlsx"/>
    <x v="32"/>
    <n v="97000.002999999997"/>
    <s v="2026_03.xlsx"/>
    <x v="10"/>
    <x v="2"/>
  </r>
  <r>
    <s v="MonthlyTradeStatistics 2026_03.xlsx"/>
    <x v="33"/>
    <n v="162000.00279999999"/>
    <s v="2026_03.xlsx"/>
    <x v="10"/>
    <x v="2"/>
  </r>
  <r>
    <s v="MonthlyTradeStatistics 2026_03.xlsx"/>
    <x v="35"/>
    <n v="0.38"/>
    <s v="2026_03.xlsx"/>
    <x v="10"/>
    <x v="2"/>
  </r>
  <r>
    <s v="MonthlyTradeStatistics 2026_03.xlsx"/>
    <x v="36"/>
    <n v="999.99469999999997"/>
    <s v="2026_03.xlsx"/>
    <x v="10"/>
    <x v="2"/>
  </r>
  <r>
    <s v="MonthlyTradeStatistics 2026_03.xlsx"/>
    <x v="37"/>
    <n v="309899.99859999999"/>
    <s v="2026_03.xlsx"/>
    <x v="10"/>
    <x v="2"/>
  </r>
  <r>
    <s v="MonthlyTradeStatistics 2026_03.xlsx"/>
    <x v="38"/>
    <n v="154.2833"/>
    <s v="2026_03.xlsx"/>
    <x v="10"/>
    <x v="2"/>
  </r>
  <r>
    <s v="MonthlyTradeStatistics 2026_03.xlsx"/>
    <x v="39"/>
    <n v="297910.94300000003"/>
    <s v="2026_03.xlsx"/>
    <x v="10"/>
    <x v="2"/>
  </r>
  <r>
    <s v="MonthlyTradeStatistics 2026_03.xlsx"/>
    <x v="41"/>
    <n v="3371.1677"/>
    <s v="2026_03.xlsx"/>
    <x v="10"/>
    <x v="2"/>
  </r>
  <r>
    <s v="MonthlyTradeStatistics 2026_03.xlsx"/>
    <x v="42"/>
    <n v="27000"/>
    <s v="2026_03.xlsx"/>
    <x v="10"/>
    <x v="2"/>
  </r>
  <r>
    <s v="MonthlyTradeStatistics 2026_03.xlsx"/>
    <x v="43"/>
    <n v="0"/>
    <s v="2026_03.xlsx"/>
    <x v="10"/>
    <x v="2"/>
  </r>
  <r>
    <s v="MonthlyTradeStatistics 2026_03.xlsx"/>
    <x v="44"/>
    <n v="51473.9254"/>
    <s v="2026_03.xlsx"/>
    <x v="10"/>
    <x v="2"/>
  </r>
  <r>
    <s v="MonthlyTradeStatistics 2026_03.xlsx"/>
    <x v="45"/>
    <n v="138.8373"/>
    <s v="2026_03.xlsx"/>
    <x v="10"/>
    <x v="2"/>
  </r>
  <r>
    <s v="MonthlyTradeStatistics 2026_03.xlsx"/>
    <x v="46"/>
    <n v="8000.0023000000001"/>
    <s v="2026_03.xlsx"/>
    <x v="10"/>
    <x v="2"/>
  </r>
  <r>
    <s v="MonthlyTradeStatistics 2026_03.xlsx"/>
    <x v="47"/>
    <n v="3000"/>
    <s v="2026_03.xlsx"/>
    <x v="10"/>
    <x v="2"/>
  </r>
  <r>
    <s v="MonthlyTradeStatistics 2026_03.xlsx"/>
    <x v="48"/>
    <n v="38.936500000000002"/>
    <s v="2026_03.xlsx"/>
    <x v="10"/>
    <x v="2"/>
  </r>
  <r>
    <s v="MonthlyTradeStatistics 2026_03.xlsx"/>
    <x v="49"/>
    <n v="94000.005600000004"/>
    <s v="2026_03.xlsx"/>
    <x v="10"/>
    <x v="2"/>
  </r>
  <r>
    <s v="MonthlyTradeStatistics 2026_03.xlsx"/>
    <x v="50"/>
    <n v="25167.1404"/>
    <s v="2026_03.xlsx"/>
    <x v="10"/>
    <x v="2"/>
  </r>
  <r>
    <s v="MonthlyTradeStatistics 2026_03.xlsx"/>
    <x v="51"/>
    <n v="15555.402"/>
    <s v="2026_03.xlsx"/>
    <x v="10"/>
    <x v="2"/>
  </r>
  <r>
    <s v="MonthlyTradeStatistics 2026_03.xlsx"/>
    <x v="52"/>
    <n v="7000"/>
    <s v="2026_03.xlsx"/>
    <x v="10"/>
    <x v="2"/>
  </r>
  <r>
    <s v="MonthlyTradeStatistics 2026_03.xlsx"/>
    <x v="53"/>
    <n v="350.00580000000002"/>
    <s v="2026_03.xlsx"/>
    <x v="10"/>
    <x v="2"/>
  </r>
  <r>
    <s v="MonthlyTradeStatistics 2026_03.xlsx"/>
    <x v="54"/>
    <n v="609600"/>
    <s v="2026_03.xlsx"/>
    <x v="10"/>
    <x v="2"/>
  </r>
  <r>
    <s v="MonthlyTradeStatistics 2026_03.xlsx"/>
    <x v="55"/>
    <n v="18000"/>
    <s v="2026_03.xlsx"/>
    <x v="10"/>
    <x v="2"/>
  </r>
  <r>
    <s v="MonthlyTradeStatistics 2026_03.xlsx"/>
    <x v="56"/>
    <n v="4300000.0086000003"/>
    <s v="2026_03.xlsx"/>
    <x v="10"/>
    <x v="2"/>
  </r>
  <r>
    <s v="MonthlyTradeStatistics 2026_03.xlsx"/>
    <x v="57"/>
    <n v="6500.0033000000003"/>
    <s v="2026_03.xlsx"/>
    <x v="10"/>
    <x v="2"/>
  </r>
  <r>
    <s v="MonthlyTradeStatistics 2026_03.xlsx"/>
    <x v="58"/>
    <n v="10000"/>
    <s v="2026_03.xlsx"/>
    <x v="10"/>
    <x v="2"/>
  </r>
  <r>
    <s v="MonthlyTradeStatistics 2026_03.xlsx"/>
    <x v="59"/>
    <n v="0"/>
    <s v="2026_03.xlsx"/>
    <x v="1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DE68BF-6308-41AA-B894-2FB92BF721BE}"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3:AG16" firstHeaderRow="1" firstDataRow="2" firstDataCol="1" rowPageCount="1" colPageCount="1"/>
  <pivotFields count="6">
    <pivotField showAll="0"/>
    <pivotField axis="axisPage" showAll="0">
      <items count="61">
        <item x="5"/>
        <item x="6"/>
        <item x="7"/>
        <item x="3"/>
        <item x="8"/>
        <item x="9"/>
        <item x="10"/>
        <item x="11"/>
        <item x="1"/>
        <item x="12"/>
        <item x="13"/>
        <item x="14"/>
        <item x="15"/>
        <item x="16"/>
        <item x="17"/>
        <item x="18"/>
        <item x="19"/>
        <item x="20"/>
        <item x="21"/>
        <item x="22"/>
        <item x="23"/>
        <item x="24"/>
        <item x="25"/>
        <item x="26"/>
        <item x="27"/>
        <item x="28"/>
        <item x="29"/>
        <item x="30"/>
        <item x="31"/>
        <item x="32"/>
        <item x="33"/>
        <item x="34"/>
        <item x="35"/>
        <item x="36"/>
        <item x="37"/>
        <item x="38"/>
        <item x="39"/>
        <item x="40"/>
        <item x="2"/>
        <item x="41"/>
        <item x="42"/>
        <item x="43"/>
        <item x="44"/>
        <item x="45"/>
        <item x="4"/>
        <item x="46"/>
        <item x="47"/>
        <item x="48"/>
        <item x="49"/>
        <item x="50"/>
        <item x="51"/>
        <item x="52"/>
        <item x="0"/>
        <item x="53"/>
        <item x="54"/>
        <item x="55"/>
        <item x="56"/>
        <item x="57"/>
        <item x="58"/>
        <item x="59"/>
        <item t="default"/>
      </items>
    </pivotField>
    <pivotField dataField="1" showAll="0"/>
    <pivotField showAll="0"/>
    <pivotField axis="axisRow" showAll="0">
      <items count="12">
        <item x="0"/>
        <item x="1"/>
        <item x="2"/>
        <item x="3"/>
        <item x="4"/>
        <item x="5"/>
        <item x="6"/>
        <item x="7"/>
        <item x="8"/>
        <item x="9"/>
        <item x="10"/>
        <item t="default"/>
      </items>
    </pivotField>
    <pivotField axis="axisCol" showAll="0">
      <items count="13">
        <item x="0"/>
        <item x="1"/>
        <item x="2"/>
        <item x="3"/>
        <item x="4"/>
        <item x="5"/>
        <item x="6"/>
        <item x="7"/>
        <item x="8"/>
        <item x="9"/>
        <item x="10"/>
        <item x="11"/>
        <item t="default"/>
      </items>
    </pivotField>
  </pivotFields>
  <rowFields count="1">
    <field x="4"/>
  </rowFields>
  <rowItems count="12">
    <i>
      <x/>
    </i>
    <i>
      <x v="1"/>
    </i>
    <i>
      <x v="2"/>
    </i>
    <i>
      <x v="3"/>
    </i>
    <i>
      <x v="4"/>
    </i>
    <i>
      <x v="5"/>
    </i>
    <i>
      <x v="6"/>
    </i>
    <i>
      <x v="7"/>
    </i>
    <i>
      <x v="8"/>
    </i>
    <i>
      <x v="9"/>
    </i>
    <i>
      <x v="10"/>
    </i>
    <i t="grand">
      <x/>
    </i>
  </rowItems>
  <colFields count="1">
    <field x="5"/>
  </colFields>
  <colItems count="13">
    <i>
      <x/>
    </i>
    <i>
      <x v="1"/>
    </i>
    <i>
      <x v="2"/>
    </i>
    <i>
      <x v="3"/>
    </i>
    <i>
      <x v="4"/>
    </i>
    <i>
      <x v="5"/>
    </i>
    <i>
      <x v="6"/>
    </i>
    <i>
      <x v="7"/>
    </i>
    <i>
      <x v="8"/>
    </i>
    <i>
      <x v="9"/>
    </i>
    <i>
      <x v="10"/>
    </i>
    <i>
      <x v="11"/>
    </i>
    <i t="grand">
      <x/>
    </i>
  </colItems>
  <pageFields count="1">
    <pageField fld="1" item="2" hier="-1"/>
  </pageFields>
  <dataFields count="1">
    <dataField name="Sum of GBE" fld="2" baseField="0" baseItem="0"/>
  </dataFields>
  <formats count="1">
    <format dxfId="1">
      <pivotArea collapsedLevelsAreSubtotals="1" fieldPosition="0">
        <references count="2">
          <reference field="4" count="0"/>
          <reference field="5"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2C2A064-14AA-4355-BB7E-E9507AE0FDCA}" autoFormatId="16" applyNumberFormats="0" applyBorderFormats="0" applyFontFormats="0" applyPatternFormats="0" applyAlignmentFormats="0" applyWidthHeightFormats="0">
  <queryTableRefresh nextId="7">
    <queryTableFields count="6">
      <queryTableField id="1" name="Source" tableColumnId="1"/>
      <queryTableField id="2" name="Origin" tableColumnId="2"/>
      <queryTableField id="3" name="GBE" tableColumnId="3"/>
      <queryTableField id="4" name="Custom" tableColumnId="4"/>
      <queryTableField id="5" name="Year" tableColumnId="5"/>
      <queryTableField id="6" name="Mon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igin" xr10:uid="{40EA4D94-FADB-4739-B214-42F09AB02F70}" sourceName="Origin">
  <pivotTables>
    <pivotTable tabId="3" name="PivotTable2"/>
  </pivotTables>
  <data>
    <tabular pivotCacheId="1917644299">
      <items count="60">
        <i x="5"/>
        <i x="6"/>
        <i x="7" s="1"/>
        <i x="3"/>
        <i x="8"/>
        <i x="9"/>
        <i x="10"/>
        <i x="11"/>
        <i x="1"/>
        <i x="12"/>
        <i x="13"/>
        <i x="14"/>
        <i x="15"/>
        <i x="16"/>
        <i x="17"/>
        <i x="18"/>
        <i x="19"/>
        <i x="20"/>
        <i x="21"/>
        <i x="22"/>
        <i x="23"/>
        <i x="24"/>
        <i x="25"/>
        <i x="26"/>
        <i x="27"/>
        <i x="28"/>
        <i x="29"/>
        <i x="30"/>
        <i x="31"/>
        <i x="32"/>
        <i x="33"/>
        <i x="34"/>
        <i x="35"/>
        <i x="36"/>
        <i x="37"/>
        <i x="38"/>
        <i x="39"/>
        <i x="40"/>
        <i x="2"/>
        <i x="41"/>
        <i x="42"/>
        <i x="43"/>
        <i x="44"/>
        <i x="45"/>
        <i x="4"/>
        <i x="46"/>
        <i x="47"/>
        <i x="48"/>
        <i x="49"/>
        <i x="50"/>
        <i x="51"/>
        <i x="52"/>
        <i x="0"/>
        <i x="53"/>
        <i x="54"/>
        <i x="55"/>
        <i x="56"/>
        <i x="57"/>
        <i x="58"/>
        <i x="5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igin" xr10:uid="{216CDEDF-F8E9-40CD-B5ED-1BD1B5059794}" cache="Slicer_Origin" caption="Origi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igin 1" xr10:uid="{2F46100B-180D-4473-B61A-6C54F418C973}" cache="Slicer_Origin" caption="Origi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5D64A4-B0BE-46A5-BE8B-02EB706142DF}" name="Monthly_Exports" displayName="Monthly_Exports" ref="A1:F7254" tableType="queryTable" totalsRowShown="0">
  <autoFilter ref="A1:F7254" xr:uid="{255D64A4-B0BE-46A5-BE8B-02EB706142DF}"/>
  <tableColumns count="6">
    <tableColumn id="1" xr3:uid="{29264B66-DDAC-4E4D-93E1-D251D4F82A02}" uniqueName="1" name="Source" queryTableFieldId="1" dataDxfId="3"/>
    <tableColumn id="2" xr3:uid="{2D3304B9-54A6-42AE-A8BA-1DBBE5411B1A}" uniqueName="2" name="Origin" queryTableFieldId="2" dataDxfId="2"/>
    <tableColumn id="3" xr3:uid="{3FF98E95-6048-4699-BF96-6122A773EDAD}" uniqueName="3" name="GBE" queryTableFieldId="3"/>
    <tableColumn id="4" xr3:uid="{C5BE91D8-36EC-4F51-9B93-2B0802266B85}" uniqueName="4" name="Custom" queryTableFieldId="4"/>
    <tableColumn id="5" xr3:uid="{1F5C941C-40FF-4EFC-B5A9-2D002C6F8D3A}" uniqueName="5" name="Year" queryTableFieldId="5"/>
    <tableColumn id="6" xr3:uid="{96EBF047-5151-4471-B12C-C9300EC48E4B}" uniqueName="6" name="Month" queryTableField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0C2DE-7E16-44AC-A54F-B6B92DC8BF98}">
  <dimension ref="T1:AG49"/>
  <sheetViews>
    <sheetView zoomScale="85" zoomScaleNormal="85" workbookViewId="0">
      <selection activeCell="T27" sqref="T27"/>
    </sheetView>
  </sheetViews>
  <sheetFormatPr defaultRowHeight="14.4" x14ac:dyDescent="0.55000000000000004"/>
  <cols>
    <col min="20" max="20" width="12.26171875" bestFit="1" customWidth="1"/>
    <col min="21" max="21" width="14.89453125" bestFit="1" customWidth="1"/>
    <col min="22" max="33" width="11.68359375" bestFit="1" customWidth="1"/>
  </cols>
  <sheetData>
    <row r="1" spans="20:33" x14ac:dyDescent="0.55000000000000004">
      <c r="T1" s="1" t="s">
        <v>1</v>
      </c>
      <c r="U1" t="s">
        <v>11</v>
      </c>
    </row>
    <row r="3" spans="20:33" x14ac:dyDescent="0.55000000000000004">
      <c r="T3" s="1" t="s">
        <v>315</v>
      </c>
      <c r="U3" s="1" t="s">
        <v>314</v>
      </c>
    </row>
    <row r="4" spans="20:33" x14ac:dyDescent="0.55000000000000004">
      <c r="T4" s="1" t="s">
        <v>312</v>
      </c>
      <c r="U4">
        <v>1</v>
      </c>
      <c r="V4">
        <v>2</v>
      </c>
      <c r="W4">
        <v>3</v>
      </c>
      <c r="X4">
        <v>4</v>
      </c>
      <c r="Y4">
        <v>5</v>
      </c>
      <c r="Z4">
        <v>6</v>
      </c>
      <c r="AA4">
        <v>7</v>
      </c>
      <c r="AB4">
        <v>8</v>
      </c>
      <c r="AC4">
        <v>9</v>
      </c>
      <c r="AD4">
        <v>10</v>
      </c>
      <c r="AE4">
        <v>11</v>
      </c>
      <c r="AF4">
        <v>12</v>
      </c>
      <c r="AG4" t="s">
        <v>313</v>
      </c>
    </row>
    <row r="5" spans="20:33" x14ac:dyDescent="0.55000000000000004">
      <c r="T5" s="2">
        <v>2016</v>
      </c>
      <c r="U5" s="3">
        <v>2808927.753</v>
      </c>
      <c r="V5" s="3">
        <v>2938277.4643999999</v>
      </c>
      <c r="W5" s="3">
        <v>3102405.7878</v>
      </c>
      <c r="X5" s="3">
        <v>2458143.3232</v>
      </c>
      <c r="Y5" s="3">
        <v>2528952.0764000001</v>
      </c>
      <c r="Z5" s="3">
        <v>2450865.2281999998</v>
      </c>
      <c r="AA5" s="3">
        <v>1967243.2716000001</v>
      </c>
      <c r="AB5" s="3">
        <v>3044358.361</v>
      </c>
      <c r="AC5" s="3">
        <v>3068226.0144000002</v>
      </c>
      <c r="AD5" s="3">
        <v>3362927.9485999998</v>
      </c>
      <c r="AE5" s="3">
        <v>3276941.2110000001</v>
      </c>
      <c r="AF5" s="3">
        <v>3261882.1011999999</v>
      </c>
      <c r="AG5">
        <v>34269150.540800005</v>
      </c>
    </row>
    <row r="6" spans="20:33" x14ac:dyDescent="0.55000000000000004">
      <c r="T6" s="2">
        <v>2017</v>
      </c>
      <c r="U6" s="3">
        <v>2646464.4473999999</v>
      </c>
      <c r="V6" s="3">
        <v>2590825.4108000002</v>
      </c>
      <c r="W6" s="3">
        <v>2834349.1150000002</v>
      </c>
      <c r="X6" s="3">
        <v>2240098.304</v>
      </c>
      <c r="Y6" s="3">
        <v>2602453.3553999998</v>
      </c>
      <c r="Z6" s="3">
        <v>2191499.2459999998</v>
      </c>
      <c r="AA6" s="3">
        <v>1873670.733</v>
      </c>
      <c r="AB6" s="3">
        <v>2610143.5789999999</v>
      </c>
      <c r="AC6" s="3">
        <v>2441617.8768000002</v>
      </c>
      <c r="AD6" s="3">
        <v>2901977.4898000001</v>
      </c>
      <c r="AE6" s="3">
        <v>2965514.0468000001</v>
      </c>
      <c r="AF6" s="3">
        <v>3025954.4840000002</v>
      </c>
      <c r="AG6">
        <v>30924568.088</v>
      </c>
    </row>
    <row r="7" spans="20:33" x14ac:dyDescent="0.55000000000000004">
      <c r="T7" s="2">
        <v>2018</v>
      </c>
      <c r="U7" s="3">
        <v>2719936.3846</v>
      </c>
      <c r="V7" s="3">
        <v>2511588.3612000002</v>
      </c>
      <c r="W7" s="3">
        <v>2698364.4103999999</v>
      </c>
      <c r="X7" s="3">
        <v>2388754.861</v>
      </c>
      <c r="Y7" s="3">
        <v>1729254.4069999999</v>
      </c>
      <c r="Z7" s="3">
        <v>2583614.3931999998</v>
      </c>
      <c r="AA7" s="3">
        <v>2465428.7014000001</v>
      </c>
      <c r="AB7" s="3">
        <v>3544383.3996000001</v>
      </c>
      <c r="AC7" s="3">
        <v>3150780.2096000002</v>
      </c>
      <c r="AD7" s="3">
        <v>3937859.0506000002</v>
      </c>
      <c r="AE7" s="3">
        <v>3902855.5162</v>
      </c>
      <c r="AF7" s="3">
        <v>4004539.2878</v>
      </c>
      <c r="AG7">
        <v>35637358.982599996</v>
      </c>
    </row>
    <row r="8" spans="20:33" x14ac:dyDescent="0.55000000000000004">
      <c r="T8" s="2">
        <v>2019</v>
      </c>
      <c r="U8" s="3">
        <v>3470505.8177999998</v>
      </c>
      <c r="V8" s="3">
        <v>3574654.8465999998</v>
      </c>
      <c r="W8" s="3">
        <v>3117169.6312000002</v>
      </c>
      <c r="X8" s="3">
        <v>3267213.6825999999</v>
      </c>
      <c r="Y8" s="3">
        <v>3886596.1047999999</v>
      </c>
      <c r="Z8" s="3">
        <v>3102695.8480000002</v>
      </c>
      <c r="AA8" s="3">
        <v>3390434.1798</v>
      </c>
      <c r="AB8" s="3">
        <v>3368913.6296000001</v>
      </c>
      <c r="AC8" s="3">
        <v>3495386.5614</v>
      </c>
      <c r="AD8" s="3">
        <v>3670113.2012</v>
      </c>
      <c r="AE8" s="3">
        <v>3281473.3001999999</v>
      </c>
      <c r="AF8" s="3">
        <v>3072707.0425999998</v>
      </c>
      <c r="AG8">
        <v>40697863.845799997</v>
      </c>
    </row>
    <row r="9" spans="20:33" x14ac:dyDescent="0.55000000000000004">
      <c r="T9" s="2">
        <v>2020</v>
      </c>
      <c r="U9" s="3">
        <v>3474087.4794000001</v>
      </c>
      <c r="V9" s="3">
        <v>3007658.7954000002</v>
      </c>
      <c r="W9" s="3">
        <v>3493433.0885999999</v>
      </c>
      <c r="X9" s="3">
        <v>3599225.8709999998</v>
      </c>
      <c r="Y9" s="3">
        <v>3282032.1993999998</v>
      </c>
      <c r="Z9" s="3">
        <v>3075571.5262000002</v>
      </c>
      <c r="AA9" s="3">
        <v>3242242.1192000001</v>
      </c>
      <c r="AB9" s="3">
        <v>3574279.8295999998</v>
      </c>
      <c r="AC9" s="3">
        <v>4232364.8622000003</v>
      </c>
      <c r="AD9" s="3">
        <v>4504376.8364000004</v>
      </c>
      <c r="AE9" s="3">
        <v>4770005.2665999997</v>
      </c>
      <c r="AF9" s="3">
        <v>4409066.4818000002</v>
      </c>
      <c r="AG9">
        <v>44664344.355799995</v>
      </c>
    </row>
    <row r="10" spans="20:33" x14ac:dyDescent="0.55000000000000004">
      <c r="T10" s="2">
        <v>2021</v>
      </c>
      <c r="U10" s="3">
        <v>3657291.2108</v>
      </c>
      <c r="V10" s="3">
        <v>3972949.6107999999</v>
      </c>
      <c r="W10" s="3">
        <v>3833416.5669999998</v>
      </c>
      <c r="X10" s="3">
        <v>3575943.6504000002</v>
      </c>
      <c r="Y10" s="3">
        <v>3443874.4443999999</v>
      </c>
      <c r="Z10" s="3">
        <v>3210269.5298000001</v>
      </c>
      <c r="AA10" s="3">
        <v>2813525.1768999998</v>
      </c>
      <c r="AB10" s="3">
        <v>2859143.2895999998</v>
      </c>
      <c r="AC10" s="3">
        <v>3291463.0134999999</v>
      </c>
      <c r="AD10" s="3">
        <v>3289593.2513000001</v>
      </c>
      <c r="AE10" s="3">
        <v>3257808.9846000001</v>
      </c>
      <c r="AF10" s="3">
        <v>3944334.0693000001</v>
      </c>
      <c r="AG10">
        <v>41149612.798400007</v>
      </c>
    </row>
    <row r="11" spans="20:33" x14ac:dyDescent="0.55000000000000004">
      <c r="T11" s="2">
        <v>2022</v>
      </c>
      <c r="U11" s="3">
        <v>3468385.6348999999</v>
      </c>
      <c r="V11" s="3">
        <v>3536274.5621000002</v>
      </c>
      <c r="W11" s="3">
        <v>3891975.7714</v>
      </c>
      <c r="X11" s="3">
        <v>3016609.1283</v>
      </c>
      <c r="Y11" s="3">
        <v>2961676.3371000001</v>
      </c>
      <c r="Z11" s="3">
        <v>3125362.9914000002</v>
      </c>
      <c r="AA11" s="3">
        <v>2752356.7374999998</v>
      </c>
      <c r="AB11" s="3">
        <v>2951452.1353000002</v>
      </c>
      <c r="AC11" s="3">
        <v>3444289.5781</v>
      </c>
      <c r="AD11" s="3">
        <v>3589378.1941</v>
      </c>
      <c r="AE11" s="3">
        <v>3583957.5606</v>
      </c>
      <c r="AF11" s="3">
        <v>3137089.7341999998</v>
      </c>
      <c r="AG11">
        <v>39458808.365000002</v>
      </c>
    </row>
    <row r="12" spans="20:33" x14ac:dyDescent="0.55000000000000004">
      <c r="T12" s="2">
        <v>2023</v>
      </c>
      <c r="U12" s="3">
        <v>2591523.6557</v>
      </c>
      <c r="V12" s="3">
        <v>2461834.4695000001</v>
      </c>
      <c r="W12" s="3">
        <v>3166636.1178000001</v>
      </c>
      <c r="X12" s="3">
        <v>2495688.7404</v>
      </c>
      <c r="Y12" s="3">
        <v>2667981.5397999999</v>
      </c>
      <c r="Z12" s="3">
        <v>2658586.2069000001</v>
      </c>
      <c r="AA12" s="3">
        <v>3152174.0872</v>
      </c>
      <c r="AB12" s="3">
        <v>3815631.5874999999</v>
      </c>
      <c r="AC12" s="3">
        <v>3765915.8426000001</v>
      </c>
      <c r="AD12" s="3">
        <v>4412709.4688999997</v>
      </c>
      <c r="AE12" s="3">
        <v>4329650.4085999997</v>
      </c>
      <c r="AF12" s="3">
        <v>4186199.7505999999</v>
      </c>
      <c r="AG12">
        <v>39704531.875500001</v>
      </c>
    </row>
    <row r="13" spans="20:33" x14ac:dyDescent="0.55000000000000004">
      <c r="T13" s="2">
        <v>2024</v>
      </c>
      <c r="U13" s="3">
        <v>3998730.5814999999</v>
      </c>
      <c r="V13" s="3">
        <v>3742175.4912</v>
      </c>
      <c r="W13" s="3">
        <v>4308615.3492999999</v>
      </c>
      <c r="X13" s="3">
        <v>4276347.5065000001</v>
      </c>
      <c r="Y13" s="3">
        <v>4446510.5935000004</v>
      </c>
      <c r="Z13" s="3">
        <v>3770707.0170999998</v>
      </c>
      <c r="AA13" s="3">
        <v>3881567.0380000002</v>
      </c>
      <c r="AB13" s="3">
        <v>4092677.6348000001</v>
      </c>
      <c r="AC13" s="3">
        <v>4921683.9052999998</v>
      </c>
      <c r="AD13" s="3">
        <v>5112274.1502</v>
      </c>
      <c r="AE13" s="3">
        <v>4323717.0991000002</v>
      </c>
      <c r="AF13" s="3">
        <v>3872441.9127000002</v>
      </c>
      <c r="AG13">
        <v>50747448.279199995</v>
      </c>
    </row>
    <row r="14" spans="20:33" x14ac:dyDescent="0.55000000000000004">
      <c r="T14" s="2">
        <v>2025</v>
      </c>
      <c r="U14" s="3">
        <v>3770072.5644</v>
      </c>
      <c r="V14" s="3">
        <v>3317751.1784000001</v>
      </c>
      <c r="W14" s="3">
        <v>3067521.2503</v>
      </c>
      <c r="X14" s="3">
        <v>2851110.3402</v>
      </c>
      <c r="Y14" s="3">
        <v>3054295.3678000001</v>
      </c>
      <c r="Z14" s="3">
        <v>2608187.5926000001</v>
      </c>
      <c r="AA14" s="3">
        <v>2898313.1976000001</v>
      </c>
      <c r="AB14" s="3">
        <v>3244664.7385999998</v>
      </c>
      <c r="AC14" s="3">
        <v>4040788.3796000001</v>
      </c>
      <c r="AD14" s="3">
        <v>4261080.5694000004</v>
      </c>
      <c r="AE14" s="3">
        <v>3650503.9964000001</v>
      </c>
      <c r="AF14" s="3">
        <v>3169202.7525999998</v>
      </c>
      <c r="AG14">
        <v>39933491.927900001</v>
      </c>
    </row>
    <row r="15" spans="20:33" x14ac:dyDescent="0.55000000000000004">
      <c r="T15" s="2">
        <v>2026</v>
      </c>
      <c r="U15" s="3">
        <v>2808075.7245</v>
      </c>
      <c r="V15" s="3">
        <v>2618119.8382000001</v>
      </c>
      <c r="W15" s="3">
        <v>3058938.5846000002</v>
      </c>
      <c r="X15" s="3"/>
      <c r="Y15" s="3"/>
      <c r="Z15" s="3"/>
      <c r="AA15" s="3"/>
      <c r="AB15" s="3"/>
      <c r="AC15" s="3"/>
      <c r="AD15" s="3"/>
      <c r="AE15" s="3"/>
      <c r="AF15" s="3"/>
      <c r="AG15">
        <v>8485134.1472999994</v>
      </c>
    </row>
    <row r="16" spans="20:33" x14ac:dyDescent="0.55000000000000004">
      <c r="T16" s="2" t="s">
        <v>313</v>
      </c>
      <c r="U16">
        <v>35414001.254000001</v>
      </c>
      <c r="V16">
        <v>34272110.028600007</v>
      </c>
      <c r="W16">
        <v>36572825.673400007</v>
      </c>
      <c r="X16">
        <v>30169135.407600001</v>
      </c>
      <c r="Y16">
        <v>30603626.4256</v>
      </c>
      <c r="Z16">
        <v>28777359.579399999</v>
      </c>
      <c r="AA16">
        <v>28436955.242199998</v>
      </c>
      <c r="AB16">
        <v>33105648.184599996</v>
      </c>
      <c r="AC16">
        <v>35852516.243500002</v>
      </c>
      <c r="AD16">
        <v>39042290.160499997</v>
      </c>
      <c r="AE16">
        <v>37342427.390100002</v>
      </c>
      <c r="AF16">
        <v>36083417.616800003</v>
      </c>
      <c r="AG16">
        <v>405672313.20630008</v>
      </c>
    </row>
    <row r="20" spans="20:32" x14ac:dyDescent="0.55000000000000004">
      <c r="U20" s="5">
        <v>1</v>
      </c>
      <c r="V20" s="5">
        <v>2</v>
      </c>
      <c r="W20" s="5">
        <v>3</v>
      </c>
      <c r="X20" s="5">
        <v>4</v>
      </c>
      <c r="Y20" s="5">
        <v>5</v>
      </c>
      <c r="Z20" s="5">
        <v>6</v>
      </c>
      <c r="AA20" s="5">
        <v>7</v>
      </c>
      <c r="AB20" s="5">
        <v>8</v>
      </c>
      <c r="AC20" s="5">
        <v>9</v>
      </c>
      <c r="AD20" s="5">
        <v>10</v>
      </c>
      <c r="AE20" s="5">
        <v>11</v>
      </c>
      <c r="AF20" s="5">
        <v>12</v>
      </c>
    </row>
    <row r="21" spans="20:32" x14ac:dyDescent="0.55000000000000004">
      <c r="T21">
        <v>2016</v>
      </c>
      <c r="U21" s="4">
        <f>IFERROR(IF(GETPIVOTDATA("GBE",$T$3,"Year",$T21,"Month",U$20)=0,NA(),GETPIVOTDATA("GBE",$T$3,"Year",$T21,"Month",U$20)),NA())</f>
        <v>2808927.753</v>
      </c>
      <c r="V21" s="4">
        <f t="shared" ref="V21:AF33" si="0">IFERROR(IF(GETPIVOTDATA("GBE",$T$3,"Year",$T21,"Month",V$20)=0,NA(),GETPIVOTDATA("GBE",$T$3,"Year",$T21,"Month",V$20)),NA())</f>
        <v>2938277.4643999999</v>
      </c>
      <c r="W21" s="4">
        <f t="shared" si="0"/>
        <v>3102405.7878</v>
      </c>
      <c r="X21" s="4">
        <f t="shared" si="0"/>
        <v>2458143.3232</v>
      </c>
      <c r="Y21" s="4">
        <f t="shared" si="0"/>
        <v>2528952.0764000001</v>
      </c>
      <c r="Z21" s="4">
        <f t="shared" si="0"/>
        <v>2450865.2281999998</v>
      </c>
      <c r="AA21" s="4">
        <f t="shared" si="0"/>
        <v>1967243.2716000001</v>
      </c>
      <c r="AB21" s="4">
        <f t="shared" si="0"/>
        <v>3044358.361</v>
      </c>
      <c r="AC21" s="4">
        <f t="shared" si="0"/>
        <v>3068226.0144000002</v>
      </c>
      <c r="AD21" s="4">
        <f t="shared" si="0"/>
        <v>3362927.9485999998</v>
      </c>
      <c r="AE21" s="4">
        <f t="shared" si="0"/>
        <v>3276941.2110000001</v>
      </c>
      <c r="AF21" s="4">
        <f t="shared" si="0"/>
        <v>3261882.1011999999</v>
      </c>
    </row>
    <row r="22" spans="20:32" x14ac:dyDescent="0.55000000000000004">
      <c r="T22">
        <f>T21+1</f>
        <v>2017</v>
      </c>
      <c r="U22" s="4">
        <f t="shared" ref="U22:U33" si="1">IFERROR(IF(GETPIVOTDATA("GBE",$T$3,"Year",$T22,"Month",U$20)=0,NA(),GETPIVOTDATA("GBE",$T$3,"Year",$T22,"Month",U$20)),NA())</f>
        <v>2646464.4473999999</v>
      </c>
      <c r="V22" s="4">
        <f t="shared" si="0"/>
        <v>2590825.4108000002</v>
      </c>
      <c r="W22" s="4">
        <f t="shared" si="0"/>
        <v>2834349.1150000002</v>
      </c>
      <c r="X22" s="4">
        <f t="shared" si="0"/>
        <v>2240098.304</v>
      </c>
      <c r="Y22" s="4">
        <f t="shared" si="0"/>
        <v>2602453.3553999998</v>
      </c>
      <c r="Z22" s="4">
        <f t="shared" si="0"/>
        <v>2191499.2459999998</v>
      </c>
      <c r="AA22" s="4">
        <f t="shared" si="0"/>
        <v>1873670.733</v>
      </c>
      <c r="AB22" s="4">
        <f t="shared" si="0"/>
        <v>2610143.5789999999</v>
      </c>
      <c r="AC22" s="4">
        <f t="shared" si="0"/>
        <v>2441617.8768000002</v>
      </c>
      <c r="AD22" s="4">
        <f t="shared" si="0"/>
        <v>2901977.4898000001</v>
      </c>
      <c r="AE22" s="4">
        <f t="shared" si="0"/>
        <v>2965514.0468000001</v>
      </c>
      <c r="AF22" s="4">
        <f t="shared" si="0"/>
        <v>3025954.4840000002</v>
      </c>
    </row>
    <row r="23" spans="20:32" x14ac:dyDescent="0.55000000000000004">
      <c r="T23">
        <f t="shared" ref="T23:T33" si="2">T22+1</f>
        <v>2018</v>
      </c>
      <c r="U23" s="4">
        <f t="shared" si="1"/>
        <v>2719936.3846</v>
      </c>
      <c r="V23" s="4">
        <f t="shared" si="0"/>
        <v>2511588.3612000002</v>
      </c>
      <c r="W23" s="4">
        <f t="shared" si="0"/>
        <v>2698364.4103999999</v>
      </c>
      <c r="X23" s="4">
        <f t="shared" si="0"/>
        <v>2388754.861</v>
      </c>
      <c r="Y23" s="4">
        <f t="shared" si="0"/>
        <v>1729254.4069999999</v>
      </c>
      <c r="Z23" s="4">
        <f t="shared" si="0"/>
        <v>2583614.3931999998</v>
      </c>
      <c r="AA23" s="4">
        <f t="shared" si="0"/>
        <v>2465428.7014000001</v>
      </c>
      <c r="AB23" s="4">
        <f t="shared" si="0"/>
        <v>3544383.3996000001</v>
      </c>
      <c r="AC23" s="4">
        <f t="shared" si="0"/>
        <v>3150780.2096000002</v>
      </c>
      <c r="AD23" s="4">
        <f t="shared" si="0"/>
        <v>3937859.0506000002</v>
      </c>
      <c r="AE23" s="4">
        <f t="shared" si="0"/>
        <v>3902855.5162</v>
      </c>
      <c r="AF23" s="4">
        <f t="shared" si="0"/>
        <v>4004539.2878</v>
      </c>
    </row>
    <row r="24" spans="20:32" x14ac:dyDescent="0.55000000000000004">
      <c r="T24">
        <f t="shared" si="2"/>
        <v>2019</v>
      </c>
      <c r="U24" s="4">
        <f t="shared" si="1"/>
        <v>3470505.8177999998</v>
      </c>
      <c r="V24" s="4">
        <f t="shared" si="0"/>
        <v>3574654.8465999998</v>
      </c>
      <c r="W24" s="4">
        <f t="shared" si="0"/>
        <v>3117169.6312000002</v>
      </c>
      <c r="X24" s="4">
        <f t="shared" si="0"/>
        <v>3267213.6825999999</v>
      </c>
      <c r="Y24" s="4">
        <f t="shared" si="0"/>
        <v>3886596.1047999999</v>
      </c>
      <c r="Z24" s="4">
        <f t="shared" si="0"/>
        <v>3102695.8480000002</v>
      </c>
      <c r="AA24" s="4">
        <f t="shared" si="0"/>
        <v>3390434.1798</v>
      </c>
      <c r="AB24" s="4">
        <f t="shared" si="0"/>
        <v>3368913.6296000001</v>
      </c>
      <c r="AC24" s="4">
        <f t="shared" si="0"/>
        <v>3495386.5614</v>
      </c>
      <c r="AD24" s="4">
        <f t="shared" si="0"/>
        <v>3670113.2012</v>
      </c>
      <c r="AE24" s="4">
        <f t="shared" si="0"/>
        <v>3281473.3001999999</v>
      </c>
      <c r="AF24" s="4">
        <f t="shared" si="0"/>
        <v>3072707.0425999998</v>
      </c>
    </row>
    <row r="25" spans="20:32" x14ac:dyDescent="0.55000000000000004">
      <c r="T25">
        <f t="shared" si="2"/>
        <v>2020</v>
      </c>
      <c r="U25" s="4">
        <f t="shared" si="1"/>
        <v>3474087.4794000001</v>
      </c>
      <c r="V25" s="4">
        <f t="shared" si="0"/>
        <v>3007658.7954000002</v>
      </c>
      <c r="W25" s="4">
        <f t="shared" si="0"/>
        <v>3493433.0885999999</v>
      </c>
      <c r="X25" s="4">
        <f t="shared" si="0"/>
        <v>3599225.8709999998</v>
      </c>
      <c r="Y25" s="4">
        <f t="shared" si="0"/>
        <v>3282032.1993999998</v>
      </c>
      <c r="Z25" s="4">
        <f t="shared" si="0"/>
        <v>3075571.5262000002</v>
      </c>
      <c r="AA25" s="4">
        <f t="shared" si="0"/>
        <v>3242242.1192000001</v>
      </c>
      <c r="AB25" s="4">
        <f t="shared" si="0"/>
        <v>3574279.8295999998</v>
      </c>
      <c r="AC25" s="4">
        <f t="shared" si="0"/>
        <v>4232364.8622000003</v>
      </c>
      <c r="AD25" s="4">
        <f t="shared" si="0"/>
        <v>4504376.8364000004</v>
      </c>
      <c r="AE25" s="4">
        <f t="shared" si="0"/>
        <v>4770005.2665999997</v>
      </c>
      <c r="AF25" s="4">
        <f t="shared" si="0"/>
        <v>4409066.4818000002</v>
      </c>
    </row>
    <row r="26" spans="20:32" x14ac:dyDescent="0.55000000000000004">
      <c r="T26">
        <f t="shared" si="2"/>
        <v>2021</v>
      </c>
      <c r="U26" s="4">
        <f t="shared" si="1"/>
        <v>3657291.2108</v>
      </c>
      <c r="V26" s="4">
        <f t="shared" si="0"/>
        <v>3972949.6107999999</v>
      </c>
      <c r="W26" s="4">
        <f t="shared" si="0"/>
        <v>3833416.5669999998</v>
      </c>
      <c r="X26" s="4">
        <f t="shared" si="0"/>
        <v>3575943.6504000002</v>
      </c>
      <c r="Y26" s="4">
        <f t="shared" si="0"/>
        <v>3443874.4443999999</v>
      </c>
      <c r="Z26" s="4">
        <f t="shared" si="0"/>
        <v>3210269.5298000001</v>
      </c>
      <c r="AA26" s="4">
        <f t="shared" si="0"/>
        <v>2813525.1768999998</v>
      </c>
      <c r="AB26" s="4">
        <f t="shared" si="0"/>
        <v>2859143.2895999998</v>
      </c>
      <c r="AC26" s="4">
        <f t="shared" si="0"/>
        <v>3291463.0134999999</v>
      </c>
      <c r="AD26" s="4">
        <f t="shared" si="0"/>
        <v>3289593.2513000001</v>
      </c>
      <c r="AE26" s="4">
        <f t="shared" si="0"/>
        <v>3257808.9846000001</v>
      </c>
      <c r="AF26" s="4">
        <f t="shared" si="0"/>
        <v>3944334.0693000001</v>
      </c>
    </row>
    <row r="27" spans="20:32" x14ac:dyDescent="0.55000000000000004">
      <c r="T27">
        <f t="shared" si="2"/>
        <v>2022</v>
      </c>
      <c r="U27" s="4">
        <f t="shared" si="1"/>
        <v>3468385.6348999999</v>
      </c>
      <c r="V27" s="4">
        <f t="shared" si="0"/>
        <v>3536274.5621000002</v>
      </c>
      <c r="W27" s="4">
        <f t="shared" si="0"/>
        <v>3891975.7714</v>
      </c>
      <c r="X27" s="4">
        <f t="shared" si="0"/>
        <v>3016609.1283</v>
      </c>
      <c r="Y27" s="4">
        <f t="shared" si="0"/>
        <v>2961676.3371000001</v>
      </c>
      <c r="Z27" s="4">
        <f t="shared" si="0"/>
        <v>3125362.9914000002</v>
      </c>
      <c r="AA27" s="4">
        <f t="shared" si="0"/>
        <v>2752356.7374999998</v>
      </c>
      <c r="AB27" s="4">
        <f t="shared" si="0"/>
        <v>2951452.1353000002</v>
      </c>
      <c r="AC27" s="4">
        <f t="shared" si="0"/>
        <v>3444289.5781</v>
      </c>
      <c r="AD27" s="4">
        <f t="shared" si="0"/>
        <v>3589378.1941</v>
      </c>
      <c r="AE27" s="4">
        <f t="shared" si="0"/>
        <v>3583957.5606</v>
      </c>
      <c r="AF27" s="4">
        <f t="shared" si="0"/>
        <v>3137089.7341999998</v>
      </c>
    </row>
    <row r="28" spans="20:32" x14ac:dyDescent="0.55000000000000004">
      <c r="T28">
        <f t="shared" si="2"/>
        <v>2023</v>
      </c>
      <c r="U28" s="4">
        <f t="shared" si="1"/>
        <v>2591523.6557</v>
      </c>
      <c r="V28" s="4">
        <f t="shared" si="0"/>
        <v>2461834.4695000001</v>
      </c>
      <c r="W28" s="4">
        <f t="shared" si="0"/>
        <v>3166636.1178000001</v>
      </c>
      <c r="X28" s="4">
        <f t="shared" si="0"/>
        <v>2495688.7404</v>
      </c>
      <c r="Y28" s="4">
        <f t="shared" si="0"/>
        <v>2667981.5397999999</v>
      </c>
      <c r="Z28" s="4">
        <f t="shared" si="0"/>
        <v>2658586.2069000001</v>
      </c>
      <c r="AA28" s="4">
        <f t="shared" si="0"/>
        <v>3152174.0872</v>
      </c>
      <c r="AB28" s="4">
        <f t="shared" si="0"/>
        <v>3815631.5874999999</v>
      </c>
      <c r="AC28" s="4">
        <f t="shared" si="0"/>
        <v>3765915.8426000001</v>
      </c>
      <c r="AD28" s="4">
        <f t="shared" si="0"/>
        <v>4412709.4688999997</v>
      </c>
      <c r="AE28" s="4">
        <f t="shared" si="0"/>
        <v>4329650.4085999997</v>
      </c>
      <c r="AF28" s="4">
        <f t="shared" si="0"/>
        <v>4186199.7505999999</v>
      </c>
    </row>
    <row r="29" spans="20:32" x14ac:dyDescent="0.55000000000000004">
      <c r="T29">
        <f t="shared" si="2"/>
        <v>2024</v>
      </c>
      <c r="U29" s="4">
        <f t="shared" si="1"/>
        <v>3998730.5814999999</v>
      </c>
      <c r="V29" s="4">
        <f t="shared" si="0"/>
        <v>3742175.4912</v>
      </c>
      <c r="W29" s="4">
        <f t="shared" si="0"/>
        <v>4308615.3492999999</v>
      </c>
      <c r="X29" s="4">
        <f t="shared" si="0"/>
        <v>4276347.5065000001</v>
      </c>
      <c r="Y29" s="4">
        <f t="shared" si="0"/>
        <v>4446510.5935000004</v>
      </c>
      <c r="Z29" s="4">
        <f t="shared" si="0"/>
        <v>3770707.0170999998</v>
      </c>
      <c r="AA29" s="4">
        <f t="shared" si="0"/>
        <v>3881567.0380000002</v>
      </c>
      <c r="AB29" s="4">
        <f t="shared" si="0"/>
        <v>4092677.6348000001</v>
      </c>
      <c r="AC29" s="4">
        <f t="shared" si="0"/>
        <v>4921683.9052999998</v>
      </c>
      <c r="AD29" s="4">
        <f t="shared" si="0"/>
        <v>5112274.1502</v>
      </c>
      <c r="AE29" s="4">
        <f t="shared" si="0"/>
        <v>4323717.0991000002</v>
      </c>
      <c r="AF29" s="4">
        <f t="shared" si="0"/>
        <v>3872441.9127000002</v>
      </c>
    </row>
    <row r="30" spans="20:32" x14ac:dyDescent="0.55000000000000004">
      <c r="T30">
        <f t="shared" si="2"/>
        <v>2025</v>
      </c>
      <c r="U30" s="4">
        <f t="shared" si="1"/>
        <v>3770072.5644</v>
      </c>
      <c r="V30" s="4">
        <f t="shared" si="0"/>
        <v>3317751.1784000001</v>
      </c>
      <c r="W30" s="4">
        <f t="shared" si="0"/>
        <v>3067521.2503</v>
      </c>
      <c r="X30" s="4">
        <f t="shared" si="0"/>
        <v>2851110.3402</v>
      </c>
      <c r="Y30" s="4">
        <f t="shared" si="0"/>
        <v>3054295.3678000001</v>
      </c>
      <c r="Z30" s="4">
        <f t="shared" si="0"/>
        <v>2608187.5926000001</v>
      </c>
      <c r="AA30" s="4">
        <f t="shared" si="0"/>
        <v>2898313.1976000001</v>
      </c>
      <c r="AB30" s="4">
        <f t="shared" si="0"/>
        <v>3244664.7385999998</v>
      </c>
      <c r="AC30" s="4">
        <f t="shared" si="0"/>
        <v>4040788.3796000001</v>
      </c>
      <c r="AD30" s="4">
        <f t="shared" si="0"/>
        <v>4261080.5694000004</v>
      </c>
      <c r="AE30" s="4">
        <f t="shared" si="0"/>
        <v>3650503.9964000001</v>
      </c>
      <c r="AF30" s="4">
        <f t="shared" si="0"/>
        <v>3169202.7525999998</v>
      </c>
    </row>
    <row r="31" spans="20:32" x14ac:dyDescent="0.55000000000000004">
      <c r="T31">
        <f t="shared" si="2"/>
        <v>2026</v>
      </c>
      <c r="U31" s="4">
        <f t="shared" si="1"/>
        <v>2808075.7245</v>
      </c>
      <c r="V31" s="4">
        <f t="shared" si="0"/>
        <v>2618119.8382000001</v>
      </c>
      <c r="W31" s="4">
        <f t="shared" si="0"/>
        <v>3058938.5846000002</v>
      </c>
      <c r="X31" s="4" t="e">
        <f t="shared" si="0"/>
        <v>#N/A</v>
      </c>
      <c r="Y31" s="4" t="e">
        <f t="shared" si="0"/>
        <v>#N/A</v>
      </c>
      <c r="Z31" s="4" t="e">
        <f t="shared" si="0"/>
        <v>#N/A</v>
      </c>
      <c r="AA31" s="4" t="e">
        <f t="shared" si="0"/>
        <v>#N/A</v>
      </c>
      <c r="AB31" s="4" t="e">
        <f t="shared" si="0"/>
        <v>#N/A</v>
      </c>
      <c r="AC31" s="4" t="e">
        <f t="shared" si="0"/>
        <v>#N/A</v>
      </c>
      <c r="AD31" s="4" t="e">
        <f t="shared" si="0"/>
        <v>#N/A</v>
      </c>
      <c r="AE31" s="4" t="e">
        <f t="shared" si="0"/>
        <v>#N/A</v>
      </c>
      <c r="AF31" s="4" t="e">
        <f t="shared" si="0"/>
        <v>#N/A</v>
      </c>
    </row>
    <row r="32" spans="20:32" x14ac:dyDescent="0.55000000000000004">
      <c r="T32">
        <f t="shared" si="2"/>
        <v>2027</v>
      </c>
      <c r="U32" s="4" t="e">
        <f t="shared" si="1"/>
        <v>#N/A</v>
      </c>
      <c r="V32" s="4" t="e">
        <f t="shared" si="0"/>
        <v>#N/A</v>
      </c>
      <c r="W32" s="4" t="e">
        <f t="shared" si="0"/>
        <v>#N/A</v>
      </c>
      <c r="X32" s="4" t="e">
        <f t="shared" si="0"/>
        <v>#N/A</v>
      </c>
      <c r="Y32" s="4" t="e">
        <f t="shared" si="0"/>
        <v>#N/A</v>
      </c>
      <c r="Z32" s="4" t="e">
        <f t="shared" si="0"/>
        <v>#N/A</v>
      </c>
      <c r="AA32" s="4" t="e">
        <f t="shared" si="0"/>
        <v>#N/A</v>
      </c>
      <c r="AB32" s="4" t="e">
        <f t="shared" si="0"/>
        <v>#N/A</v>
      </c>
      <c r="AC32" s="4" t="e">
        <f t="shared" si="0"/>
        <v>#N/A</v>
      </c>
      <c r="AD32" s="4" t="e">
        <f t="shared" si="0"/>
        <v>#N/A</v>
      </c>
      <c r="AE32" s="4" t="e">
        <f t="shared" si="0"/>
        <v>#N/A</v>
      </c>
      <c r="AF32" s="4" t="e">
        <f t="shared" si="0"/>
        <v>#N/A</v>
      </c>
    </row>
    <row r="33" spans="20:32" x14ac:dyDescent="0.55000000000000004">
      <c r="T33">
        <f t="shared" si="2"/>
        <v>2028</v>
      </c>
      <c r="U33" s="4" t="e">
        <f t="shared" si="1"/>
        <v>#N/A</v>
      </c>
      <c r="V33" s="4" t="e">
        <f t="shared" si="0"/>
        <v>#N/A</v>
      </c>
      <c r="W33" s="4" t="e">
        <f t="shared" si="0"/>
        <v>#N/A</v>
      </c>
      <c r="X33" s="4" t="e">
        <f t="shared" si="0"/>
        <v>#N/A</v>
      </c>
      <c r="Y33" s="4" t="e">
        <f t="shared" si="0"/>
        <v>#N/A</v>
      </c>
      <c r="Z33" s="4" t="e">
        <f t="shared" si="0"/>
        <v>#N/A</v>
      </c>
      <c r="AA33" s="4" t="e">
        <f t="shared" si="0"/>
        <v>#N/A</v>
      </c>
      <c r="AB33" s="4" t="e">
        <f t="shared" si="0"/>
        <v>#N/A</v>
      </c>
      <c r="AC33" s="4" t="e">
        <f t="shared" si="0"/>
        <v>#N/A</v>
      </c>
      <c r="AD33" s="4" t="e">
        <f t="shared" si="0"/>
        <v>#N/A</v>
      </c>
      <c r="AE33" s="4" t="e">
        <f t="shared" si="0"/>
        <v>#N/A</v>
      </c>
      <c r="AF33" s="4" t="e">
        <f t="shared" si="0"/>
        <v>#N/A</v>
      </c>
    </row>
    <row r="38" spans="20:32" x14ac:dyDescent="0.55000000000000004">
      <c r="U38" s="7" t="s">
        <v>327</v>
      </c>
      <c r="V38" s="7" t="s">
        <v>328</v>
      </c>
      <c r="W38" s="7" t="s">
        <v>329</v>
      </c>
      <c r="X38" s="7" t="s">
        <v>330</v>
      </c>
      <c r="Y38" s="7" t="s">
        <v>331</v>
      </c>
      <c r="Z38" s="7" t="s">
        <v>332</v>
      </c>
      <c r="AA38" s="7" t="s">
        <v>333</v>
      </c>
      <c r="AB38" s="7" t="s">
        <v>334</v>
      </c>
      <c r="AC38" s="7" t="s">
        <v>335</v>
      </c>
      <c r="AD38" s="7" t="s">
        <v>336</v>
      </c>
      <c r="AE38" s="7" t="s">
        <v>337</v>
      </c>
      <c r="AF38" s="7" t="s">
        <v>338</v>
      </c>
    </row>
    <row r="39" spans="20:32" x14ac:dyDescent="0.55000000000000004">
      <c r="T39" s="6" t="s">
        <v>316</v>
      </c>
      <c r="U39" s="3">
        <f>AD21</f>
        <v>3362927.9485999998</v>
      </c>
      <c r="V39" s="3">
        <f t="shared" ref="V39:W39" si="3">AE21</f>
        <v>3276941.2110000001</v>
      </c>
      <c r="W39" s="3">
        <f t="shared" si="3"/>
        <v>3261882.1011999999</v>
      </c>
      <c r="X39" s="3">
        <f>U22</f>
        <v>2646464.4473999999</v>
      </c>
      <c r="Y39" s="3">
        <f t="shared" ref="Y39:AF39" si="4">V22</f>
        <v>2590825.4108000002</v>
      </c>
      <c r="Z39" s="3">
        <f t="shared" si="4"/>
        <v>2834349.1150000002</v>
      </c>
      <c r="AA39" s="3">
        <f t="shared" si="4"/>
        <v>2240098.304</v>
      </c>
      <c r="AB39" s="3">
        <f t="shared" si="4"/>
        <v>2602453.3553999998</v>
      </c>
      <c r="AC39" s="3">
        <f t="shared" si="4"/>
        <v>2191499.2459999998</v>
      </c>
      <c r="AD39" s="3">
        <f t="shared" si="4"/>
        <v>1873670.733</v>
      </c>
      <c r="AE39" s="3">
        <f t="shared" si="4"/>
        <v>2610143.5789999999</v>
      </c>
      <c r="AF39" s="3">
        <f t="shared" si="4"/>
        <v>2441617.8768000002</v>
      </c>
    </row>
    <row r="40" spans="20:32" x14ac:dyDescent="0.55000000000000004">
      <c r="T40" s="6" t="s">
        <v>317</v>
      </c>
      <c r="U40" s="3">
        <f t="shared" ref="U40:U49" si="5">AD22</f>
        <v>2901977.4898000001</v>
      </c>
      <c r="V40" s="3">
        <f t="shared" ref="V40:V49" si="6">AE22</f>
        <v>2965514.0468000001</v>
      </c>
      <c r="W40" s="3">
        <f t="shared" ref="W40:W49" si="7">AF22</f>
        <v>3025954.4840000002</v>
      </c>
      <c r="X40" s="3">
        <f t="shared" ref="X40:X49" si="8">U23</f>
        <v>2719936.3846</v>
      </c>
      <c r="Y40" s="3">
        <f t="shared" ref="Y40:Y49" si="9">V23</f>
        <v>2511588.3612000002</v>
      </c>
      <c r="Z40" s="3">
        <f t="shared" ref="Z40:Z49" si="10">W23</f>
        <v>2698364.4103999999</v>
      </c>
      <c r="AA40" s="3">
        <f t="shared" ref="AA40:AA49" si="11">X23</f>
        <v>2388754.861</v>
      </c>
      <c r="AB40" s="3">
        <f t="shared" ref="AB40:AB49" si="12">Y23</f>
        <v>1729254.4069999999</v>
      </c>
      <c r="AC40" s="3">
        <f t="shared" ref="AC40:AC49" si="13">Z23</f>
        <v>2583614.3931999998</v>
      </c>
      <c r="AD40" s="3">
        <f t="shared" ref="AD40:AD49" si="14">AA23</f>
        <v>2465428.7014000001</v>
      </c>
      <c r="AE40" s="3">
        <f t="shared" ref="AE40:AE49" si="15">AB23</f>
        <v>3544383.3996000001</v>
      </c>
      <c r="AF40" s="3">
        <f t="shared" ref="AF40:AF49" si="16">AC23</f>
        <v>3150780.2096000002</v>
      </c>
    </row>
    <row r="41" spans="20:32" x14ac:dyDescent="0.55000000000000004">
      <c r="T41" s="6" t="s">
        <v>318</v>
      </c>
      <c r="U41" s="3">
        <f t="shared" si="5"/>
        <v>3937859.0506000002</v>
      </c>
      <c r="V41" s="3">
        <f t="shared" si="6"/>
        <v>3902855.5162</v>
      </c>
      <c r="W41" s="3">
        <f t="shared" si="7"/>
        <v>4004539.2878</v>
      </c>
      <c r="X41" s="3">
        <f t="shared" si="8"/>
        <v>3470505.8177999998</v>
      </c>
      <c r="Y41" s="3">
        <f t="shared" si="9"/>
        <v>3574654.8465999998</v>
      </c>
      <c r="Z41" s="3">
        <f t="shared" si="10"/>
        <v>3117169.6312000002</v>
      </c>
      <c r="AA41" s="3">
        <f t="shared" si="11"/>
        <v>3267213.6825999999</v>
      </c>
      <c r="AB41" s="3">
        <f t="shared" si="12"/>
        <v>3886596.1047999999</v>
      </c>
      <c r="AC41" s="3">
        <f t="shared" si="13"/>
        <v>3102695.8480000002</v>
      </c>
      <c r="AD41" s="3">
        <f t="shared" si="14"/>
        <v>3390434.1798</v>
      </c>
      <c r="AE41" s="3">
        <f t="shared" si="15"/>
        <v>3368913.6296000001</v>
      </c>
      <c r="AF41" s="3">
        <f t="shared" si="16"/>
        <v>3495386.5614</v>
      </c>
    </row>
    <row r="42" spans="20:32" x14ac:dyDescent="0.55000000000000004">
      <c r="T42" s="6" t="s">
        <v>319</v>
      </c>
      <c r="U42" s="3">
        <f t="shared" si="5"/>
        <v>3670113.2012</v>
      </c>
      <c r="V42" s="3">
        <f t="shared" si="6"/>
        <v>3281473.3001999999</v>
      </c>
      <c r="W42" s="3">
        <f t="shared" si="7"/>
        <v>3072707.0425999998</v>
      </c>
      <c r="X42" s="3">
        <f t="shared" si="8"/>
        <v>3474087.4794000001</v>
      </c>
      <c r="Y42" s="3">
        <f t="shared" si="9"/>
        <v>3007658.7954000002</v>
      </c>
      <c r="Z42" s="3">
        <f t="shared" si="10"/>
        <v>3493433.0885999999</v>
      </c>
      <c r="AA42" s="3">
        <f t="shared" si="11"/>
        <v>3599225.8709999998</v>
      </c>
      <c r="AB42" s="3">
        <f t="shared" si="12"/>
        <v>3282032.1993999998</v>
      </c>
      <c r="AC42" s="3">
        <f t="shared" si="13"/>
        <v>3075571.5262000002</v>
      </c>
      <c r="AD42" s="3">
        <f t="shared" si="14"/>
        <v>3242242.1192000001</v>
      </c>
      <c r="AE42" s="3">
        <f t="shared" si="15"/>
        <v>3574279.8295999998</v>
      </c>
      <c r="AF42" s="3">
        <f t="shared" si="16"/>
        <v>4232364.8622000003</v>
      </c>
    </row>
    <row r="43" spans="20:32" x14ac:dyDescent="0.55000000000000004">
      <c r="T43" s="6" t="s">
        <v>320</v>
      </c>
      <c r="U43" s="3">
        <f t="shared" si="5"/>
        <v>4504376.8364000004</v>
      </c>
      <c r="V43" s="3">
        <f t="shared" si="6"/>
        <v>4770005.2665999997</v>
      </c>
      <c r="W43" s="3">
        <f t="shared" si="7"/>
        <v>4409066.4818000002</v>
      </c>
      <c r="X43" s="3">
        <f t="shared" si="8"/>
        <v>3657291.2108</v>
      </c>
      <c r="Y43" s="3">
        <f t="shared" si="9"/>
        <v>3972949.6107999999</v>
      </c>
      <c r="Z43" s="3">
        <f t="shared" si="10"/>
        <v>3833416.5669999998</v>
      </c>
      <c r="AA43" s="3">
        <f t="shared" si="11"/>
        <v>3575943.6504000002</v>
      </c>
      <c r="AB43" s="3">
        <f t="shared" si="12"/>
        <v>3443874.4443999999</v>
      </c>
      <c r="AC43" s="3">
        <f t="shared" si="13"/>
        <v>3210269.5298000001</v>
      </c>
      <c r="AD43" s="3">
        <f t="shared" si="14"/>
        <v>2813525.1768999998</v>
      </c>
      <c r="AE43" s="3">
        <f t="shared" si="15"/>
        <v>2859143.2895999998</v>
      </c>
      <c r="AF43" s="3">
        <f t="shared" si="16"/>
        <v>3291463.0134999999</v>
      </c>
    </row>
    <row r="44" spans="20:32" x14ac:dyDescent="0.55000000000000004">
      <c r="T44" s="6" t="s">
        <v>321</v>
      </c>
      <c r="U44" s="3">
        <f t="shared" si="5"/>
        <v>3289593.2513000001</v>
      </c>
      <c r="V44" s="3">
        <f t="shared" si="6"/>
        <v>3257808.9846000001</v>
      </c>
      <c r="W44" s="3">
        <f t="shared" si="7"/>
        <v>3944334.0693000001</v>
      </c>
      <c r="X44" s="3">
        <f t="shared" si="8"/>
        <v>3468385.6348999999</v>
      </c>
      <c r="Y44" s="3">
        <f t="shared" si="9"/>
        <v>3536274.5621000002</v>
      </c>
      <c r="Z44" s="3">
        <f t="shared" si="10"/>
        <v>3891975.7714</v>
      </c>
      <c r="AA44" s="3">
        <f t="shared" si="11"/>
        <v>3016609.1283</v>
      </c>
      <c r="AB44" s="3">
        <f t="shared" si="12"/>
        <v>2961676.3371000001</v>
      </c>
      <c r="AC44" s="3">
        <f t="shared" si="13"/>
        <v>3125362.9914000002</v>
      </c>
      <c r="AD44" s="3">
        <f t="shared" si="14"/>
        <v>2752356.7374999998</v>
      </c>
      <c r="AE44" s="3">
        <f t="shared" si="15"/>
        <v>2951452.1353000002</v>
      </c>
      <c r="AF44" s="3">
        <f t="shared" si="16"/>
        <v>3444289.5781</v>
      </c>
    </row>
    <row r="45" spans="20:32" x14ac:dyDescent="0.55000000000000004">
      <c r="T45" s="6" t="s">
        <v>322</v>
      </c>
      <c r="U45" s="3">
        <f t="shared" si="5"/>
        <v>3589378.1941</v>
      </c>
      <c r="V45" s="3">
        <f t="shared" si="6"/>
        <v>3583957.5606</v>
      </c>
      <c r="W45" s="3">
        <f t="shared" si="7"/>
        <v>3137089.7341999998</v>
      </c>
      <c r="X45" s="3">
        <f t="shared" si="8"/>
        <v>2591523.6557</v>
      </c>
      <c r="Y45" s="3">
        <f t="shared" si="9"/>
        <v>2461834.4695000001</v>
      </c>
      <c r="Z45" s="3">
        <f t="shared" si="10"/>
        <v>3166636.1178000001</v>
      </c>
      <c r="AA45" s="3">
        <f t="shared" si="11"/>
        <v>2495688.7404</v>
      </c>
      <c r="AB45" s="3">
        <f t="shared" si="12"/>
        <v>2667981.5397999999</v>
      </c>
      <c r="AC45" s="3">
        <f t="shared" si="13"/>
        <v>2658586.2069000001</v>
      </c>
      <c r="AD45" s="3">
        <f t="shared" si="14"/>
        <v>3152174.0872</v>
      </c>
      <c r="AE45" s="3">
        <f t="shared" si="15"/>
        <v>3815631.5874999999</v>
      </c>
      <c r="AF45" s="3">
        <f t="shared" si="16"/>
        <v>3765915.8426000001</v>
      </c>
    </row>
    <row r="46" spans="20:32" x14ac:dyDescent="0.55000000000000004">
      <c r="T46" s="6" t="s">
        <v>323</v>
      </c>
      <c r="U46" s="3">
        <f t="shared" si="5"/>
        <v>4412709.4688999997</v>
      </c>
      <c r="V46" s="3">
        <f t="shared" si="6"/>
        <v>4329650.4085999997</v>
      </c>
      <c r="W46" s="3">
        <f t="shared" si="7"/>
        <v>4186199.7505999999</v>
      </c>
      <c r="X46" s="3">
        <f t="shared" si="8"/>
        <v>3998730.5814999999</v>
      </c>
      <c r="Y46" s="3">
        <f t="shared" si="9"/>
        <v>3742175.4912</v>
      </c>
      <c r="Z46" s="3">
        <f t="shared" si="10"/>
        <v>4308615.3492999999</v>
      </c>
      <c r="AA46" s="3">
        <f t="shared" si="11"/>
        <v>4276347.5065000001</v>
      </c>
      <c r="AB46" s="3">
        <f t="shared" si="12"/>
        <v>4446510.5935000004</v>
      </c>
      <c r="AC46" s="3">
        <f t="shared" si="13"/>
        <v>3770707.0170999998</v>
      </c>
      <c r="AD46" s="3">
        <f t="shared" si="14"/>
        <v>3881567.0380000002</v>
      </c>
      <c r="AE46" s="3">
        <f t="shared" si="15"/>
        <v>4092677.6348000001</v>
      </c>
      <c r="AF46" s="3">
        <f t="shared" si="16"/>
        <v>4921683.9052999998</v>
      </c>
    </row>
    <row r="47" spans="20:32" x14ac:dyDescent="0.55000000000000004">
      <c r="T47" s="6" t="s">
        <v>324</v>
      </c>
      <c r="U47" s="3">
        <f t="shared" si="5"/>
        <v>5112274.1502</v>
      </c>
      <c r="V47" s="3">
        <f t="shared" si="6"/>
        <v>4323717.0991000002</v>
      </c>
      <c r="W47" s="3">
        <f t="shared" si="7"/>
        <v>3872441.9127000002</v>
      </c>
      <c r="X47" s="3">
        <f t="shared" si="8"/>
        <v>3770072.5644</v>
      </c>
      <c r="Y47" s="3">
        <f t="shared" si="9"/>
        <v>3317751.1784000001</v>
      </c>
      <c r="Z47" s="3">
        <f t="shared" si="10"/>
        <v>3067521.2503</v>
      </c>
      <c r="AA47" s="3">
        <f t="shared" si="11"/>
        <v>2851110.3402</v>
      </c>
      <c r="AB47" s="3">
        <f t="shared" si="12"/>
        <v>3054295.3678000001</v>
      </c>
      <c r="AC47" s="3">
        <f t="shared" si="13"/>
        <v>2608187.5926000001</v>
      </c>
      <c r="AD47" s="3">
        <f t="shared" si="14"/>
        <v>2898313.1976000001</v>
      </c>
      <c r="AE47" s="3">
        <f t="shared" si="15"/>
        <v>3244664.7385999998</v>
      </c>
      <c r="AF47" s="3">
        <f t="shared" si="16"/>
        <v>4040788.3796000001</v>
      </c>
    </row>
    <row r="48" spans="20:32" x14ac:dyDescent="0.55000000000000004">
      <c r="T48" s="6" t="s">
        <v>325</v>
      </c>
      <c r="U48" s="3">
        <f t="shared" si="5"/>
        <v>4261080.5694000004</v>
      </c>
      <c r="V48" s="3">
        <f t="shared" si="6"/>
        <v>3650503.9964000001</v>
      </c>
      <c r="W48" s="3">
        <f t="shared" si="7"/>
        <v>3169202.7525999998</v>
      </c>
      <c r="X48" s="3">
        <f t="shared" si="8"/>
        <v>2808075.7245</v>
      </c>
      <c r="Y48" s="3">
        <f t="shared" si="9"/>
        <v>2618119.8382000001</v>
      </c>
      <c r="Z48" s="3">
        <f t="shared" si="10"/>
        <v>3058938.5846000002</v>
      </c>
      <c r="AA48" s="3" t="e">
        <f t="shared" si="11"/>
        <v>#N/A</v>
      </c>
      <c r="AB48" s="3" t="e">
        <f t="shared" si="12"/>
        <v>#N/A</v>
      </c>
      <c r="AC48" s="3" t="e">
        <f t="shared" si="13"/>
        <v>#N/A</v>
      </c>
      <c r="AD48" s="3" t="e">
        <f t="shared" si="14"/>
        <v>#N/A</v>
      </c>
      <c r="AE48" s="3" t="e">
        <f t="shared" si="15"/>
        <v>#N/A</v>
      </c>
      <c r="AF48" s="3" t="e">
        <f t="shared" si="16"/>
        <v>#N/A</v>
      </c>
    </row>
    <row r="49" spans="20:32" x14ac:dyDescent="0.55000000000000004">
      <c r="T49" s="6" t="s">
        <v>326</v>
      </c>
      <c r="U49" s="3" t="e">
        <f t="shared" si="5"/>
        <v>#N/A</v>
      </c>
      <c r="V49" s="3" t="e">
        <f t="shared" si="6"/>
        <v>#N/A</v>
      </c>
      <c r="W49" s="3" t="e">
        <f t="shared" si="7"/>
        <v>#N/A</v>
      </c>
      <c r="X49" s="3" t="e">
        <f t="shared" si="8"/>
        <v>#N/A</v>
      </c>
      <c r="Y49" s="3" t="e">
        <f t="shared" si="9"/>
        <v>#N/A</v>
      </c>
      <c r="Z49" s="3" t="e">
        <f t="shared" si="10"/>
        <v>#N/A</v>
      </c>
      <c r="AA49" s="3" t="e">
        <f t="shared" si="11"/>
        <v>#N/A</v>
      </c>
      <c r="AB49" s="3" t="e">
        <f t="shared" si="12"/>
        <v>#N/A</v>
      </c>
      <c r="AC49" s="3" t="e">
        <f t="shared" si="13"/>
        <v>#N/A</v>
      </c>
      <c r="AD49" s="3" t="e">
        <f t="shared" si="14"/>
        <v>#N/A</v>
      </c>
      <c r="AE49" s="3" t="e">
        <f t="shared" si="15"/>
        <v>#N/A</v>
      </c>
      <c r="AF49" s="3" t="e">
        <f t="shared" si="16"/>
        <v>#N/A</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D36-E622-4C0B-B096-8FC6EC32C3C3}">
  <dimension ref="A1:F7254"/>
  <sheetViews>
    <sheetView tabSelected="1" zoomScale="55" zoomScaleNormal="55" workbookViewId="0">
      <pane ySplit="1" topLeftCell="A7197" activePane="bottomLeft" state="frozen"/>
      <selection pane="bottomLeft" activeCell="L7211" sqref="L7211"/>
    </sheetView>
  </sheetViews>
  <sheetFormatPr defaultRowHeight="14.4" x14ac:dyDescent="0.55000000000000004"/>
  <cols>
    <col min="1" max="1" width="29.734375" bestFit="1" customWidth="1"/>
    <col min="2" max="2" width="27.3671875" bestFit="1" customWidth="1"/>
    <col min="3" max="3" width="11.68359375" bestFit="1" customWidth="1"/>
    <col min="4" max="4" width="10.9453125" bestFit="1" customWidth="1"/>
    <col min="5" max="5" width="6.5234375" bestFit="1" customWidth="1"/>
    <col min="6" max="6" width="8.41796875" bestFit="1" customWidth="1"/>
  </cols>
  <sheetData>
    <row r="1" spans="1:6" x14ac:dyDescent="0.55000000000000004">
      <c r="A1" t="s">
        <v>0</v>
      </c>
      <c r="B1" t="s">
        <v>1</v>
      </c>
      <c r="C1" t="s">
        <v>2</v>
      </c>
      <c r="D1" t="s">
        <v>186</v>
      </c>
      <c r="E1" t="s">
        <v>187</v>
      </c>
      <c r="F1" t="s">
        <v>188</v>
      </c>
    </row>
    <row r="2" spans="1:6" x14ac:dyDescent="0.55000000000000004">
      <c r="A2" t="s">
        <v>3</v>
      </c>
      <c r="B2" t="s">
        <v>4</v>
      </c>
      <c r="C2">
        <v>9861975.9419</v>
      </c>
      <c r="D2" t="s">
        <v>189</v>
      </c>
      <c r="E2">
        <v>2016</v>
      </c>
      <c r="F2">
        <v>1</v>
      </c>
    </row>
    <row r="3" spans="1:6" x14ac:dyDescent="0.55000000000000004">
      <c r="A3" t="s">
        <v>3</v>
      </c>
      <c r="B3" t="s">
        <v>5</v>
      </c>
      <c r="C3">
        <v>1182143.7294000001</v>
      </c>
      <c r="D3" t="s">
        <v>189</v>
      </c>
      <c r="E3">
        <v>2016</v>
      </c>
      <c r="F3">
        <v>1</v>
      </c>
    </row>
    <row r="4" spans="1:6" x14ac:dyDescent="0.55000000000000004">
      <c r="A4" t="s">
        <v>3</v>
      </c>
      <c r="B4" t="s">
        <v>6</v>
      </c>
      <c r="C4">
        <v>1672020.7235999999</v>
      </c>
      <c r="D4" t="s">
        <v>189</v>
      </c>
      <c r="E4">
        <v>2016</v>
      </c>
      <c r="F4">
        <v>1</v>
      </c>
    </row>
    <row r="5" spans="1:6" x14ac:dyDescent="0.55000000000000004">
      <c r="A5" t="s">
        <v>3</v>
      </c>
      <c r="B5" t="s">
        <v>7</v>
      </c>
      <c r="C5">
        <v>2865661.3092</v>
      </c>
      <c r="D5" t="s">
        <v>189</v>
      </c>
      <c r="E5">
        <v>2016</v>
      </c>
      <c r="F5">
        <v>1</v>
      </c>
    </row>
    <row r="6" spans="1:6" x14ac:dyDescent="0.55000000000000004">
      <c r="A6" t="s">
        <v>3</v>
      </c>
      <c r="B6" t="s">
        <v>8</v>
      </c>
      <c r="C6">
        <v>4142150.1797000002</v>
      </c>
      <c r="D6" t="s">
        <v>189</v>
      </c>
      <c r="E6">
        <v>2016</v>
      </c>
      <c r="F6">
        <v>1</v>
      </c>
    </row>
    <row r="7" spans="1:6" x14ac:dyDescent="0.55000000000000004">
      <c r="A7" t="s">
        <v>3</v>
      </c>
      <c r="B7" t="s">
        <v>9</v>
      </c>
      <c r="C7">
        <v>600</v>
      </c>
      <c r="D7" t="s">
        <v>189</v>
      </c>
      <c r="E7">
        <v>2016</v>
      </c>
      <c r="F7">
        <v>1</v>
      </c>
    </row>
    <row r="8" spans="1:6" x14ac:dyDescent="0.55000000000000004">
      <c r="A8" t="s">
        <v>3</v>
      </c>
      <c r="B8" t="s">
        <v>10</v>
      </c>
      <c r="C8">
        <v>3759.3833</v>
      </c>
      <c r="D8" t="s">
        <v>189</v>
      </c>
      <c r="E8">
        <v>2016</v>
      </c>
      <c r="F8">
        <v>1</v>
      </c>
    </row>
    <row r="9" spans="1:6" x14ac:dyDescent="0.55000000000000004">
      <c r="A9" t="s">
        <v>3</v>
      </c>
      <c r="B9" t="s">
        <v>11</v>
      </c>
      <c r="C9">
        <v>2808927.753</v>
      </c>
      <c r="D9" t="s">
        <v>189</v>
      </c>
      <c r="E9">
        <v>2016</v>
      </c>
      <c r="F9">
        <v>1</v>
      </c>
    </row>
    <row r="10" spans="1:6" x14ac:dyDescent="0.55000000000000004">
      <c r="A10" t="s">
        <v>3</v>
      </c>
      <c r="B10" t="s">
        <v>12</v>
      </c>
      <c r="C10">
        <v>21932.3138</v>
      </c>
      <c r="D10" t="s">
        <v>189</v>
      </c>
      <c r="E10">
        <v>2016</v>
      </c>
      <c r="F10">
        <v>1</v>
      </c>
    </row>
    <row r="11" spans="1:6" x14ac:dyDescent="0.55000000000000004">
      <c r="A11" t="s">
        <v>3</v>
      </c>
      <c r="B11" t="s">
        <v>13</v>
      </c>
      <c r="C11">
        <v>5300</v>
      </c>
      <c r="D11" t="s">
        <v>189</v>
      </c>
      <c r="E11">
        <v>2016</v>
      </c>
      <c r="F11">
        <v>1</v>
      </c>
    </row>
    <row r="12" spans="1:6" x14ac:dyDescent="0.55000000000000004">
      <c r="A12" t="s">
        <v>3</v>
      </c>
      <c r="B12" t="s">
        <v>14</v>
      </c>
      <c r="C12">
        <v>11107</v>
      </c>
      <c r="D12" t="s">
        <v>189</v>
      </c>
      <c r="E12">
        <v>2016</v>
      </c>
      <c r="F12">
        <v>1</v>
      </c>
    </row>
    <row r="13" spans="1:6" x14ac:dyDescent="0.55000000000000004">
      <c r="A13" t="s">
        <v>3</v>
      </c>
      <c r="B13" t="s">
        <v>15</v>
      </c>
      <c r="C13">
        <v>1098487.4094</v>
      </c>
      <c r="D13" t="s">
        <v>189</v>
      </c>
      <c r="E13">
        <v>2016</v>
      </c>
      <c r="F13">
        <v>1</v>
      </c>
    </row>
    <row r="14" spans="1:6" x14ac:dyDescent="0.55000000000000004">
      <c r="A14" t="s">
        <v>3</v>
      </c>
      <c r="B14" t="s">
        <v>16</v>
      </c>
      <c r="C14">
        <v>0</v>
      </c>
      <c r="D14" t="s">
        <v>189</v>
      </c>
      <c r="E14">
        <v>2016</v>
      </c>
      <c r="F14">
        <v>1</v>
      </c>
    </row>
    <row r="15" spans="1:6" x14ac:dyDescent="0.55000000000000004">
      <c r="A15" t="s">
        <v>3</v>
      </c>
      <c r="B15" t="s">
        <v>17</v>
      </c>
      <c r="C15">
        <v>66346.316699999996</v>
      </c>
      <c r="D15" t="s">
        <v>189</v>
      </c>
      <c r="E15">
        <v>2016</v>
      </c>
      <c r="F15">
        <v>1</v>
      </c>
    </row>
    <row r="16" spans="1:6" x14ac:dyDescent="0.55000000000000004">
      <c r="A16" t="s">
        <v>3</v>
      </c>
      <c r="B16" t="s">
        <v>18</v>
      </c>
      <c r="C16">
        <v>113243.1001</v>
      </c>
      <c r="D16" t="s">
        <v>189</v>
      </c>
      <c r="E16">
        <v>2016</v>
      </c>
      <c r="F16">
        <v>1</v>
      </c>
    </row>
    <row r="17" spans="1:6" x14ac:dyDescent="0.55000000000000004">
      <c r="A17" t="s">
        <v>3</v>
      </c>
      <c r="B17" t="s">
        <v>19</v>
      </c>
      <c r="C17">
        <v>6452</v>
      </c>
      <c r="D17" t="s">
        <v>189</v>
      </c>
      <c r="E17">
        <v>2016</v>
      </c>
      <c r="F17">
        <v>1</v>
      </c>
    </row>
    <row r="18" spans="1:6" x14ac:dyDescent="0.55000000000000004">
      <c r="A18" t="s">
        <v>3</v>
      </c>
      <c r="B18" t="s">
        <v>20</v>
      </c>
      <c r="C18">
        <v>7930</v>
      </c>
      <c r="D18" t="s">
        <v>189</v>
      </c>
      <c r="E18">
        <v>2016</v>
      </c>
      <c r="F18">
        <v>1</v>
      </c>
    </row>
    <row r="19" spans="1:6" x14ac:dyDescent="0.55000000000000004">
      <c r="A19" t="s">
        <v>3</v>
      </c>
      <c r="B19" t="s">
        <v>21</v>
      </c>
      <c r="C19">
        <v>1683.6111000000001</v>
      </c>
      <c r="D19" t="s">
        <v>189</v>
      </c>
      <c r="E19">
        <v>2016</v>
      </c>
      <c r="F19">
        <v>1</v>
      </c>
    </row>
    <row r="20" spans="1:6" x14ac:dyDescent="0.55000000000000004">
      <c r="A20" t="s">
        <v>3</v>
      </c>
      <c r="B20" t="s">
        <v>22</v>
      </c>
      <c r="C20">
        <v>53830.284800000001</v>
      </c>
      <c r="D20" t="s">
        <v>189</v>
      </c>
      <c r="E20">
        <v>2016</v>
      </c>
      <c r="F20">
        <v>1</v>
      </c>
    </row>
    <row r="21" spans="1:6" x14ac:dyDescent="0.55000000000000004">
      <c r="A21" t="s">
        <v>3</v>
      </c>
      <c r="B21" t="s">
        <v>23</v>
      </c>
      <c r="C21">
        <v>30263.7202</v>
      </c>
      <c r="D21" t="s">
        <v>189</v>
      </c>
      <c r="E21">
        <v>2016</v>
      </c>
      <c r="F21">
        <v>1</v>
      </c>
    </row>
    <row r="22" spans="1:6" x14ac:dyDescent="0.55000000000000004">
      <c r="A22" t="s">
        <v>3</v>
      </c>
      <c r="B22" t="s">
        <v>24</v>
      </c>
      <c r="C22">
        <v>0</v>
      </c>
      <c r="D22" t="s">
        <v>189</v>
      </c>
      <c r="E22">
        <v>2016</v>
      </c>
      <c r="F22">
        <v>1</v>
      </c>
    </row>
    <row r="23" spans="1:6" x14ac:dyDescent="0.55000000000000004">
      <c r="A23" t="s">
        <v>3</v>
      </c>
      <c r="B23" t="s">
        <v>25</v>
      </c>
      <c r="C23">
        <v>141722</v>
      </c>
      <c r="D23" t="s">
        <v>189</v>
      </c>
      <c r="E23">
        <v>2016</v>
      </c>
      <c r="F23">
        <v>1</v>
      </c>
    </row>
    <row r="24" spans="1:6" x14ac:dyDescent="0.55000000000000004">
      <c r="A24" t="s">
        <v>3</v>
      </c>
      <c r="B24" t="s">
        <v>26</v>
      </c>
      <c r="C24">
        <v>0</v>
      </c>
      <c r="D24" t="s">
        <v>189</v>
      </c>
      <c r="E24">
        <v>2016</v>
      </c>
      <c r="F24">
        <v>1</v>
      </c>
    </row>
    <row r="25" spans="1:6" x14ac:dyDescent="0.55000000000000004">
      <c r="A25" t="s">
        <v>3</v>
      </c>
      <c r="B25" t="s">
        <v>27</v>
      </c>
      <c r="C25">
        <v>1634.1953000000001</v>
      </c>
      <c r="D25" t="s">
        <v>189</v>
      </c>
      <c r="E25">
        <v>2016</v>
      </c>
      <c r="F25">
        <v>1</v>
      </c>
    </row>
    <row r="26" spans="1:6" x14ac:dyDescent="0.55000000000000004">
      <c r="A26" t="s">
        <v>3</v>
      </c>
      <c r="B26" t="s">
        <v>28</v>
      </c>
      <c r="C26">
        <v>189981.05720000001</v>
      </c>
      <c r="D26" t="s">
        <v>189</v>
      </c>
      <c r="E26">
        <v>2016</v>
      </c>
      <c r="F26">
        <v>1</v>
      </c>
    </row>
    <row r="27" spans="1:6" x14ac:dyDescent="0.55000000000000004">
      <c r="A27" t="s">
        <v>3</v>
      </c>
      <c r="B27" t="s">
        <v>29</v>
      </c>
      <c r="C27">
        <v>21067.141299999999</v>
      </c>
      <c r="D27" t="s">
        <v>189</v>
      </c>
      <c r="E27">
        <v>2016</v>
      </c>
      <c r="F27">
        <v>1</v>
      </c>
    </row>
    <row r="28" spans="1:6" x14ac:dyDescent="0.55000000000000004">
      <c r="A28" t="s">
        <v>3</v>
      </c>
      <c r="B28" t="s">
        <v>30</v>
      </c>
      <c r="C28">
        <v>2.2967</v>
      </c>
      <c r="D28" t="s">
        <v>189</v>
      </c>
      <c r="E28">
        <v>2016</v>
      </c>
      <c r="F28">
        <v>1</v>
      </c>
    </row>
    <row r="29" spans="1:6" x14ac:dyDescent="0.55000000000000004">
      <c r="A29" t="s">
        <v>3</v>
      </c>
      <c r="B29" t="s">
        <v>31</v>
      </c>
      <c r="C29">
        <v>15.889799999999999</v>
      </c>
      <c r="D29" t="s">
        <v>189</v>
      </c>
      <c r="E29">
        <v>2016</v>
      </c>
      <c r="F29">
        <v>1</v>
      </c>
    </row>
    <row r="30" spans="1:6" x14ac:dyDescent="0.55000000000000004">
      <c r="A30" t="s">
        <v>3</v>
      </c>
      <c r="B30" t="s">
        <v>32</v>
      </c>
      <c r="C30">
        <v>580080.14800000004</v>
      </c>
      <c r="D30" t="s">
        <v>189</v>
      </c>
      <c r="E30">
        <v>2016</v>
      </c>
      <c r="F30">
        <v>1</v>
      </c>
    </row>
    <row r="31" spans="1:6" x14ac:dyDescent="0.55000000000000004">
      <c r="A31" t="s">
        <v>3</v>
      </c>
      <c r="B31" t="s">
        <v>33</v>
      </c>
      <c r="C31">
        <v>369335.48499999999</v>
      </c>
      <c r="D31" t="s">
        <v>189</v>
      </c>
      <c r="E31">
        <v>2016</v>
      </c>
      <c r="F31">
        <v>1</v>
      </c>
    </row>
    <row r="32" spans="1:6" x14ac:dyDescent="0.55000000000000004">
      <c r="A32" t="s">
        <v>3</v>
      </c>
      <c r="B32" t="s">
        <v>34</v>
      </c>
      <c r="C32">
        <v>408710.09600000002</v>
      </c>
      <c r="D32" t="s">
        <v>189</v>
      </c>
      <c r="E32">
        <v>2016</v>
      </c>
      <c r="F32">
        <v>1</v>
      </c>
    </row>
    <row r="33" spans="1:6" x14ac:dyDescent="0.55000000000000004">
      <c r="A33" t="s">
        <v>3</v>
      </c>
      <c r="B33" t="s">
        <v>35</v>
      </c>
      <c r="C33">
        <v>538.94870000000003</v>
      </c>
      <c r="D33" t="s">
        <v>189</v>
      </c>
      <c r="E33">
        <v>2016</v>
      </c>
      <c r="F33">
        <v>1</v>
      </c>
    </row>
    <row r="34" spans="1:6" x14ac:dyDescent="0.55000000000000004">
      <c r="A34" t="s">
        <v>3</v>
      </c>
      <c r="B34" t="s">
        <v>36</v>
      </c>
      <c r="C34">
        <v>31752.37</v>
      </c>
      <c r="D34" t="s">
        <v>189</v>
      </c>
      <c r="E34">
        <v>2016</v>
      </c>
      <c r="F34">
        <v>1</v>
      </c>
    </row>
    <row r="35" spans="1:6" x14ac:dyDescent="0.55000000000000004">
      <c r="A35" t="s">
        <v>3</v>
      </c>
      <c r="B35" t="s">
        <v>37</v>
      </c>
      <c r="C35">
        <v>15583.8349</v>
      </c>
      <c r="D35" t="s">
        <v>189</v>
      </c>
      <c r="E35">
        <v>2016</v>
      </c>
      <c r="F35">
        <v>1</v>
      </c>
    </row>
    <row r="36" spans="1:6" x14ac:dyDescent="0.55000000000000004">
      <c r="A36" t="s">
        <v>3</v>
      </c>
      <c r="B36" t="s">
        <v>38</v>
      </c>
      <c r="C36">
        <v>1275</v>
      </c>
      <c r="D36" t="s">
        <v>189</v>
      </c>
      <c r="E36">
        <v>2016</v>
      </c>
      <c r="F36">
        <v>1</v>
      </c>
    </row>
    <row r="37" spans="1:6" x14ac:dyDescent="0.55000000000000004">
      <c r="A37" t="s">
        <v>3</v>
      </c>
      <c r="B37" t="s">
        <v>39</v>
      </c>
      <c r="C37">
        <v>1878.9025999999999</v>
      </c>
      <c r="D37" t="s">
        <v>189</v>
      </c>
      <c r="E37">
        <v>2016</v>
      </c>
      <c r="F37">
        <v>1</v>
      </c>
    </row>
    <row r="38" spans="1:6" x14ac:dyDescent="0.55000000000000004">
      <c r="A38" t="s">
        <v>3</v>
      </c>
      <c r="B38" t="s">
        <v>40</v>
      </c>
      <c r="C38">
        <v>4403.2578999999996</v>
      </c>
      <c r="D38" t="s">
        <v>189</v>
      </c>
      <c r="E38">
        <v>2016</v>
      </c>
      <c r="F38">
        <v>1</v>
      </c>
    </row>
    <row r="39" spans="1:6" x14ac:dyDescent="0.55000000000000004">
      <c r="A39" t="s">
        <v>3</v>
      </c>
      <c r="B39" t="s">
        <v>41</v>
      </c>
      <c r="C39">
        <v>152521.1349</v>
      </c>
      <c r="D39" t="s">
        <v>189</v>
      </c>
      <c r="E39">
        <v>2016</v>
      </c>
      <c r="F39">
        <v>1</v>
      </c>
    </row>
    <row r="40" spans="1:6" x14ac:dyDescent="0.55000000000000004">
      <c r="A40" t="s">
        <v>3</v>
      </c>
      <c r="B40" t="s">
        <v>42</v>
      </c>
      <c r="C40">
        <v>173.3751</v>
      </c>
      <c r="D40" t="s">
        <v>189</v>
      </c>
      <c r="E40">
        <v>2016</v>
      </c>
      <c r="F40">
        <v>1</v>
      </c>
    </row>
    <row r="41" spans="1:6" x14ac:dyDescent="0.55000000000000004">
      <c r="A41" t="s">
        <v>3</v>
      </c>
      <c r="B41" t="s">
        <v>43</v>
      </c>
      <c r="C41">
        <v>113166.7742</v>
      </c>
      <c r="D41" t="s">
        <v>189</v>
      </c>
      <c r="E41">
        <v>2016</v>
      </c>
      <c r="F41">
        <v>1</v>
      </c>
    </row>
    <row r="42" spans="1:6" x14ac:dyDescent="0.55000000000000004">
      <c r="A42" t="s">
        <v>3</v>
      </c>
      <c r="B42" t="s">
        <v>44</v>
      </c>
      <c r="C42">
        <v>0</v>
      </c>
      <c r="D42" t="s">
        <v>189</v>
      </c>
      <c r="E42">
        <v>2016</v>
      </c>
      <c r="F42">
        <v>1</v>
      </c>
    </row>
    <row r="43" spans="1:6" x14ac:dyDescent="0.55000000000000004">
      <c r="A43" t="s">
        <v>3</v>
      </c>
      <c r="B43" t="s">
        <v>45</v>
      </c>
      <c r="C43">
        <v>2807.3845000000001</v>
      </c>
      <c r="D43" t="s">
        <v>189</v>
      </c>
      <c r="E43">
        <v>2016</v>
      </c>
      <c r="F43">
        <v>1</v>
      </c>
    </row>
    <row r="44" spans="1:6" x14ac:dyDescent="0.55000000000000004">
      <c r="A44" t="s">
        <v>3</v>
      </c>
      <c r="B44" t="s">
        <v>46</v>
      </c>
      <c r="C44">
        <v>29139</v>
      </c>
      <c r="D44" t="s">
        <v>189</v>
      </c>
      <c r="E44">
        <v>2016</v>
      </c>
      <c r="F44">
        <v>1</v>
      </c>
    </row>
    <row r="45" spans="1:6" x14ac:dyDescent="0.55000000000000004">
      <c r="A45" t="s">
        <v>3</v>
      </c>
      <c r="B45" t="s">
        <v>47</v>
      </c>
      <c r="C45">
        <v>0</v>
      </c>
      <c r="D45" t="s">
        <v>189</v>
      </c>
      <c r="E45">
        <v>2016</v>
      </c>
      <c r="F45">
        <v>1</v>
      </c>
    </row>
    <row r="46" spans="1:6" x14ac:dyDescent="0.55000000000000004">
      <c r="A46" t="s">
        <v>3</v>
      </c>
      <c r="B46" t="s">
        <v>48</v>
      </c>
      <c r="C46">
        <v>160783.91</v>
      </c>
      <c r="D46" t="s">
        <v>189</v>
      </c>
      <c r="E46">
        <v>2016</v>
      </c>
      <c r="F46">
        <v>1</v>
      </c>
    </row>
    <row r="47" spans="1:6" x14ac:dyDescent="0.55000000000000004">
      <c r="A47" t="s">
        <v>3</v>
      </c>
      <c r="B47" t="s">
        <v>49</v>
      </c>
      <c r="C47">
        <v>722.3596</v>
      </c>
      <c r="D47" t="s">
        <v>189</v>
      </c>
      <c r="E47">
        <v>2016</v>
      </c>
      <c r="F47">
        <v>1</v>
      </c>
    </row>
    <row r="48" spans="1:6" x14ac:dyDescent="0.55000000000000004">
      <c r="A48" t="s">
        <v>3</v>
      </c>
      <c r="B48" t="s">
        <v>50</v>
      </c>
      <c r="C48">
        <v>17887.0458</v>
      </c>
      <c r="D48" t="s">
        <v>189</v>
      </c>
      <c r="E48">
        <v>2016</v>
      </c>
      <c r="F48">
        <v>1</v>
      </c>
    </row>
    <row r="49" spans="1:6" x14ac:dyDescent="0.55000000000000004">
      <c r="A49" t="s">
        <v>3</v>
      </c>
      <c r="B49" t="s">
        <v>51</v>
      </c>
      <c r="C49">
        <v>1806.0101999999999</v>
      </c>
      <c r="D49" t="s">
        <v>189</v>
      </c>
      <c r="E49">
        <v>2016</v>
      </c>
      <c r="F49">
        <v>1</v>
      </c>
    </row>
    <row r="50" spans="1:6" x14ac:dyDescent="0.55000000000000004">
      <c r="A50" t="s">
        <v>3</v>
      </c>
      <c r="B50" t="s">
        <v>52</v>
      </c>
      <c r="C50">
        <v>115.7966</v>
      </c>
      <c r="D50" t="s">
        <v>189</v>
      </c>
      <c r="E50">
        <v>2016</v>
      </c>
      <c r="F50">
        <v>1</v>
      </c>
    </row>
    <row r="51" spans="1:6" x14ac:dyDescent="0.55000000000000004">
      <c r="A51" t="s">
        <v>3</v>
      </c>
      <c r="B51" t="s">
        <v>53</v>
      </c>
      <c r="C51">
        <v>86914.880000000005</v>
      </c>
      <c r="D51" t="s">
        <v>189</v>
      </c>
      <c r="E51">
        <v>2016</v>
      </c>
      <c r="F51">
        <v>1</v>
      </c>
    </row>
    <row r="52" spans="1:6" x14ac:dyDescent="0.55000000000000004">
      <c r="A52" t="s">
        <v>3</v>
      </c>
      <c r="B52" t="s">
        <v>54</v>
      </c>
      <c r="C52">
        <v>10280.138300000001</v>
      </c>
      <c r="D52" t="s">
        <v>189</v>
      </c>
      <c r="E52">
        <v>2016</v>
      </c>
      <c r="F52">
        <v>1</v>
      </c>
    </row>
    <row r="53" spans="1:6" x14ac:dyDescent="0.55000000000000004">
      <c r="A53" t="s">
        <v>3</v>
      </c>
      <c r="B53" t="s">
        <v>55</v>
      </c>
      <c r="C53">
        <v>2950.7258000000002</v>
      </c>
      <c r="D53" t="s">
        <v>189</v>
      </c>
      <c r="E53">
        <v>2016</v>
      </c>
      <c r="F53">
        <v>1</v>
      </c>
    </row>
    <row r="54" spans="1:6" x14ac:dyDescent="0.55000000000000004">
      <c r="A54" t="s">
        <v>3</v>
      </c>
      <c r="B54" t="s">
        <v>56</v>
      </c>
      <c r="C54">
        <v>600</v>
      </c>
      <c r="D54" t="s">
        <v>189</v>
      </c>
      <c r="E54">
        <v>2016</v>
      </c>
      <c r="F54">
        <v>1</v>
      </c>
    </row>
    <row r="55" spans="1:6" x14ac:dyDescent="0.55000000000000004">
      <c r="A55" t="s">
        <v>3</v>
      </c>
      <c r="B55" t="s">
        <v>57</v>
      </c>
      <c r="C55">
        <v>83.003299999999996</v>
      </c>
      <c r="D55" t="s">
        <v>189</v>
      </c>
      <c r="E55">
        <v>2016</v>
      </c>
      <c r="F55">
        <v>1</v>
      </c>
    </row>
    <row r="56" spans="1:6" x14ac:dyDescent="0.55000000000000004">
      <c r="A56" t="s">
        <v>3</v>
      </c>
      <c r="B56" t="s">
        <v>58</v>
      </c>
      <c r="C56">
        <v>334727</v>
      </c>
      <c r="D56" t="s">
        <v>189</v>
      </c>
      <c r="E56">
        <v>2016</v>
      </c>
      <c r="F56">
        <v>1</v>
      </c>
    </row>
    <row r="57" spans="1:6" x14ac:dyDescent="0.55000000000000004">
      <c r="A57" t="s">
        <v>3</v>
      </c>
      <c r="B57" t="s">
        <v>59</v>
      </c>
      <c r="C57">
        <v>0</v>
      </c>
      <c r="D57" t="s">
        <v>189</v>
      </c>
      <c r="E57">
        <v>2016</v>
      </c>
      <c r="F57">
        <v>1</v>
      </c>
    </row>
    <row r="58" spans="1:6" x14ac:dyDescent="0.55000000000000004">
      <c r="A58" t="s">
        <v>3</v>
      </c>
      <c r="B58" t="s">
        <v>60</v>
      </c>
      <c r="C58">
        <v>2944269.5035000001</v>
      </c>
      <c r="D58" t="s">
        <v>189</v>
      </c>
      <c r="E58">
        <v>2016</v>
      </c>
      <c r="F58">
        <v>1</v>
      </c>
    </row>
    <row r="59" spans="1:6" x14ac:dyDescent="0.55000000000000004">
      <c r="A59" t="s">
        <v>3</v>
      </c>
      <c r="B59" t="s">
        <v>61</v>
      </c>
      <c r="C59">
        <v>3799.7251000000001</v>
      </c>
      <c r="D59" t="s">
        <v>189</v>
      </c>
      <c r="E59">
        <v>2016</v>
      </c>
      <c r="F59">
        <v>1</v>
      </c>
    </row>
    <row r="60" spans="1:6" x14ac:dyDescent="0.55000000000000004">
      <c r="A60" t="s">
        <v>3</v>
      </c>
      <c r="B60" t="s">
        <v>62</v>
      </c>
      <c r="C60">
        <v>381.10969999999998</v>
      </c>
      <c r="D60" t="s">
        <v>189</v>
      </c>
      <c r="E60">
        <v>2016</v>
      </c>
      <c r="F60">
        <v>1</v>
      </c>
    </row>
    <row r="61" spans="1:6" x14ac:dyDescent="0.55000000000000004">
      <c r="A61" t="s">
        <v>3</v>
      </c>
      <c r="B61" t="s">
        <v>63</v>
      </c>
      <c r="C61">
        <v>1003.5495</v>
      </c>
      <c r="D61" t="s">
        <v>189</v>
      </c>
      <c r="E61">
        <v>2016</v>
      </c>
      <c r="F61">
        <v>1</v>
      </c>
    </row>
    <row r="62" spans="1:6" x14ac:dyDescent="0.55000000000000004">
      <c r="A62" t="s">
        <v>64</v>
      </c>
      <c r="B62" t="s">
        <v>4</v>
      </c>
      <c r="C62">
        <v>9708590.8110000007</v>
      </c>
      <c r="D62" t="s">
        <v>190</v>
      </c>
      <c r="E62">
        <v>2016</v>
      </c>
      <c r="F62">
        <v>2</v>
      </c>
    </row>
    <row r="63" spans="1:6" x14ac:dyDescent="0.55000000000000004">
      <c r="A63" t="s">
        <v>64</v>
      </c>
      <c r="B63" t="s">
        <v>5</v>
      </c>
      <c r="C63">
        <v>1230264.7823000001</v>
      </c>
      <c r="D63" t="s">
        <v>190</v>
      </c>
      <c r="E63">
        <v>2016</v>
      </c>
      <c r="F63">
        <v>2</v>
      </c>
    </row>
    <row r="64" spans="1:6" x14ac:dyDescent="0.55000000000000004">
      <c r="A64" t="s">
        <v>64</v>
      </c>
      <c r="B64" t="s">
        <v>6</v>
      </c>
      <c r="C64">
        <v>2094779.1851999999</v>
      </c>
      <c r="D64" t="s">
        <v>190</v>
      </c>
      <c r="E64">
        <v>2016</v>
      </c>
      <c r="F64">
        <v>2</v>
      </c>
    </row>
    <row r="65" spans="1:6" x14ac:dyDescent="0.55000000000000004">
      <c r="A65" t="s">
        <v>64</v>
      </c>
      <c r="B65" t="s">
        <v>7</v>
      </c>
      <c r="C65">
        <v>2957240.9607000002</v>
      </c>
      <c r="D65" t="s">
        <v>190</v>
      </c>
      <c r="E65">
        <v>2016</v>
      </c>
      <c r="F65">
        <v>2</v>
      </c>
    </row>
    <row r="66" spans="1:6" x14ac:dyDescent="0.55000000000000004">
      <c r="A66" t="s">
        <v>64</v>
      </c>
      <c r="B66" t="s">
        <v>8</v>
      </c>
      <c r="C66">
        <v>3426305.8827999998</v>
      </c>
      <c r="D66" t="s">
        <v>190</v>
      </c>
      <c r="E66">
        <v>2016</v>
      </c>
      <c r="F66">
        <v>2</v>
      </c>
    </row>
    <row r="67" spans="1:6" x14ac:dyDescent="0.55000000000000004">
      <c r="A67" t="s">
        <v>64</v>
      </c>
      <c r="B67" t="s">
        <v>9</v>
      </c>
      <c r="C67">
        <v>0</v>
      </c>
      <c r="D67" t="s">
        <v>190</v>
      </c>
      <c r="E67">
        <v>2016</v>
      </c>
      <c r="F67">
        <v>2</v>
      </c>
    </row>
    <row r="68" spans="1:6" x14ac:dyDescent="0.55000000000000004">
      <c r="A68" t="s">
        <v>64</v>
      </c>
      <c r="B68" t="s">
        <v>10</v>
      </c>
      <c r="C68">
        <v>1760.8333</v>
      </c>
      <c r="D68" t="s">
        <v>190</v>
      </c>
      <c r="E68">
        <v>2016</v>
      </c>
      <c r="F68">
        <v>2</v>
      </c>
    </row>
    <row r="69" spans="1:6" x14ac:dyDescent="0.55000000000000004">
      <c r="A69" t="s">
        <v>64</v>
      </c>
      <c r="B69" t="s">
        <v>11</v>
      </c>
      <c r="C69">
        <v>2938277.4643999999</v>
      </c>
      <c r="D69" t="s">
        <v>190</v>
      </c>
      <c r="E69">
        <v>2016</v>
      </c>
      <c r="F69">
        <v>2</v>
      </c>
    </row>
    <row r="70" spans="1:6" x14ac:dyDescent="0.55000000000000004">
      <c r="A70" t="s">
        <v>64</v>
      </c>
      <c r="B70" t="s">
        <v>12</v>
      </c>
      <c r="C70">
        <v>18969.812099999999</v>
      </c>
      <c r="D70" t="s">
        <v>190</v>
      </c>
      <c r="E70">
        <v>2016</v>
      </c>
      <c r="F70">
        <v>2</v>
      </c>
    </row>
    <row r="71" spans="1:6" x14ac:dyDescent="0.55000000000000004">
      <c r="A71" t="s">
        <v>64</v>
      </c>
      <c r="B71" t="s">
        <v>13</v>
      </c>
      <c r="C71">
        <v>8780</v>
      </c>
      <c r="D71" t="s">
        <v>190</v>
      </c>
      <c r="E71">
        <v>2016</v>
      </c>
      <c r="F71">
        <v>2</v>
      </c>
    </row>
    <row r="72" spans="1:6" x14ac:dyDescent="0.55000000000000004">
      <c r="A72" t="s">
        <v>64</v>
      </c>
      <c r="B72" t="s">
        <v>14</v>
      </c>
      <c r="C72">
        <v>17612</v>
      </c>
      <c r="D72" t="s">
        <v>190</v>
      </c>
      <c r="E72">
        <v>2016</v>
      </c>
      <c r="F72">
        <v>2</v>
      </c>
    </row>
    <row r="73" spans="1:6" x14ac:dyDescent="0.55000000000000004">
      <c r="A73" t="s">
        <v>64</v>
      </c>
      <c r="B73" t="s">
        <v>15</v>
      </c>
      <c r="C73">
        <v>1112858.298</v>
      </c>
      <c r="D73" t="s">
        <v>190</v>
      </c>
      <c r="E73">
        <v>2016</v>
      </c>
      <c r="F73">
        <v>2</v>
      </c>
    </row>
    <row r="74" spans="1:6" x14ac:dyDescent="0.55000000000000004">
      <c r="A74" t="s">
        <v>64</v>
      </c>
      <c r="B74" t="s">
        <v>16</v>
      </c>
      <c r="C74">
        <v>0</v>
      </c>
      <c r="D74" t="s">
        <v>190</v>
      </c>
      <c r="E74">
        <v>2016</v>
      </c>
      <c r="F74">
        <v>2</v>
      </c>
    </row>
    <row r="75" spans="1:6" x14ac:dyDescent="0.55000000000000004">
      <c r="A75" t="s">
        <v>64</v>
      </c>
      <c r="B75" t="s">
        <v>17</v>
      </c>
      <c r="C75">
        <v>103670.48330000001</v>
      </c>
      <c r="D75" t="s">
        <v>190</v>
      </c>
      <c r="E75">
        <v>2016</v>
      </c>
      <c r="F75">
        <v>2</v>
      </c>
    </row>
    <row r="76" spans="1:6" x14ac:dyDescent="0.55000000000000004">
      <c r="A76" t="s">
        <v>64</v>
      </c>
      <c r="B76" t="s">
        <v>18</v>
      </c>
      <c r="C76">
        <v>100359.58289999999</v>
      </c>
      <c r="D76" t="s">
        <v>190</v>
      </c>
      <c r="E76">
        <v>2016</v>
      </c>
      <c r="F76">
        <v>2</v>
      </c>
    </row>
    <row r="77" spans="1:6" x14ac:dyDescent="0.55000000000000004">
      <c r="A77" t="s">
        <v>64</v>
      </c>
      <c r="B77" t="s">
        <v>19</v>
      </c>
      <c r="C77">
        <v>2700</v>
      </c>
      <c r="D77" t="s">
        <v>190</v>
      </c>
      <c r="E77">
        <v>2016</v>
      </c>
      <c r="F77">
        <v>2</v>
      </c>
    </row>
    <row r="78" spans="1:6" x14ac:dyDescent="0.55000000000000004">
      <c r="A78" t="s">
        <v>64</v>
      </c>
      <c r="B78" t="s">
        <v>20</v>
      </c>
      <c r="C78">
        <v>14057</v>
      </c>
      <c r="D78" t="s">
        <v>190</v>
      </c>
      <c r="E78">
        <v>2016</v>
      </c>
      <c r="F78">
        <v>2</v>
      </c>
    </row>
    <row r="79" spans="1:6" x14ac:dyDescent="0.55000000000000004">
      <c r="A79" t="s">
        <v>64</v>
      </c>
      <c r="B79" t="s">
        <v>21</v>
      </c>
      <c r="C79">
        <v>1044.0541000000001</v>
      </c>
      <c r="D79" t="s">
        <v>190</v>
      </c>
      <c r="E79">
        <v>2016</v>
      </c>
      <c r="F79">
        <v>2</v>
      </c>
    </row>
    <row r="80" spans="1:6" x14ac:dyDescent="0.55000000000000004">
      <c r="A80" t="s">
        <v>64</v>
      </c>
      <c r="B80" t="s">
        <v>22</v>
      </c>
      <c r="C80">
        <v>69819.915999999997</v>
      </c>
      <c r="D80" t="s">
        <v>190</v>
      </c>
      <c r="E80">
        <v>2016</v>
      </c>
      <c r="F80">
        <v>2</v>
      </c>
    </row>
    <row r="81" spans="1:6" x14ac:dyDescent="0.55000000000000004">
      <c r="A81" t="s">
        <v>64</v>
      </c>
      <c r="B81" t="s">
        <v>23</v>
      </c>
      <c r="C81">
        <v>55847.025199999996</v>
      </c>
      <c r="D81" t="s">
        <v>190</v>
      </c>
      <c r="E81">
        <v>2016</v>
      </c>
      <c r="F81">
        <v>2</v>
      </c>
    </row>
    <row r="82" spans="1:6" x14ac:dyDescent="0.55000000000000004">
      <c r="A82" t="s">
        <v>64</v>
      </c>
      <c r="B82" t="s">
        <v>24</v>
      </c>
      <c r="C82">
        <v>0</v>
      </c>
      <c r="D82" t="s">
        <v>190</v>
      </c>
      <c r="E82">
        <v>2016</v>
      </c>
      <c r="F82">
        <v>2</v>
      </c>
    </row>
    <row r="83" spans="1:6" x14ac:dyDescent="0.55000000000000004">
      <c r="A83" t="s">
        <v>64</v>
      </c>
      <c r="B83" t="s">
        <v>25</v>
      </c>
      <c r="C83">
        <v>183124.6667</v>
      </c>
      <c r="D83" t="s">
        <v>190</v>
      </c>
      <c r="E83">
        <v>2016</v>
      </c>
      <c r="F83">
        <v>2</v>
      </c>
    </row>
    <row r="84" spans="1:6" x14ac:dyDescent="0.55000000000000004">
      <c r="A84" t="s">
        <v>64</v>
      </c>
      <c r="B84" t="s">
        <v>26</v>
      </c>
      <c r="C84">
        <v>0</v>
      </c>
      <c r="D84" t="s">
        <v>190</v>
      </c>
      <c r="E84">
        <v>2016</v>
      </c>
      <c r="F84">
        <v>2</v>
      </c>
    </row>
    <row r="85" spans="1:6" x14ac:dyDescent="0.55000000000000004">
      <c r="A85" t="s">
        <v>64</v>
      </c>
      <c r="B85" t="s">
        <v>27</v>
      </c>
      <c r="C85">
        <v>2428.0446999999999</v>
      </c>
      <c r="D85" t="s">
        <v>190</v>
      </c>
      <c r="E85">
        <v>2016</v>
      </c>
      <c r="F85">
        <v>2</v>
      </c>
    </row>
    <row r="86" spans="1:6" x14ac:dyDescent="0.55000000000000004">
      <c r="A86" t="s">
        <v>64</v>
      </c>
      <c r="B86" t="s">
        <v>28</v>
      </c>
      <c r="C86">
        <v>286711.34460000001</v>
      </c>
      <c r="D86" t="s">
        <v>190</v>
      </c>
      <c r="E86">
        <v>2016</v>
      </c>
      <c r="F86">
        <v>2</v>
      </c>
    </row>
    <row r="87" spans="1:6" x14ac:dyDescent="0.55000000000000004">
      <c r="A87" t="s">
        <v>64</v>
      </c>
      <c r="B87" t="s">
        <v>29</v>
      </c>
      <c r="C87">
        <v>23153.811300000001</v>
      </c>
      <c r="D87" t="s">
        <v>190</v>
      </c>
      <c r="E87">
        <v>2016</v>
      </c>
      <c r="F87">
        <v>2</v>
      </c>
    </row>
    <row r="88" spans="1:6" x14ac:dyDescent="0.55000000000000004">
      <c r="A88" t="s">
        <v>64</v>
      </c>
      <c r="B88" t="s">
        <v>30</v>
      </c>
      <c r="C88">
        <v>6.11</v>
      </c>
      <c r="D88" t="s">
        <v>190</v>
      </c>
      <c r="E88">
        <v>2016</v>
      </c>
      <c r="F88">
        <v>2</v>
      </c>
    </row>
    <row r="89" spans="1:6" x14ac:dyDescent="0.55000000000000004">
      <c r="A89" t="s">
        <v>64</v>
      </c>
      <c r="B89" t="s">
        <v>31</v>
      </c>
      <c r="C89">
        <v>7.4169999999999998</v>
      </c>
      <c r="D89" t="s">
        <v>190</v>
      </c>
      <c r="E89">
        <v>2016</v>
      </c>
      <c r="F89">
        <v>2</v>
      </c>
    </row>
    <row r="90" spans="1:6" x14ac:dyDescent="0.55000000000000004">
      <c r="A90" t="s">
        <v>64</v>
      </c>
      <c r="B90" t="s">
        <v>32</v>
      </c>
      <c r="C90">
        <v>703525.20369999995</v>
      </c>
      <c r="D90" t="s">
        <v>190</v>
      </c>
      <c r="E90">
        <v>2016</v>
      </c>
      <c r="F90">
        <v>2</v>
      </c>
    </row>
    <row r="91" spans="1:6" x14ac:dyDescent="0.55000000000000004">
      <c r="A91" t="s">
        <v>64</v>
      </c>
      <c r="B91" t="s">
        <v>33</v>
      </c>
      <c r="C91">
        <v>538185.00910000002</v>
      </c>
      <c r="D91" t="s">
        <v>190</v>
      </c>
      <c r="E91">
        <v>2016</v>
      </c>
      <c r="F91">
        <v>2</v>
      </c>
    </row>
    <row r="92" spans="1:6" x14ac:dyDescent="0.55000000000000004">
      <c r="A92" t="s">
        <v>64</v>
      </c>
      <c r="B92" t="s">
        <v>34</v>
      </c>
      <c r="C92">
        <v>485579.03120000003</v>
      </c>
      <c r="D92" t="s">
        <v>190</v>
      </c>
      <c r="E92">
        <v>2016</v>
      </c>
      <c r="F92">
        <v>2</v>
      </c>
    </row>
    <row r="93" spans="1:6" x14ac:dyDescent="0.55000000000000004">
      <c r="A93" t="s">
        <v>64</v>
      </c>
      <c r="B93" t="s">
        <v>35</v>
      </c>
      <c r="C93">
        <v>48.333300000000001</v>
      </c>
      <c r="D93" t="s">
        <v>190</v>
      </c>
      <c r="E93">
        <v>2016</v>
      </c>
      <c r="F93">
        <v>2</v>
      </c>
    </row>
    <row r="94" spans="1:6" x14ac:dyDescent="0.55000000000000004">
      <c r="A94" t="s">
        <v>64</v>
      </c>
      <c r="B94" t="s">
        <v>36</v>
      </c>
      <c r="C94">
        <v>37446.183299999997</v>
      </c>
      <c r="D94" t="s">
        <v>190</v>
      </c>
      <c r="E94">
        <v>2016</v>
      </c>
      <c r="F94">
        <v>2</v>
      </c>
    </row>
    <row r="95" spans="1:6" x14ac:dyDescent="0.55000000000000004">
      <c r="A95" t="s">
        <v>64</v>
      </c>
      <c r="B95" t="s">
        <v>37</v>
      </c>
      <c r="C95">
        <v>36148.622199999998</v>
      </c>
      <c r="D95" t="s">
        <v>190</v>
      </c>
      <c r="E95">
        <v>2016</v>
      </c>
      <c r="F95">
        <v>2</v>
      </c>
    </row>
    <row r="96" spans="1:6" x14ac:dyDescent="0.55000000000000004">
      <c r="A96" t="s">
        <v>64</v>
      </c>
      <c r="B96" t="s">
        <v>38</v>
      </c>
      <c r="C96">
        <v>381.67</v>
      </c>
      <c r="D96" t="s">
        <v>190</v>
      </c>
      <c r="E96">
        <v>2016</v>
      </c>
      <c r="F96">
        <v>2</v>
      </c>
    </row>
    <row r="97" spans="1:6" x14ac:dyDescent="0.55000000000000004">
      <c r="A97" t="s">
        <v>64</v>
      </c>
      <c r="B97" t="s">
        <v>39</v>
      </c>
      <c r="C97">
        <v>624.56280000000004</v>
      </c>
      <c r="D97" t="s">
        <v>190</v>
      </c>
      <c r="E97">
        <v>2016</v>
      </c>
      <c r="F97">
        <v>2</v>
      </c>
    </row>
    <row r="98" spans="1:6" x14ac:dyDescent="0.55000000000000004">
      <c r="A98" t="s">
        <v>64</v>
      </c>
      <c r="B98" t="s">
        <v>40</v>
      </c>
      <c r="C98">
        <v>3008.6079</v>
      </c>
      <c r="D98" t="s">
        <v>190</v>
      </c>
      <c r="E98">
        <v>2016</v>
      </c>
      <c r="F98">
        <v>2</v>
      </c>
    </row>
    <row r="99" spans="1:6" x14ac:dyDescent="0.55000000000000004">
      <c r="A99" t="s">
        <v>64</v>
      </c>
      <c r="B99" t="s">
        <v>41</v>
      </c>
      <c r="C99">
        <v>180238.04060000001</v>
      </c>
      <c r="D99" t="s">
        <v>190</v>
      </c>
      <c r="E99">
        <v>2016</v>
      </c>
      <c r="F99">
        <v>2</v>
      </c>
    </row>
    <row r="100" spans="1:6" x14ac:dyDescent="0.55000000000000004">
      <c r="A100" t="s">
        <v>64</v>
      </c>
      <c r="B100" t="s">
        <v>42</v>
      </c>
      <c r="C100">
        <v>128.95509999999999</v>
      </c>
      <c r="D100" t="s">
        <v>190</v>
      </c>
      <c r="E100">
        <v>2016</v>
      </c>
      <c r="F100">
        <v>2</v>
      </c>
    </row>
    <row r="101" spans="1:6" x14ac:dyDescent="0.55000000000000004">
      <c r="A101" t="s">
        <v>64</v>
      </c>
      <c r="B101" t="s">
        <v>43</v>
      </c>
      <c r="C101">
        <v>182296.90030000001</v>
      </c>
      <c r="D101" t="s">
        <v>190</v>
      </c>
      <c r="E101">
        <v>2016</v>
      </c>
      <c r="F101">
        <v>2</v>
      </c>
    </row>
    <row r="102" spans="1:6" x14ac:dyDescent="0.55000000000000004">
      <c r="A102" t="s">
        <v>64</v>
      </c>
      <c r="B102" t="s">
        <v>44</v>
      </c>
      <c r="C102">
        <v>0.19170000000000001</v>
      </c>
      <c r="D102" t="s">
        <v>190</v>
      </c>
      <c r="E102">
        <v>2016</v>
      </c>
      <c r="F102">
        <v>2</v>
      </c>
    </row>
    <row r="103" spans="1:6" x14ac:dyDescent="0.55000000000000004">
      <c r="A103" t="s">
        <v>64</v>
      </c>
      <c r="B103" t="s">
        <v>45</v>
      </c>
      <c r="C103">
        <v>1731.3692000000001</v>
      </c>
      <c r="D103" t="s">
        <v>190</v>
      </c>
      <c r="E103">
        <v>2016</v>
      </c>
      <c r="F103">
        <v>2</v>
      </c>
    </row>
    <row r="104" spans="1:6" x14ac:dyDescent="0.55000000000000004">
      <c r="A104" t="s">
        <v>64</v>
      </c>
      <c r="B104" t="s">
        <v>46</v>
      </c>
      <c r="C104">
        <v>38886</v>
      </c>
      <c r="D104" t="s">
        <v>190</v>
      </c>
      <c r="E104">
        <v>2016</v>
      </c>
      <c r="F104">
        <v>2</v>
      </c>
    </row>
    <row r="105" spans="1:6" x14ac:dyDescent="0.55000000000000004">
      <c r="A105" t="s">
        <v>64</v>
      </c>
      <c r="B105" t="s">
        <v>47</v>
      </c>
      <c r="C105">
        <v>0</v>
      </c>
      <c r="D105" t="s">
        <v>190</v>
      </c>
      <c r="E105">
        <v>2016</v>
      </c>
      <c r="F105">
        <v>2</v>
      </c>
    </row>
    <row r="106" spans="1:6" x14ac:dyDescent="0.55000000000000004">
      <c r="A106" t="s">
        <v>64</v>
      </c>
      <c r="B106" t="s">
        <v>48</v>
      </c>
      <c r="C106">
        <v>122571.56</v>
      </c>
      <c r="D106" t="s">
        <v>190</v>
      </c>
      <c r="E106">
        <v>2016</v>
      </c>
      <c r="F106">
        <v>2</v>
      </c>
    </row>
    <row r="107" spans="1:6" x14ac:dyDescent="0.55000000000000004">
      <c r="A107" t="s">
        <v>64</v>
      </c>
      <c r="B107" t="s">
        <v>49</v>
      </c>
      <c r="C107">
        <v>557.42520000000002</v>
      </c>
      <c r="D107" t="s">
        <v>190</v>
      </c>
      <c r="E107">
        <v>2016</v>
      </c>
      <c r="F107">
        <v>2</v>
      </c>
    </row>
    <row r="108" spans="1:6" x14ac:dyDescent="0.55000000000000004">
      <c r="A108" t="s">
        <v>64</v>
      </c>
      <c r="B108" t="s">
        <v>50</v>
      </c>
      <c r="C108">
        <v>20061.845799999999</v>
      </c>
      <c r="D108" t="s">
        <v>190</v>
      </c>
      <c r="E108">
        <v>2016</v>
      </c>
      <c r="F108">
        <v>2</v>
      </c>
    </row>
    <row r="109" spans="1:6" x14ac:dyDescent="0.55000000000000004">
      <c r="A109" t="s">
        <v>64</v>
      </c>
      <c r="B109" t="s">
        <v>51</v>
      </c>
      <c r="C109">
        <v>1124.3402000000001</v>
      </c>
      <c r="D109" t="s">
        <v>190</v>
      </c>
      <c r="E109">
        <v>2016</v>
      </c>
      <c r="F109">
        <v>2</v>
      </c>
    </row>
    <row r="110" spans="1:6" x14ac:dyDescent="0.55000000000000004">
      <c r="A110" t="s">
        <v>64</v>
      </c>
      <c r="B110" t="s">
        <v>52</v>
      </c>
      <c r="C110">
        <v>119.9259</v>
      </c>
      <c r="D110" t="s">
        <v>190</v>
      </c>
      <c r="E110">
        <v>2016</v>
      </c>
      <c r="F110">
        <v>2</v>
      </c>
    </row>
    <row r="111" spans="1:6" x14ac:dyDescent="0.55000000000000004">
      <c r="A111" t="s">
        <v>64</v>
      </c>
      <c r="B111" t="s">
        <v>53</v>
      </c>
      <c r="C111">
        <v>135213.402</v>
      </c>
      <c r="D111" t="s">
        <v>190</v>
      </c>
      <c r="E111">
        <v>2016</v>
      </c>
      <c r="F111">
        <v>2</v>
      </c>
    </row>
    <row r="112" spans="1:6" x14ac:dyDescent="0.55000000000000004">
      <c r="A112" t="s">
        <v>64</v>
      </c>
      <c r="B112" t="s">
        <v>54</v>
      </c>
      <c r="C112">
        <v>10843.463100000001</v>
      </c>
      <c r="D112" t="s">
        <v>190</v>
      </c>
      <c r="E112">
        <v>2016</v>
      </c>
      <c r="F112">
        <v>2</v>
      </c>
    </row>
    <row r="113" spans="1:6" x14ac:dyDescent="0.55000000000000004">
      <c r="A113" t="s">
        <v>64</v>
      </c>
      <c r="B113" t="s">
        <v>55</v>
      </c>
      <c r="C113">
        <v>6795.0457999999999</v>
      </c>
      <c r="D113" t="s">
        <v>190</v>
      </c>
      <c r="E113">
        <v>2016</v>
      </c>
      <c r="F113">
        <v>2</v>
      </c>
    </row>
    <row r="114" spans="1:6" x14ac:dyDescent="0.55000000000000004">
      <c r="A114" t="s">
        <v>64</v>
      </c>
      <c r="B114" t="s">
        <v>56</v>
      </c>
      <c r="C114">
        <v>11236.2333</v>
      </c>
      <c r="D114" t="s">
        <v>190</v>
      </c>
      <c r="E114">
        <v>2016</v>
      </c>
      <c r="F114">
        <v>2</v>
      </c>
    </row>
    <row r="115" spans="1:6" x14ac:dyDescent="0.55000000000000004">
      <c r="A115" t="s">
        <v>64</v>
      </c>
      <c r="B115" t="s">
        <v>57</v>
      </c>
      <c r="C115">
        <v>61.421300000000002</v>
      </c>
      <c r="D115" t="s">
        <v>190</v>
      </c>
      <c r="E115">
        <v>2016</v>
      </c>
      <c r="F115">
        <v>2</v>
      </c>
    </row>
    <row r="116" spans="1:6" x14ac:dyDescent="0.55000000000000004">
      <c r="A116" t="s">
        <v>64</v>
      </c>
      <c r="B116" t="s">
        <v>58</v>
      </c>
      <c r="C116">
        <v>271941</v>
      </c>
      <c r="D116" t="s">
        <v>190</v>
      </c>
      <c r="E116">
        <v>2016</v>
      </c>
      <c r="F116">
        <v>2</v>
      </c>
    </row>
    <row r="117" spans="1:6" x14ac:dyDescent="0.55000000000000004">
      <c r="A117" t="s">
        <v>64</v>
      </c>
      <c r="B117" t="s">
        <v>59</v>
      </c>
      <c r="C117">
        <v>0</v>
      </c>
      <c r="D117" t="s">
        <v>190</v>
      </c>
      <c r="E117">
        <v>2016</v>
      </c>
      <c r="F117">
        <v>2</v>
      </c>
    </row>
    <row r="118" spans="1:6" x14ac:dyDescent="0.55000000000000004">
      <c r="A118" t="s">
        <v>64</v>
      </c>
      <c r="B118" t="s">
        <v>60</v>
      </c>
      <c r="C118">
        <v>1976422.1189999999</v>
      </c>
      <c r="D118" t="s">
        <v>190</v>
      </c>
      <c r="E118">
        <v>2016</v>
      </c>
      <c r="F118">
        <v>2</v>
      </c>
    </row>
    <row r="119" spans="1:6" x14ac:dyDescent="0.55000000000000004">
      <c r="A119" t="s">
        <v>64</v>
      </c>
      <c r="B119" t="s">
        <v>61</v>
      </c>
      <c r="C119">
        <v>1100.8499999999999</v>
      </c>
      <c r="D119" t="s">
        <v>190</v>
      </c>
      <c r="E119">
        <v>2016</v>
      </c>
      <c r="F119">
        <v>2</v>
      </c>
    </row>
    <row r="120" spans="1:6" x14ac:dyDescent="0.55000000000000004">
      <c r="A120" t="s">
        <v>64</v>
      </c>
      <c r="B120" t="s">
        <v>62</v>
      </c>
      <c r="C120">
        <v>766.10969999999998</v>
      </c>
      <c r="D120" t="s">
        <v>190</v>
      </c>
      <c r="E120">
        <v>2016</v>
      </c>
      <c r="F120">
        <v>2</v>
      </c>
    </row>
    <row r="121" spans="1:6" x14ac:dyDescent="0.55000000000000004">
      <c r="A121" t="s">
        <v>64</v>
      </c>
      <c r="B121" t="s">
        <v>63</v>
      </c>
      <c r="C121">
        <v>359.52569999999997</v>
      </c>
      <c r="D121" t="s">
        <v>190</v>
      </c>
      <c r="E121">
        <v>2016</v>
      </c>
      <c r="F121">
        <v>2</v>
      </c>
    </row>
    <row r="122" spans="1:6" x14ac:dyDescent="0.55000000000000004">
      <c r="A122" t="s">
        <v>65</v>
      </c>
      <c r="B122" t="s">
        <v>4</v>
      </c>
      <c r="C122">
        <v>11151174.5844</v>
      </c>
      <c r="D122" t="s">
        <v>191</v>
      </c>
      <c r="E122">
        <v>2016</v>
      </c>
      <c r="F122">
        <v>3</v>
      </c>
    </row>
    <row r="123" spans="1:6" x14ac:dyDescent="0.55000000000000004">
      <c r="A123" t="s">
        <v>65</v>
      </c>
      <c r="B123" t="s">
        <v>5</v>
      </c>
      <c r="C123">
        <v>1237665.0271999999</v>
      </c>
      <c r="D123" t="s">
        <v>191</v>
      </c>
      <c r="E123">
        <v>2016</v>
      </c>
      <c r="F123">
        <v>3</v>
      </c>
    </row>
    <row r="124" spans="1:6" x14ac:dyDescent="0.55000000000000004">
      <c r="A124" t="s">
        <v>65</v>
      </c>
      <c r="B124" t="s">
        <v>6</v>
      </c>
      <c r="C124">
        <v>2258747.5929</v>
      </c>
      <c r="D124" t="s">
        <v>191</v>
      </c>
      <c r="E124">
        <v>2016</v>
      </c>
      <c r="F124">
        <v>3</v>
      </c>
    </row>
    <row r="125" spans="1:6" x14ac:dyDescent="0.55000000000000004">
      <c r="A125" t="s">
        <v>65</v>
      </c>
      <c r="B125" t="s">
        <v>7</v>
      </c>
      <c r="C125">
        <v>3140506.0103000002</v>
      </c>
      <c r="D125" t="s">
        <v>191</v>
      </c>
      <c r="E125">
        <v>2016</v>
      </c>
      <c r="F125">
        <v>3</v>
      </c>
    </row>
    <row r="126" spans="1:6" x14ac:dyDescent="0.55000000000000004">
      <c r="A126" t="s">
        <v>65</v>
      </c>
      <c r="B126" t="s">
        <v>8</v>
      </c>
      <c r="C126">
        <v>4514255.9539999999</v>
      </c>
      <c r="D126" t="s">
        <v>191</v>
      </c>
      <c r="E126">
        <v>2016</v>
      </c>
      <c r="F126">
        <v>3</v>
      </c>
    </row>
    <row r="127" spans="1:6" x14ac:dyDescent="0.55000000000000004">
      <c r="A127" t="s">
        <v>65</v>
      </c>
      <c r="B127" t="s">
        <v>9</v>
      </c>
      <c r="C127">
        <v>0</v>
      </c>
      <c r="D127" t="s">
        <v>191</v>
      </c>
      <c r="E127">
        <v>2016</v>
      </c>
      <c r="F127">
        <v>3</v>
      </c>
    </row>
    <row r="128" spans="1:6" x14ac:dyDescent="0.55000000000000004">
      <c r="A128" t="s">
        <v>65</v>
      </c>
      <c r="B128" t="s">
        <v>10</v>
      </c>
      <c r="C128">
        <v>1437.7583</v>
      </c>
      <c r="D128" t="s">
        <v>191</v>
      </c>
      <c r="E128">
        <v>2016</v>
      </c>
      <c r="F128">
        <v>3</v>
      </c>
    </row>
    <row r="129" spans="1:6" x14ac:dyDescent="0.55000000000000004">
      <c r="A129" t="s">
        <v>65</v>
      </c>
      <c r="B129" t="s">
        <v>11</v>
      </c>
      <c r="C129">
        <v>3102405.7878</v>
      </c>
      <c r="D129" t="s">
        <v>191</v>
      </c>
      <c r="E129">
        <v>2016</v>
      </c>
      <c r="F129">
        <v>3</v>
      </c>
    </row>
    <row r="130" spans="1:6" x14ac:dyDescent="0.55000000000000004">
      <c r="A130" t="s">
        <v>65</v>
      </c>
      <c r="B130" t="s">
        <v>12</v>
      </c>
      <c r="C130">
        <v>19528.864799999999</v>
      </c>
      <c r="D130" t="s">
        <v>191</v>
      </c>
      <c r="E130">
        <v>2016</v>
      </c>
      <c r="F130">
        <v>3</v>
      </c>
    </row>
    <row r="131" spans="1:6" x14ac:dyDescent="0.55000000000000004">
      <c r="A131" t="s">
        <v>65</v>
      </c>
      <c r="B131" t="s">
        <v>13</v>
      </c>
      <c r="C131">
        <v>23542</v>
      </c>
      <c r="D131" t="s">
        <v>191</v>
      </c>
      <c r="E131">
        <v>2016</v>
      </c>
      <c r="F131">
        <v>3</v>
      </c>
    </row>
    <row r="132" spans="1:6" x14ac:dyDescent="0.55000000000000004">
      <c r="A132" t="s">
        <v>65</v>
      </c>
      <c r="B132" t="s">
        <v>14</v>
      </c>
      <c r="C132">
        <v>17576</v>
      </c>
      <c r="D132" t="s">
        <v>191</v>
      </c>
      <c r="E132">
        <v>2016</v>
      </c>
      <c r="F132">
        <v>3</v>
      </c>
    </row>
    <row r="133" spans="1:6" x14ac:dyDescent="0.55000000000000004">
      <c r="A133" t="s">
        <v>65</v>
      </c>
      <c r="B133" t="s">
        <v>15</v>
      </c>
      <c r="C133">
        <v>1091991.7216</v>
      </c>
      <c r="D133" t="s">
        <v>191</v>
      </c>
      <c r="E133">
        <v>2016</v>
      </c>
      <c r="F133">
        <v>3</v>
      </c>
    </row>
    <row r="134" spans="1:6" x14ac:dyDescent="0.55000000000000004">
      <c r="A134" t="s">
        <v>65</v>
      </c>
      <c r="B134" t="s">
        <v>16</v>
      </c>
      <c r="C134">
        <v>0</v>
      </c>
      <c r="D134" t="s">
        <v>191</v>
      </c>
      <c r="E134">
        <v>2016</v>
      </c>
      <c r="F134">
        <v>3</v>
      </c>
    </row>
    <row r="135" spans="1:6" x14ac:dyDescent="0.55000000000000004">
      <c r="A135" t="s">
        <v>65</v>
      </c>
      <c r="B135" t="s">
        <v>17</v>
      </c>
      <c r="C135">
        <v>114632.6833</v>
      </c>
      <c r="D135" t="s">
        <v>191</v>
      </c>
      <c r="E135">
        <v>2016</v>
      </c>
      <c r="F135">
        <v>3</v>
      </c>
    </row>
    <row r="136" spans="1:6" x14ac:dyDescent="0.55000000000000004">
      <c r="A136" t="s">
        <v>65</v>
      </c>
      <c r="B136" t="s">
        <v>18</v>
      </c>
      <c r="C136">
        <v>160170.6998</v>
      </c>
      <c r="D136" t="s">
        <v>191</v>
      </c>
      <c r="E136">
        <v>2016</v>
      </c>
      <c r="F136">
        <v>3</v>
      </c>
    </row>
    <row r="137" spans="1:6" x14ac:dyDescent="0.55000000000000004">
      <c r="A137" t="s">
        <v>65</v>
      </c>
      <c r="B137" t="s">
        <v>19</v>
      </c>
      <c r="C137">
        <v>1350</v>
      </c>
      <c r="D137" t="s">
        <v>191</v>
      </c>
      <c r="E137">
        <v>2016</v>
      </c>
      <c r="F137">
        <v>3</v>
      </c>
    </row>
    <row r="138" spans="1:6" x14ac:dyDescent="0.55000000000000004">
      <c r="A138" t="s">
        <v>65</v>
      </c>
      <c r="B138" t="s">
        <v>20</v>
      </c>
      <c r="C138">
        <v>14920</v>
      </c>
      <c r="D138" t="s">
        <v>191</v>
      </c>
      <c r="E138">
        <v>2016</v>
      </c>
      <c r="F138">
        <v>3</v>
      </c>
    </row>
    <row r="139" spans="1:6" x14ac:dyDescent="0.55000000000000004">
      <c r="A139" t="s">
        <v>65</v>
      </c>
      <c r="B139" t="s">
        <v>21</v>
      </c>
      <c r="C139">
        <v>3110.9495000000002</v>
      </c>
      <c r="D139" t="s">
        <v>191</v>
      </c>
      <c r="E139">
        <v>2016</v>
      </c>
      <c r="F139">
        <v>3</v>
      </c>
    </row>
    <row r="140" spans="1:6" x14ac:dyDescent="0.55000000000000004">
      <c r="A140" t="s">
        <v>65</v>
      </c>
      <c r="B140" t="s">
        <v>22</v>
      </c>
      <c r="C140">
        <v>83683.414799999999</v>
      </c>
      <c r="D140" t="s">
        <v>191</v>
      </c>
      <c r="E140">
        <v>2016</v>
      </c>
      <c r="F140">
        <v>3</v>
      </c>
    </row>
    <row r="141" spans="1:6" x14ac:dyDescent="0.55000000000000004">
      <c r="A141" t="s">
        <v>65</v>
      </c>
      <c r="B141" t="s">
        <v>23</v>
      </c>
      <c r="C141">
        <v>52817.204700000002</v>
      </c>
      <c r="D141" t="s">
        <v>191</v>
      </c>
      <c r="E141">
        <v>2016</v>
      </c>
      <c r="F141">
        <v>3</v>
      </c>
    </row>
    <row r="142" spans="1:6" x14ac:dyDescent="0.55000000000000004">
      <c r="A142" t="s">
        <v>65</v>
      </c>
      <c r="B142" t="s">
        <v>24</v>
      </c>
      <c r="C142">
        <v>0</v>
      </c>
      <c r="D142" t="s">
        <v>191</v>
      </c>
      <c r="E142">
        <v>2016</v>
      </c>
      <c r="F142">
        <v>3</v>
      </c>
    </row>
    <row r="143" spans="1:6" x14ac:dyDescent="0.55000000000000004">
      <c r="A143" t="s">
        <v>65</v>
      </c>
      <c r="B143" t="s">
        <v>25</v>
      </c>
      <c r="C143">
        <v>227656.8333</v>
      </c>
      <c r="D143" t="s">
        <v>191</v>
      </c>
      <c r="E143">
        <v>2016</v>
      </c>
      <c r="F143">
        <v>3</v>
      </c>
    </row>
    <row r="144" spans="1:6" x14ac:dyDescent="0.55000000000000004">
      <c r="A144" t="s">
        <v>65</v>
      </c>
      <c r="B144" t="s">
        <v>26</v>
      </c>
      <c r="C144">
        <v>0</v>
      </c>
      <c r="D144" t="s">
        <v>191</v>
      </c>
      <c r="E144">
        <v>2016</v>
      </c>
      <c r="F144">
        <v>3</v>
      </c>
    </row>
    <row r="145" spans="1:6" x14ac:dyDescent="0.55000000000000004">
      <c r="A145" t="s">
        <v>65</v>
      </c>
      <c r="B145" t="s">
        <v>27</v>
      </c>
      <c r="C145">
        <v>1709.578</v>
      </c>
      <c r="D145" t="s">
        <v>191</v>
      </c>
      <c r="E145">
        <v>2016</v>
      </c>
      <c r="F145">
        <v>3</v>
      </c>
    </row>
    <row r="146" spans="1:6" x14ac:dyDescent="0.55000000000000004">
      <c r="A146" t="s">
        <v>65</v>
      </c>
      <c r="B146" t="s">
        <v>28</v>
      </c>
      <c r="C146">
        <v>340122.45659999998</v>
      </c>
      <c r="D146" t="s">
        <v>191</v>
      </c>
      <c r="E146">
        <v>2016</v>
      </c>
      <c r="F146">
        <v>3</v>
      </c>
    </row>
    <row r="147" spans="1:6" x14ac:dyDescent="0.55000000000000004">
      <c r="A147" t="s">
        <v>65</v>
      </c>
      <c r="B147" t="s">
        <v>29</v>
      </c>
      <c r="C147">
        <v>19757.651300000001</v>
      </c>
      <c r="D147" t="s">
        <v>191</v>
      </c>
      <c r="E147">
        <v>2016</v>
      </c>
      <c r="F147">
        <v>3</v>
      </c>
    </row>
    <row r="148" spans="1:6" x14ac:dyDescent="0.55000000000000004">
      <c r="A148" t="s">
        <v>65</v>
      </c>
      <c r="B148" t="s">
        <v>30</v>
      </c>
      <c r="C148">
        <v>89.8352</v>
      </c>
      <c r="D148" t="s">
        <v>191</v>
      </c>
      <c r="E148">
        <v>2016</v>
      </c>
      <c r="F148">
        <v>3</v>
      </c>
    </row>
    <row r="149" spans="1:6" x14ac:dyDescent="0.55000000000000004">
      <c r="A149" t="s">
        <v>65</v>
      </c>
      <c r="B149" t="s">
        <v>31</v>
      </c>
      <c r="C149">
        <v>23.016999999999999</v>
      </c>
      <c r="D149" t="s">
        <v>191</v>
      </c>
      <c r="E149">
        <v>2016</v>
      </c>
      <c r="F149">
        <v>3</v>
      </c>
    </row>
    <row r="150" spans="1:6" x14ac:dyDescent="0.55000000000000004">
      <c r="A150" t="s">
        <v>65</v>
      </c>
      <c r="B150" t="s">
        <v>32</v>
      </c>
      <c r="C150">
        <v>633593.78799999994</v>
      </c>
      <c r="D150" t="s">
        <v>191</v>
      </c>
      <c r="E150">
        <v>2016</v>
      </c>
      <c r="F150">
        <v>3</v>
      </c>
    </row>
    <row r="151" spans="1:6" x14ac:dyDescent="0.55000000000000004">
      <c r="A151" t="s">
        <v>65</v>
      </c>
      <c r="B151" t="s">
        <v>33</v>
      </c>
      <c r="C151">
        <v>701781.70189999999</v>
      </c>
      <c r="D151" t="s">
        <v>191</v>
      </c>
      <c r="E151">
        <v>2016</v>
      </c>
      <c r="F151">
        <v>3</v>
      </c>
    </row>
    <row r="152" spans="1:6" x14ac:dyDescent="0.55000000000000004">
      <c r="A152" t="s">
        <v>65</v>
      </c>
      <c r="B152" t="s">
        <v>34</v>
      </c>
      <c r="C152">
        <v>370219.05</v>
      </c>
      <c r="D152" t="s">
        <v>191</v>
      </c>
      <c r="E152">
        <v>2016</v>
      </c>
      <c r="F152">
        <v>3</v>
      </c>
    </row>
    <row r="153" spans="1:6" x14ac:dyDescent="0.55000000000000004">
      <c r="A153" t="s">
        <v>65</v>
      </c>
      <c r="B153" t="s">
        <v>35</v>
      </c>
      <c r="C153">
        <v>1455.2512999999999</v>
      </c>
      <c r="D153" t="s">
        <v>191</v>
      </c>
      <c r="E153">
        <v>2016</v>
      </c>
      <c r="F153">
        <v>3</v>
      </c>
    </row>
    <row r="154" spans="1:6" x14ac:dyDescent="0.55000000000000004">
      <c r="A154" t="s">
        <v>65</v>
      </c>
      <c r="B154" t="s">
        <v>36</v>
      </c>
      <c r="C154">
        <v>77508.935599999997</v>
      </c>
      <c r="D154" t="s">
        <v>191</v>
      </c>
      <c r="E154">
        <v>2016</v>
      </c>
      <c r="F154">
        <v>3</v>
      </c>
    </row>
    <row r="155" spans="1:6" x14ac:dyDescent="0.55000000000000004">
      <c r="A155" t="s">
        <v>65</v>
      </c>
      <c r="B155" t="s">
        <v>37</v>
      </c>
      <c r="C155">
        <v>59707.233699999997</v>
      </c>
      <c r="D155" t="s">
        <v>191</v>
      </c>
      <c r="E155">
        <v>2016</v>
      </c>
      <c r="F155">
        <v>3</v>
      </c>
    </row>
    <row r="156" spans="1:6" x14ac:dyDescent="0.55000000000000004">
      <c r="A156" t="s">
        <v>65</v>
      </c>
      <c r="B156" t="s">
        <v>38</v>
      </c>
      <c r="C156">
        <v>0</v>
      </c>
      <c r="D156" t="s">
        <v>191</v>
      </c>
      <c r="E156">
        <v>2016</v>
      </c>
      <c r="F156">
        <v>3</v>
      </c>
    </row>
    <row r="157" spans="1:6" x14ac:dyDescent="0.55000000000000004">
      <c r="A157" t="s">
        <v>65</v>
      </c>
      <c r="B157" t="s">
        <v>39</v>
      </c>
      <c r="C157">
        <v>980.52499999999998</v>
      </c>
      <c r="D157" t="s">
        <v>191</v>
      </c>
      <c r="E157">
        <v>2016</v>
      </c>
      <c r="F157">
        <v>3</v>
      </c>
    </row>
    <row r="158" spans="1:6" x14ac:dyDescent="0.55000000000000004">
      <c r="A158" t="s">
        <v>65</v>
      </c>
      <c r="B158" t="s">
        <v>40</v>
      </c>
      <c r="C158">
        <v>1103.6378999999999</v>
      </c>
      <c r="D158" t="s">
        <v>191</v>
      </c>
      <c r="E158">
        <v>2016</v>
      </c>
      <c r="F158">
        <v>3</v>
      </c>
    </row>
    <row r="159" spans="1:6" x14ac:dyDescent="0.55000000000000004">
      <c r="A159" t="s">
        <v>65</v>
      </c>
      <c r="B159" t="s">
        <v>41</v>
      </c>
      <c r="C159">
        <v>225537.13010000001</v>
      </c>
      <c r="D159" t="s">
        <v>191</v>
      </c>
      <c r="E159">
        <v>2016</v>
      </c>
      <c r="F159">
        <v>3</v>
      </c>
    </row>
    <row r="160" spans="1:6" x14ac:dyDescent="0.55000000000000004">
      <c r="A160" t="s">
        <v>65</v>
      </c>
      <c r="B160" t="s">
        <v>42</v>
      </c>
      <c r="C160">
        <v>92.455100000000002</v>
      </c>
      <c r="D160" t="s">
        <v>191</v>
      </c>
      <c r="E160">
        <v>2016</v>
      </c>
      <c r="F160">
        <v>3</v>
      </c>
    </row>
    <row r="161" spans="1:6" x14ac:dyDescent="0.55000000000000004">
      <c r="A161" t="s">
        <v>65</v>
      </c>
      <c r="B161" t="s">
        <v>43</v>
      </c>
      <c r="C161">
        <v>227122.7433</v>
      </c>
      <c r="D161" t="s">
        <v>191</v>
      </c>
      <c r="E161">
        <v>2016</v>
      </c>
      <c r="F161">
        <v>3</v>
      </c>
    </row>
    <row r="162" spans="1:6" x14ac:dyDescent="0.55000000000000004">
      <c r="A162" t="s">
        <v>65</v>
      </c>
      <c r="B162" t="s">
        <v>44</v>
      </c>
      <c r="C162">
        <v>0</v>
      </c>
      <c r="D162" t="s">
        <v>191</v>
      </c>
      <c r="E162">
        <v>2016</v>
      </c>
      <c r="F162">
        <v>3</v>
      </c>
    </row>
    <row r="163" spans="1:6" x14ac:dyDescent="0.55000000000000004">
      <c r="A163" t="s">
        <v>65</v>
      </c>
      <c r="B163" t="s">
        <v>45</v>
      </c>
      <c r="C163">
        <v>3686.8011000000001</v>
      </c>
      <c r="D163" t="s">
        <v>191</v>
      </c>
      <c r="E163">
        <v>2016</v>
      </c>
      <c r="F163">
        <v>3</v>
      </c>
    </row>
    <row r="164" spans="1:6" x14ac:dyDescent="0.55000000000000004">
      <c r="A164" t="s">
        <v>65</v>
      </c>
      <c r="B164" t="s">
        <v>46</v>
      </c>
      <c r="C164">
        <v>41972.56</v>
      </c>
      <c r="D164" t="s">
        <v>191</v>
      </c>
      <c r="E164">
        <v>2016</v>
      </c>
      <c r="F164">
        <v>3</v>
      </c>
    </row>
    <row r="165" spans="1:6" x14ac:dyDescent="0.55000000000000004">
      <c r="A165" t="s">
        <v>65</v>
      </c>
      <c r="B165" t="s">
        <v>47</v>
      </c>
      <c r="C165">
        <v>0</v>
      </c>
      <c r="D165" t="s">
        <v>191</v>
      </c>
      <c r="E165">
        <v>2016</v>
      </c>
      <c r="F165">
        <v>3</v>
      </c>
    </row>
    <row r="166" spans="1:6" x14ac:dyDescent="0.55000000000000004">
      <c r="A166" t="s">
        <v>65</v>
      </c>
      <c r="B166" t="s">
        <v>48</v>
      </c>
      <c r="C166">
        <v>110624.48</v>
      </c>
      <c r="D166" t="s">
        <v>191</v>
      </c>
      <c r="E166">
        <v>2016</v>
      </c>
      <c r="F166">
        <v>3</v>
      </c>
    </row>
    <row r="167" spans="1:6" x14ac:dyDescent="0.55000000000000004">
      <c r="A167" t="s">
        <v>65</v>
      </c>
      <c r="B167" t="s">
        <v>49</v>
      </c>
      <c r="C167">
        <v>506.63029999999998</v>
      </c>
      <c r="D167" t="s">
        <v>191</v>
      </c>
      <c r="E167">
        <v>2016</v>
      </c>
      <c r="F167">
        <v>3</v>
      </c>
    </row>
    <row r="168" spans="1:6" x14ac:dyDescent="0.55000000000000004">
      <c r="A168" t="s">
        <v>65</v>
      </c>
      <c r="B168" t="s">
        <v>50</v>
      </c>
      <c r="C168">
        <v>30656.933099999998</v>
      </c>
      <c r="D168" t="s">
        <v>191</v>
      </c>
      <c r="E168">
        <v>2016</v>
      </c>
      <c r="F168">
        <v>3</v>
      </c>
    </row>
    <row r="169" spans="1:6" x14ac:dyDescent="0.55000000000000004">
      <c r="A169" t="s">
        <v>65</v>
      </c>
      <c r="B169" t="s">
        <v>51</v>
      </c>
      <c r="C169">
        <v>352.67020000000002</v>
      </c>
      <c r="D169" t="s">
        <v>191</v>
      </c>
      <c r="E169">
        <v>2016</v>
      </c>
      <c r="F169">
        <v>3</v>
      </c>
    </row>
    <row r="170" spans="1:6" x14ac:dyDescent="0.55000000000000004">
      <c r="A170" t="s">
        <v>65</v>
      </c>
      <c r="B170" t="s">
        <v>52</v>
      </c>
      <c r="C170">
        <v>116.4466</v>
      </c>
      <c r="D170" t="s">
        <v>191</v>
      </c>
      <c r="E170">
        <v>2016</v>
      </c>
      <c r="F170">
        <v>3</v>
      </c>
    </row>
    <row r="171" spans="1:6" x14ac:dyDescent="0.55000000000000004">
      <c r="A171" t="s">
        <v>65</v>
      </c>
      <c r="B171" t="s">
        <v>53</v>
      </c>
      <c r="C171">
        <v>103425.45</v>
      </c>
      <c r="D171" t="s">
        <v>191</v>
      </c>
      <c r="E171">
        <v>2016</v>
      </c>
      <c r="F171">
        <v>3</v>
      </c>
    </row>
    <row r="172" spans="1:6" x14ac:dyDescent="0.55000000000000004">
      <c r="A172" t="s">
        <v>65</v>
      </c>
      <c r="B172" t="s">
        <v>54</v>
      </c>
      <c r="C172">
        <v>11131.582</v>
      </c>
      <c r="D172" t="s">
        <v>191</v>
      </c>
      <c r="E172">
        <v>2016</v>
      </c>
      <c r="F172">
        <v>3</v>
      </c>
    </row>
    <row r="173" spans="1:6" x14ac:dyDescent="0.55000000000000004">
      <c r="A173" t="s">
        <v>65</v>
      </c>
      <c r="B173" t="s">
        <v>55</v>
      </c>
      <c r="C173">
        <v>7049.7557999999999</v>
      </c>
      <c r="D173" t="s">
        <v>191</v>
      </c>
      <c r="E173">
        <v>2016</v>
      </c>
      <c r="F173">
        <v>3</v>
      </c>
    </row>
    <row r="174" spans="1:6" x14ac:dyDescent="0.55000000000000004">
      <c r="A174" t="s">
        <v>65</v>
      </c>
      <c r="B174" t="s">
        <v>56</v>
      </c>
      <c r="C174">
        <v>10547.2333</v>
      </c>
      <c r="D174" t="s">
        <v>191</v>
      </c>
      <c r="E174">
        <v>2016</v>
      </c>
      <c r="F174">
        <v>3</v>
      </c>
    </row>
    <row r="175" spans="1:6" x14ac:dyDescent="0.55000000000000004">
      <c r="A175" t="s">
        <v>65</v>
      </c>
      <c r="B175" t="s">
        <v>57</v>
      </c>
      <c r="C175">
        <v>100.578</v>
      </c>
      <c r="D175" t="s">
        <v>191</v>
      </c>
      <c r="E175">
        <v>2016</v>
      </c>
      <c r="F175">
        <v>3</v>
      </c>
    </row>
    <row r="176" spans="1:6" x14ac:dyDescent="0.55000000000000004">
      <c r="A176" t="s">
        <v>65</v>
      </c>
      <c r="B176" t="s">
        <v>58</v>
      </c>
      <c r="C176">
        <v>247798</v>
      </c>
      <c r="D176" t="s">
        <v>191</v>
      </c>
      <c r="E176">
        <v>2016</v>
      </c>
      <c r="F176">
        <v>3</v>
      </c>
    </row>
    <row r="177" spans="1:6" x14ac:dyDescent="0.55000000000000004">
      <c r="A177" t="s">
        <v>65</v>
      </c>
      <c r="B177" t="s">
        <v>59</v>
      </c>
      <c r="C177">
        <v>0</v>
      </c>
      <c r="D177" t="s">
        <v>191</v>
      </c>
      <c r="E177">
        <v>2016</v>
      </c>
      <c r="F177">
        <v>3</v>
      </c>
    </row>
    <row r="178" spans="1:6" x14ac:dyDescent="0.55000000000000004">
      <c r="A178" t="s">
        <v>65</v>
      </c>
      <c r="B178" t="s">
        <v>60</v>
      </c>
      <c r="C178">
        <v>2999155.2204999998</v>
      </c>
      <c r="D178" t="s">
        <v>191</v>
      </c>
      <c r="E178">
        <v>2016</v>
      </c>
      <c r="F178">
        <v>3</v>
      </c>
    </row>
    <row r="179" spans="1:6" x14ac:dyDescent="0.55000000000000004">
      <c r="A179" t="s">
        <v>65</v>
      </c>
      <c r="B179" t="s">
        <v>61</v>
      </c>
      <c r="C179">
        <v>7282.2502000000004</v>
      </c>
      <c r="D179" t="s">
        <v>191</v>
      </c>
      <c r="E179">
        <v>2016</v>
      </c>
      <c r="F179">
        <v>3</v>
      </c>
    </row>
    <row r="180" spans="1:6" x14ac:dyDescent="0.55000000000000004">
      <c r="A180" t="s">
        <v>65</v>
      </c>
      <c r="B180" t="s">
        <v>62</v>
      </c>
      <c r="C180">
        <v>769.60969999999998</v>
      </c>
      <c r="D180" t="s">
        <v>191</v>
      </c>
      <c r="E180">
        <v>2016</v>
      </c>
      <c r="F180">
        <v>3</v>
      </c>
    </row>
    <row r="181" spans="1:6" x14ac:dyDescent="0.55000000000000004">
      <c r="A181" t="s">
        <v>65</v>
      </c>
      <c r="B181" t="s">
        <v>63</v>
      </c>
      <c r="C181">
        <v>369.47570000000002</v>
      </c>
      <c r="D181" t="s">
        <v>191</v>
      </c>
      <c r="E181">
        <v>2016</v>
      </c>
      <c r="F181">
        <v>3</v>
      </c>
    </row>
    <row r="182" spans="1:6" x14ac:dyDescent="0.55000000000000004">
      <c r="A182" t="s">
        <v>66</v>
      </c>
      <c r="B182" t="s">
        <v>4</v>
      </c>
      <c r="C182">
        <v>10589184.2848</v>
      </c>
      <c r="D182" t="s">
        <v>192</v>
      </c>
      <c r="E182">
        <v>2016</v>
      </c>
      <c r="F182">
        <v>4</v>
      </c>
    </row>
    <row r="183" spans="1:6" x14ac:dyDescent="0.55000000000000004">
      <c r="A183" t="s">
        <v>66</v>
      </c>
      <c r="B183" t="s">
        <v>5</v>
      </c>
      <c r="C183">
        <v>1074928.9793</v>
      </c>
      <c r="D183" t="s">
        <v>192</v>
      </c>
      <c r="E183">
        <v>2016</v>
      </c>
      <c r="F183">
        <v>4</v>
      </c>
    </row>
    <row r="184" spans="1:6" x14ac:dyDescent="0.55000000000000004">
      <c r="A184" t="s">
        <v>66</v>
      </c>
      <c r="B184" t="s">
        <v>6</v>
      </c>
      <c r="C184">
        <v>2417611.7041000002</v>
      </c>
      <c r="D184" t="s">
        <v>192</v>
      </c>
      <c r="E184">
        <v>2016</v>
      </c>
      <c r="F184">
        <v>4</v>
      </c>
    </row>
    <row r="185" spans="1:6" x14ac:dyDescent="0.55000000000000004">
      <c r="A185" t="s">
        <v>66</v>
      </c>
      <c r="B185" t="s">
        <v>7</v>
      </c>
      <c r="C185">
        <v>2560434.2069999999</v>
      </c>
      <c r="D185" t="s">
        <v>192</v>
      </c>
      <c r="E185">
        <v>2016</v>
      </c>
      <c r="F185">
        <v>4</v>
      </c>
    </row>
    <row r="186" spans="1:6" x14ac:dyDescent="0.55000000000000004">
      <c r="A186" t="s">
        <v>66</v>
      </c>
      <c r="B186" t="s">
        <v>8</v>
      </c>
      <c r="C186">
        <v>4536209.3943999996</v>
      </c>
      <c r="D186" t="s">
        <v>192</v>
      </c>
      <c r="E186">
        <v>2016</v>
      </c>
      <c r="F186">
        <v>4</v>
      </c>
    </row>
    <row r="187" spans="1:6" x14ac:dyDescent="0.55000000000000004">
      <c r="A187" t="s">
        <v>66</v>
      </c>
      <c r="B187" t="s">
        <v>9</v>
      </c>
      <c r="C187">
        <v>2975</v>
      </c>
      <c r="D187" t="s">
        <v>192</v>
      </c>
      <c r="E187">
        <v>2016</v>
      </c>
      <c r="F187">
        <v>4</v>
      </c>
    </row>
    <row r="188" spans="1:6" x14ac:dyDescent="0.55000000000000004">
      <c r="A188" t="s">
        <v>66</v>
      </c>
      <c r="B188" t="s">
        <v>10</v>
      </c>
      <c r="C188">
        <v>128.33330000000001</v>
      </c>
      <c r="D188" t="s">
        <v>192</v>
      </c>
      <c r="E188">
        <v>2016</v>
      </c>
      <c r="F188">
        <v>4</v>
      </c>
    </row>
    <row r="189" spans="1:6" x14ac:dyDescent="0.55000000000000004">
      <c r="A189" t="s">
        <v>66</v>
      </c>
      <c r="B189" t="s">
        <v>11</v>
      </c>
      <c r="C189">
        <v>2458143.3232</v>
      </c>
      <c r="D189" t="s">
        <v>192</v>
      </c>
      <c r="E189">
        <v>2016</v>
      </c>
      <c r="F189">
        <v>4</v>
      </c>
    </row>
    <row r="190" spans="1:6" x14ac:dyDescent="0.55000000000000004">
      <c r="A190" t="s">
        <v>66</v>
      </c>
      <c r="B190" t="s">
        <v>12</v>
      </c>
      <c r="C190">
        <v>15885.5121</v>
      </c>
      <c r="D190" t="s">
        <v>192</v>
      </c>
      <c r="E190">
        <v>2016</v>
      </c>
      <c r="F190">
        <v>4</v>
      </c>
    </row>
    <row r="191" spans="1:6" x14ac:dyDescent="0.55000000000000004">
      <c r="A191" t="s">
        <v>66</v>
      </c>
      <c r="B191" t="s">
        <v>13</v>
      </c>
      <c r="C191">
        <v>38225.666599999997</v>
      </c>
      <c r="D191" t="s">
        <v>192</v>
      </c>
      <c r="E191">
        <v>2016</v>
      </c>
      <c r="F191">
        <v>4</v>
      </c>
    </row>
    <row r="192" spans="1:6" x14ac:dyDescent="0.55000000000000004">
      <c r="A192" t="s">
        <v>66</v>
      </c>
      <c r="B192" t="s">
        <v>14</v>
      </c>
      <c r="C192">
        <v>16902</v>
      </c>
      <c r="D192" t="s">
        <v>192</v>
      </c>
      <c r="E192">
        <v>2016</v>
      </c>
      <c r="F192">
        <v>4</v>
      </c>
    </row>
    <row r="193" spans="1:6" x14ac:dyDescent="0.55000000000000004">
      <c r="A193" t="s">
        <v>66</v>
      </c>
      <c r="B193" t="s">
        <v>15</v>
      </c>
      <c r="C193">
        <v>931121.89159999997</v>
      </c>
      <c r="D193" t="s">
        <v>192</v>
      </c>
      <c r="E193">
        <v>2016</v>
      </c>
      <c r="F193">
        <v>4</v>
      </c>
    </row>
    <row r="194" spans="1:6" x14ac:dyDescent="0.55000000000000004">
      <c r="A194" t="s">
        <v>66</v>
      </c>
      <c r="B194" t="s">
        <v>16</v>
      </c>
      <c r="C194">
        <v>0</v>
      </c>
      <c r="D194" t="s">
        <v>192</v>
      </c>
      <c r="E194">
        <v>2016</v>
      </c>
      <c r="F194">
        <v>4</v>
      </c>
    </row>
    <row r="195" spans="1:6" x14ac:dyDescent="0.55000000000000004">
      <c r="A195" t="s">
        <v>66</v>
      </c>
      <c r="B195" t="s">
        <v>17</v>
      </c>
      <c r="C195">
        <v>139758.89180000001</v>
      </c>
      <c r="D195" t="s">
        <v>192</v>
      </c>
      <c r="E195">
        <v>2016</v>
      </c>
      <c r="F195">
        <v>4</v>
      </c>
    </row>
    <row r="196" spans="1:6" x14ac:dyDescent="0.55000000000000004">
      <c r="A196" t="s">
        <v>66</v>
      </c>
      <c r="B196" t="s">
        <v>18</v>
      </c>
      <c r="C196">
        <v>85981.316999999995</v>
      </c>
      <c r="D196" t="s">
        <v>192</v>
      </c>
      <c r="E196">
        <v>2016</v>
      </c>
      <c r="F196">
        <v>4</v>
      </c>
    </row>
    <row r="197" spans="1:6" x14ac:dyDescent="0.55000000000000004">
      <c r="A197" t="s">
        <v>66</v>
      </c>
      <c r="B197" t="s">
        <v>19</v>
      </c>
      <c r="C197">
        <v>300</v>
      </c>
      <c r="D197" t="s">
        <v>192</v>
      </c>
      <c r="E197">
        <v>2016</v>
      </c>
      <c r="F197">
        <v>4</v>
      </c>
    </row>
    <row r="198" spans="1:6" x14ac:dyDescent="0.55000000000000004">
      <c r="A198" t="s">
        <v>66</v>
      </c>
      <c r="B198" t="s">
        <v>20</v>
      </c>
      <c r="C198">
        <v>23722</v>
      </c>
      <c r="D198" t="s">
        <v>192</v>
      </c>
      <c r="E198">
        <v>2016</v>
      </c>
      <c r="F198">
        <v>4</v>
      </c>
    </row>
    <row r="199" spans="1:6" x14ac:dyDescent="0.55000000000000004">
      <c r="A199" t="s">
        <v>66</v>
      </c>
      <c r="B199" t="s">
        <v>21</v>
      </c>
      <c r="C199">
        <v>2327.9427999999998</v>
      </c>
      <c r="D199" t="s">
        <v>192</v>
      </c>
      <c r="E199">
        <v>2016</v>
      </c>
      <c r="F199">
        <v>4</v>
      </c>
    </row>
    <row r="200" spans="1:6" x14ac:dyDescent="0.55000000000000004">
      <c r="A200" t="s">
        <v>66</v>
      </c>
      <c r="B200" t="s">
        <v>22</v>
      </c>
      <c r="C200">
        <v>62743.820800000001</v>
      </c>
      <c r="D200" t="s">
        <v>192</v>
      </c>
      <c r="E200">
        <v>2016</v>
      </c>
      <c r="F200">
        <v>4</v>
      </c>
    </row>
    <row r="201" spans="1:6" x14ac:dyDescent="0.55000000000000004">
      <c r="A201" t="s">
        <v>66</v>
      </c>
      <c r="B201" t="s">
        <v>23</v>
      </c>
      <c r="C201">
        <v>82735.5092</v>
      </c>
      <c r="D201" t="s">
        <v>192</v>
      </c>
      <c r="E201">
        <v>2016</v>
      </c>
      <c r="F201">
        <v>4</v>
      </c>
    </row>
    <row r="202" spans="1:6" x14ac:dyDescent="0.55000000000000004">
      <c r="A202" t="s">
        <v>66</v>
      </c>
      <c r="B202" t="s">
        <v>24</v>
      </c>
      <c r="C202">
        <v>0</v>
      </c>
      <c r="D202" t="s">
        <v>192</v>
      </c>
      <c r="E202">
        <v>2016</v>
      </c>
      <c r="F202">
        <v>4</v>
      </c>
    </row>
    <row r="203" spans="1:6" x14ac:dyDescent="0.55000000000000004">
      <c r="A203" t="s">
        <v>66</v>
      </c>
      <c r="B203" t="s">
        <v>25</v>
      </c>
      <c r="C203">
        <v>263895.21669999999</v>
      </c>
      <c r="D203" t="s">
        <v>192</v>
      </c>
      <c r="E203">
        <v>2016</v>
      </c>
      <c r="F203">
        <v>4</v>
      </c>
    </row>
    <row r="204" spans="1:6" x14ac:dyDescent="0.55000000000000004">
      <c r="A204" t="s">
        <v>66</v>
      </c>
      <c r="B204" t="s">
        <v>26</v>
      </c>
      <c r="C204">
        <v>0</v>
      </c>
      <c r="D204" t="s">
        <v>192</v>
      </c>
      <c r="E204">
        <v>2016</v>
      </c>
      <c r="F204">
        <v>4</v>
      </c>
    </row>
    <row r="205" spans="1:6" x14ac:dyDescent="0.55000000000000004">
      <c r="A205" t="s">
        <v>66</v>
      </c>
      <c r="B205" t="s">
        <v>27</v>
      </c>
      <c r="C205">
        <v>1762.6310000000001</v>
      </c>
      <c r="D205" t="s">
        <v>192</v>
      </c>
      <c r="E205">
        <v>2016</v>
      </c>
      <c r="F205">
        <v>4</v>
      </c>
    </row>
    <row r="206" spans="1:6" x14ac:dyDescent="0.55000000000000004">
      <c r="A206" t="s">
        <v>66</v>
      </c>
      <c r="B206" t="s">
        <v>28</v>
      </c>
      <c r="C206">
        <v>405929.56949999998</v>
      </c>
      <c r="D206" t="s">
        <v>192</v>
      </c>
      <c r="E206">
        <v>2016</v>
      </c>
      <c r="F206">
        <v>4</v>
      </c>
    </row>
    <row r="207" spans="1:6" x14ac:dyDescent="0.55000000000000004">
      <c r="A207" t="s">
        <v>66</v>
      </c>
      <c r="B207" t="s">
        <v>29</v>
      </c>
      <c r="C207">
        <v>19353.811300000001</v>
      </c>
      <c r="D207" t="s">
        <v>192</v>
      </c>
      <c r="E207">
        <v>2016</v>
      </c>
      <c r="F207">
        <v>4</v>
      </c>
    </row>
    <row r="208" spans="1:6" x14ac:dyDescent="0.55000000000000004">
      <c r="A208" t="s">
        <v>66</v>
      </c>
      <c r="B208" t="s">
        <v>30</v>
      </c>
      <c r="C208">
        <v>1110.8610000000001</v>
      </c>
      <c r="D208" t="s">
        <v>192</v>
      </c>
      <c r="E208">
        <v>2016</v>
      </c>
      <c r="F208">
        <v>4</v>
      </c>
    </row>
    <row r="209" spans="1:6" x14ac:dyDescent="0.55000000000000004">
      <c r="A209" t="s">
        <v>66</v>
      </c>
      <c r="B209" t="s">
        <v>31</v>
      </c>
      <c r="C209">
        <v>14.987</v>
      </c>
      <c r="D209" t="s">
        <v>192</v>
      </c>
      <c r="E209">
        <v>2016</v>
      </c>
      <c r="F209">
        <v>4</v>
      </c>
    </row>
    <row r="210" spans="1:6" x14ac:dyDescent="0.55000000000000004">
      <c r="A210" t="s">
        <v>66</v>
      </c>
      <c r="B210" t="s">
        <v>32</v>
      </c>
      <c r="C210">
        <v>713122.44429999997</v>
      </c>
      <c r="D210" t="s">
        <v>192</v>
      </c>
      <c r="E210">
        <v>2016</v>
      </c>
      <c r="F210">
        <v>4</v>
      </c>
    </row>
    <row r="211" spans="1:6" x14ac:dyDescent="0.55000000000000004">
      <c r="A211" t="s">
        <v>66</v>
      </c>
      <c r="B211" t="s">
        <v>33</v>
      </c>
      <c r="C211">
        <v>644766.29280000005</v>
      </c>
      <c r="D211" t="s">
        <v>192</v>
      </c>
      <c r="E211">
        <v>2016</v>
      </c>
      <c r="F211">
        <v>4</v>
      </c>
    </row>
    <row r="212" spans="1:6" x14ac:dyDescent="0.55000000000000004">
      <c r="A212" t="s">
        <v>66</v>
      </c>
      <c r="B212" t="s">
        <v>34</v>
      </c>
      <c r="C212">
        <v>336635.23560000001</v>
      </c>
      <c r="D212" t="s">
        <v>192</v>
      </c>
      <c r="E212">
        <v>2016</v>
      </c>
      <c r="F212">
        <v>4</v>
      </c>
    </row>
    <row r="213" spans="1:6" x14ac:dyDescent="0.55000000000000004">
      <c r="A213" t="s">
        <v>66</v>
      </c>
      <c r="B213" t="s">
        <v>35</v>
      </c>
      <c r="C213">
        <v>825.85199999999998</v>
      </c>
      <c r="D213" t="s">
        <v>192</v>
      </c>
      <c r="E213">
        <v>2016</v>
      </c>
      <c r="F213">
        <v>4</v>
      </c>
    </row>
    <row r="214" spans="1:6" x14ac:dyDescent="0.55000000000000004">
      <c r="A214" t="s">
        <v>66</v>
      </c>
      <c r="B214" t="s">
        <v>36</v>
      </c>
      <c r="C214">
        <v>77027.706699999995</v>
      </c>
      <c r="D214" t="s">
        <v>192</v>
      </c>
      <c r="E214">
        <v>2016</v>
      </c>
      <c r="F214">
        <v>4</v>
      </c>
    </row>
    <row r="215" spans="1:6" x14ac:dyDescent="0.55000000000000004">
      <c r="A215" t="s">
        <v>66</v>
      </c>
      <c r="B215" t="s">
        <v>37</v>
      </c>
      <c r="C215">
        <v>43485.986199999999</v>
      </c>
      <c r="D215" t="s">
        <v>192</v>
      </c>
      <c r="E215">
        <v>2016</v>
      </c>
      <c r="F215">
        <v>4</v>
      </c>
    </row>
    <row r="216" spans="1:6" x14ac:dyDescent="0.55000000000000004">
      <c r="A216" t="s">
        <v>66</v>
      </c>
      <c r="B216" t="s">
        <v>38</v>
      </c>
      <c r="C216">
        <v>0</v>
      </c>
      <c r="D216" t="s">
        <v>192</v>
      </c>
      <c r="E216">
        <v>2016</v>
      </c>
      <c r="F216">
        <v>4</v>
      </c>
    </row>
    <row r="217" spans="1:6" x14ac:dyDescent="0.55000000000000004">
      <c r="A217" t="s">
        <v>66</v>
      </c>
      <c r="B217" t="s">
        <v>39</v>
      </c>
      <c r="C217">
        <v>4727.2610000000004</v>
      </c>
      <c r="D217" t="s">
        <v>192</v>
      </c>
      <c r="E217">
        <v>2016</v>
      </c>
      <c r="F217">
        <v>4</v>
      </c>
    </row>
    <row r="218" spans="1:6" x14ac:dyDescent="0.55000000000000004">
      <c r="A218" t="s">
        <v>66</v>
      </c>
      <c r="B218" t="s">
        <v>40</v>
      </c>
      <c r="C218">
        <v>2591.3651</v>
      </c>
      <c r="D218" t="s">
        <v>192</v>
      </c>
      <c r="E218">
        <v>2016</v>
      </c>
      <c r="F218">
        <v>4</v>
      </c>
    </row>
    <row r="219" spans="1:6" x14ac:dyDescent="0.55000000000000004">
      <c r="A219" t="s">
        <v>66</v>
      </c>
      <c r="B219" t="s">
        <v>41</v>
      </c>
      <c r="C219">
        <v>203472.4008</v>
      </c>
      <c r="D219" t="s">
        <v>192</v>
      </c>
      <c r="E219">
        <v>2016</v>
      </c>
      <c r="F219">
        <v>4</v>
      </c>
    </row>
    <row r="220" spans="1:6" x14ac:dyDescent="0.55000000000000004">
      <c r="A220" t="s">
        <v>66</v>
      </c>
      <c r="B220" t="s">
        <v>42</v>
      </c>
      <c r="C220">
        <v>250.55510000000001</v>
      </c>
      <c r="D220" t="s">
        <v>192</v>
      </c>
      <c r="E220">
        <v>2016</v>
      </c>
      <c r="F220">
        <v>4</v>
      </c>
    </row>
    <row r="221" spans="1:6" x14ac:dyDescent="0.55000000000000004">
      <c r="A221" t="s">
        <v>66</v>
      </c>
      <c r="B221" t="s">
        <v>43</v>
      </c>
      <c r="C221">
        <v>305943.995</v>
      </c>
      <c r="D221" t="s">
        <v>192</v>
      </c>
      <c r="E221">
        <v>2016</v>
      </c>
      <c r="F221">
        <v>4</v>
      </c>
    </row>
    <row r="222" spans="1:6" x14ac:dyDescent="0.55000000000000004">
      <c r="A222" t="s">
        <v>66</v>
      </c>
      <c r="B222" t="s">
        <v>44</v>
      </c>
      <c r="C222">
        <v>0</v>
      </c>
      <c r="D222" t="s">
        <v>192</v>
      </c>
      <c r="E222">
        <v>2016</v>
      </c>
      <c r="F222">
        <v>4</v>
      </c>
    </row>
    <row r="223" spans="1:6" x14ac:dyDescent="0.55000000000000004">
      <c r="A223" t="s">
        <v>66</v>
      </c>
      <c r="B223" t="s">
        <v>45</v>
      </c>
      <c r="C223">
        <v>7948.1611999999996</v>
      </c>
      <c r="D223" t="s">
        <v>192</v>
      </c>
      <c r="E223">
        <v>2016</v>
      </c>
      <c r="F223">
        <v>4</v>
      </c>
    </row>
    <row r="224" spans="1:6" x14ac:dyDescent="0.55000000000000004">
      <c r="A224" t="s">
        <v>66</v>
      </c>
      <c r="B224" t="s">
        <v>46</v>
      </c>
      <c r="C224">
        <v>45770.445</v>
      </c>
      <c r="D224" t="s">
        <v>192</v>
      </c>
      <c r="E224">
        <v>2016</v>
      </c>
      <c r="F224">
        <v>4</v>
      </c>
    </row>
    <row r="225" spans="1:6" x14ac:dyDescent="0.55000000000000004">
      <c r="A225" t="s">
        <v>66</v>
      </c>
      <c r="B225" t="s">
        <v>47</v>
      </c>
      <c r="C225">
        <v>0</v>
      </c>
      <c r="D225" t="s">
        <v>192</v>
      </c>
      <c r="E225">
        <v>2016</v>
      </c>
      <c r="F225">
        <v>4</v>
      </c>
    </row>
    <row r="226" spans="1:6" x14ac:dyDescent="0.55000000000000004">
      <c r="A226" t="s">
        <v>66</v>
      </c>
      <c r="B226" t="s">
        <v>48</v>
      </c>
      <c r="C226">
        <v>58415.57</v>
      </c>
      <c r="D226" t="s">
        <v>192</v>
      </c>
      <c r="E226">
        <v>2016</v>
      </c>
      <c r="F226">
        <v>4</v>
      </c>
    </row>
    <row r="227" spans="1:6" x14ac:dyDescent="0.55000000000000004">
      <c r="A227" t="s">
        <v>66</v>
      </c>
      <c r="B227" t="s">
        <v>49</v>
      </c>
      <c r="C227">
        <v>170.477</v>
      </c>
      <c r="D227" t="s">
        <v>192</v>
      </c>
      <c r="E227">
        <v>2016</v>
      </c>
      <c r="F227">
        <v>4</v>
      </c>
    </row>
    <row r="228" spans="1:6" x14ac:dyDescent="0.55000000000000004">
      <c r="A228" t="s">
        <v>66</v>
      </c>
      <c r="B228" t="s">
        <v>50</v>
      </c>
      <c r="C228">
        <v>8354.6435000000001</v>
      </c>
      <c r="D228" t="s">
        <v>192</v>
      </c>
      <c r="E228">
        <v>2016</v>
      </c>
      <c r="F228">
        <v>4</v>
      </c>
    </row>
    <row r="229" spans="1:6" x14ac:dyDescent="0.55000000000000004">
      <c r="A229" t="s">
        <v>66</v>
      </c>
      <c r="B229" t="s">
        <v>51</v>
      </c>
      <c r="C229">
        <v>4022.6702</v>
      </c>
      <c r="D229" t="s">
        <v>192</v>
      </c>
      <c r="E229">
        <v>2016</v>
      </c>
      <c r="F229">
        <v>4</v>
      </c>
    </row>
    <row r="230" spans="1:6" x14ac:dyDescent="0.55000000000000004">
      <c r="A230" t="s">
        <v>66</v>
      </c>
      <c r="B230" t="s">
        <v>52</v>
      </c>
      <c r="C230">
        <v>119.0682</v>
      </c>
      <c r="D230" t="s">
        <v>192</v>
      </c>
      <c r="E230">
        <v>2016</v>
      </c>
      <c r="F230">
        <v>4</v>
      </c>
    </row>
    <row r="231" spans="1:6" x14ac:dyDescent="0.55000000000000004">
      <c r="A231" t="s">
        <v>66</v>
      </c>
      <c r="B231" t="s">
        <v>53</v>
      </c>
      <c r="C231">
        <v>90083.411999999997</v>
      </c>
      <c r="D231" t="s">
        <v>192</v>
      </c>
      <c r="E231">
        <v>2016</v>
      </c>
      <c r="F231">
        <v>4</v>
      </c>
    </row>
    <row r="232" spans="1:6" x14ac:dyDescent="0.55000000000000004">
      <c r="A232" t="s">
        <v>66</v>
      </c>
      <c r="B232" t="s">
        <v>54</v>
      </c>
      <c r="C232">
        <v>12450.281499999999</v>
      </c>
      <c r="D232" t="s">
        <v>192</v>
      </c>
      <c r="E232">
        <v>2016</v>
      </c>
      <c r="F232">
        <v>4</v>
      </c>
    </row>
    <row r="233" spans="1:6" x14ac:dyDescent="0.55000000000000004">
      <c r="A233" t="s">
        <v>66</v>
      </c>
      <c r="B233" t="s">
        <v>55</v>
      </c>
      <c r="C233">
        <v>2266.8957999999998</v>
      </c>
      <c r="D233" t="s">
        <v>192</v>
      </c>
      <c r="E233">
        <v>2016</v>
      </c>
      <c r="F233">
        <v>4</v>
      </c>
    </row>
    <row r="234" spans="1:6" x14ac:dyDescent="0.55000000000000004">
      <c r="A234" t="s">
        <v>66</v>
      </c>
      <c r="B234" t="s">
        <v>56</v>
      </c>
      <c r="C234">
        <v>8222.6</v>
      </c>
      <c r="D234" t="s">
        <v>192</v>
      </c>
      <c r="E234">
        <v>2016</v>
      </c>
      <c r="F234">
        <v>4</v>
      </c>
    </row>
    <row r="235" spans="1:6" x14ac:dyDescent="0.55000000000000004">
      <c r="A235" t="s">
        <v>66</v>
      </c>
      <c r="B235" t="s">
        <v>57</v>
      </c>
      <c r="C235">
        <v>80.552700000000002</v>
      </c>
      <c r="D235" t="s">
        <v>192</v>
      </c>
      <c r="E235">
        <v>2016</v>
      </c>
      <c r="F235">
        <v>4</v>
      </c>
    </row>
    <row r="236" spans="1:6" x14ac:dyDescent="0.55000000000000004">
      <c r="A236" t="s">
        <v>66</v>
      </c>
      <c r="B236" t="s">
        <v>58</v>
      </c>
      <c r="C236">
        <v>326793</v>
      </c>
      <c r="D236" t="s">
        <v>192</v>
      </c>
      <c r="E236">
        <v>2016</v>
      </c>
      <c r="F236">
        <v>4</v>
      </c>
    </row>
    <row r="237" spans="1:6" x14ac:dyDescent="0.55000000000000004">
      <c r="A237" t="s">
        <v>66</v>
      </c>
      <c r="B237" t="s">
        <v>59</v>
      </c>
      <c r="C237">
        <v>0</v>
      </c>
      <c r="D237" t="s">
        <v>192</v>
      </c>
      <c r="E237">
        <v>2016</v>
      </c>
      <c r="F237">
        <v>4</v>
      </c>
    </row>
    <row r="238" spans="1:6" x14ac:dyDescent="0.55000000000000004">
      <c r="A238" t="s">
        <v>66</v>
      </c>
      <c r="B238" t="s">
        <v>60</v>
      </c>
      <c r="C238">
        <v>3133299.5748000001</v>
      </c>
      <c r="D238" t="s">
        <v>192</v>
      </c>
      <c r="E238">
        <v>2016</v>
      </c>
      <c r="F238">
        <v>4</v>
      </c>
    </row>
    <row r="239" spans="1:6" x14ac:dyDescent="0.55000000000000004">
      <c r="A239" t="s">
        <v>66</v>
      </c>
      <c r="B239" t="s">
        <v>61</v>
      </c>
      <c r="C239">
        <v>3823.9180000000001</v>
      </c>
      <c r="D239" t="s">
        <v>192</v>
      </c>
      <c r="E239">
        <v>2016</v>
      </c>
      <c r="F239">
        <v>4</v>
      </c>
    </row>
    <row r="240" spans="1:6" x14ac:dyDescent="0.55000000000000004">
      <c r="A240" t="s">
        <v>66</v>
      </c>
      <c r="B240" t="s">
        <v>62</v>
      </c>
      <c r="C240">
        <v>56.109699999999997</v>
      </c>
      <c r="D240" t="s">
        <v>192</v>
      </c>
      <c r="E240">
        <v>2016</v>
      </c>
      <c r="F240">
        <v>4</v>
      </c>
    </row>
    <row r="241" spans="1:6" x14ac:dyDescent="0.55000000000000004">
      <c r="A241" t="s">
        <v>66</v>
      </c>
      <c r="B241" t="s">
        <v>63</v>
      </c>
      <c r="C241">
        <v>1439.5256999999999</v>
      </c>
      <c r="D241" t="s">
        <v>192</v>
      </c>
      <c r="E241">
        <v>2016</v>
      </c>
      <c r="F241">
        <v>4</v>
      </c>
    </row>
    <row r="242" spans="1:6" x14ac:dyDescent="0.55000000000000004">
      <c r="A242" t="s">
        <v>67</v>
      </c>
      <c r="B242" t="s">
        <v>4</v>
      </c>
      <c r="C242">
        <v>10235612.897399999</v>
      </c>
      <c r="D242" t="s">
        <v>193</v>
      </c>
      <c r="E242">
        <v>2016</v>
      </c>
      <c r="F242">
        <v>5</v>
      </c>
    </row>
    <row r="243" spans="1:6" x14ac:dyDescent="0.55000000000000004">
      <c r="A243" t="s">
        <v>67</v>
      </c>
      <c r="B243" t="s">
        <v>5</v>
      </c>
      <c r="C243">
        <v>1009732.8317</v>
      </c>
      <c r="D243" t="s">
        <v>193</v>
      </c>
      <c r="E243">
        <v>2016</v>
      </c>
      <c r="F243">
        <v>5</v>
      </c>
    </row>
    <row r="244" spans="1:6" x14ac:dyDescent="0.55000000000000004">
      <c r="A244" t="s">
        <v>67</v>
      </c>
      <c r="B244" t="s">
        <v>6</v>
      </c>
      <c r="C244">
        <v>2410548.7938999999</v>
      </c>
      <c r="D244" t="s">
        <v>193</v>
      </c>
      <c r="E244">
        <v>2016</v>
      </c>
      <c r="F244">
        <v>5</v>
      </c>
    </row>
    <row r="245" spans="1:6" x14ac:dyDescent="0.55000000000000004">
      <c r="A245" t="s">
        <v>67</v>
      </c>
      <c r="B245" t="s">
        <v>7</v>
      </c>
      <c r="C245">
        <v>2638918.9347999999</v>
      </c>
      <c r="D245" t="s">
        <v>193</v>
      </c>
      <c r="E245">
        <v>2016</v>
      </c>
      <c r="F245">
        <v>5</v>
      </c>
    </row>
    <row r="246" spans="1:6" x14ac:dyDescent="0.55000000000000004">
      <c r="A246" t="s">
        <v>67</v>
      </c>
      <c r="B246" t="s">
        <v>8</v>
      </c>
      <c r="C246">
        <v>4176412.3369999998</v>
      </c>
      <c r="D246" t="s">
        <v>193</v>
      </c>
      <c r="E246">
        <v>2016</v>
      </c>
      <c r="F246">
        <v>5</v>
      </c>
    </row>
    <row r="247" spans="1:6" x14ac:dyDescent="0.55000000000000004">
      <c r="A247" t="s">
        <v>67</v>
      </c>
      <c r="B247" t="s">
        <v>9</v>
      </c>
      <c r="C247">
        <v>0</v>
      </c>
      <c r="D247" t="s">
        <v>193</v>
      </c>
      <c r="E247">
        <v>2016</v>
      </c>
      <c r="F247">
        <v>5</v>
      </c>
    </row>
    <row r="248" spans="1:6" x14ac:dyDescent="0.55000000000000004">
      <c r="A248" t="s">
        <v>67</v>
      </c>
      <c r="B248" t="s">
        <v>10</v>
      </c>
      <c r="C248">
        <v>1396.5</v>
      </c>
      <c r="D248" t="s">
        <v>193</v>
      </c>
      <c r="E248">
        <v>2016</v>
      </c>
      <c r="F248">
        <v>5</v>
      </c>
    </row>
    <row r="249" spans="1:6" x14ac:dyDescent="0.55000000000000004">
      <c r="A249" t="s">
        <v>67</v>
      </c>
      <c r="B249" t="s">
        <v>11</v>
      </c>
      <c r="C249">
        <v>2528952.0764000001</v>
      </c>
      <c r="D249" t="s">
        <v>193</v>
      </c>
      <c r="E249">
        <v>2016</v>
      </c>
      <c r="F249">
        <v>5</v>
      </c>
    </row>
    <row r="250" spans="1:6" x14ac:dyDescent="0.55000000000000004">
      <c r="A250" t="s">
        <v>67</v>
      </c>
      <c r="B250" t="s">
        <v>12</v>
      </c>
      <c r="C250">
        <v>13214.2521</v>
      </c>
      <c r="D250" t="s">
        <v>193</v>
      </c>
      <c r="E250">
        <v>2016</v>
      </c>
      <c r="F250">
        <v>5</v>
      </c>
    </row>
    <row r="251" spans="1:6" x14ac:dyDescent="0.55000000000000004">
      <c r="A251" t="s">
        <v>67</v>
      </c>
      <c r="B251" t="s">
        <v>13</v>
      </c>
      <c r="C251">
        <v>41984.466699999997</v>
      </c>
      <c r="D251" t="s">
        <v>193</v>
      </c>
      <c r="E251">
        <v>2016</v>
      </c>
      <c r="F251">
        <v>5</v>
      </c>
    </row>
    <row r="252" spans="1:6" x14ac:dyDescent="0.55000000000000004">
      <c r="A252" t="s">
        <v>67</v>
      </c>
      <c r="B252" t="s">
        <v>14</v>
      </c>
      <c r="C252">
        <v>13401</v>
      </c>
      <c r="D252" t="s">
        <v>193</v>
      </c>
      <c r="E252">
        <v>2016</v>
      </c>
      <c r="F252">
        <v>5</v>
      </c>
    </row>
    <row r="253" spans="1:6" x14ac:dyDescent="0.55000000000000004">
      <c r="A253" t="s">
        <v>67</v>
      </c>
      <c r="B253" t="s">
        <v>15</v>
      </c>
      <c r="C253">
        <v>891377.75989999995</v>
      </c>
      <c r="D253" t="s">
        <v>193</v>
      </c>
      <c r="E253">
        <v>2016</v>
      </c>
      <c r="F253">
        <v>5</v>
      </c>
    </row>
    <row r="254" spans="1:6" x14ac:dyDescent="0.55000000000000004">
      <c r="A254" t="s">
        <v>67</v>
      </c>
      <c r="B254" t="s">
        <v>16</v>
      </c>
      <c r="C254">
        <v>0</v>
      </c>
      <c r="D254" t="s">
        <v>193</v>
      </c>
      <c r="E254">
        <v>2016</v>
      </c>
      <c r="F254">
        <v>5</v>
      </c>
    </row>
    <row r="255" spans="1:6" x14ac:dyDescent="0.55000000000000004">
      <c r="A255" t="s">
        <v>67</v>
      </c>
      <c r="B255" t="s">
        <v>17</v>
      </c>
      <c r="C255">
        <v>140439.11970000001</v>
      </c>
      <c r="D255" t="s">
        <v>193</v>
      </c>
      <c r="E255">
        <v>2016</v>
      </c>
      <c r="F255">
        <v>5</v>
      </c>
    </row>
    <row r="256" spans="1:6" x14ac:dyDescent="0.55000000000000004">
      <c r="A256" t="s">
        <v>67</v>
      </c>
      <c r="B256" t="s">
        <v>18</v>
      </c>
      <c r="C256">
        <v>195084.2996</v>
      </c>
      <c r="D256" t="s">
        <v>193</v>
      </c>
      <c r="E256">
        <v>2016</v>
      </c>
      <c r="F256">
        <v>5</v>
      </c>
    </row>
    <row r="257" spans="1:6" x14ac:dyDescent="0.55000000000000004">
      <c r="A257" t="s">
        <v>67</v>
      </c>
      <c r="B257" t="s">
        <v>19</v>
      </c>
      <c r="C257">
        <v>1200</v>
      </c>
      <c r="D257" t="s">
        <v>193</v>
      </c>
      <c r="E257">
        <v>2016</v>
      </c>
      <c r="F257">
        <v>5</v>
      </c>
    </row>
    <row r="258" spans="1:6" x14ac:dyDescent="0.55000000000000004">
      <c r="A258" t="s">
        <v>67</v>
      </c>
      <c r="B258" t="s">
        <v>20</v>
      </c>
      <c r="C258">
        <v>16310</v>
      </c>
      <c r="D258" t="s">
        <v>193</v>
      </c>
      <c r="E258">
        <v>2016</v>
      </c>
      <c r="F258">
        <v>5</v>
      </c>
    </row>
    <row r="259" spans="1:6" x14ac:dyDescent="0.55000000000000004">
      <c r="A259" t="s">
        <v>67</v>
      </c>
      <c r="B259" t="s">
        <v>21</v>
      </c>
      <c r="C259">
        <v>2376.2964999999999</v>
      </c>
      <c r="D259" t="s">
        <v>193</v>
      </c>
      <c r="E259">
        <v>2016</v>
      </c>
      <c r="F259">
        <v>5</v>
      </c>
    </row>
    <row r="260" spans="1:6" x14ac:dyDescent="0.55000000000000004">
      <c r="A260" t="s">
        <v>67</v>
      </c>
      <c r="B260" t="s">
        <v>22</v>
      </c>
      <c r="C260">
        <v>74089.462400000004</v>
      </c>
      <c r="D260" t="s">
        <v>193</v>
      </c>
      <c r="E260">
        <v>2016</v>
      </c>
      <c r="F260">
        <v>5</v>
      </c>
    </row>
    <row r="261" spans="1:6" x14ac:dyDescent="0.55000000000000004">
      <c r="A261" t="s">
        <v>67</v>
      </c>
      <c r="B261" t="s">
        <v>23</v>
      </c>
      <c r="C261">
        <v>76013.996799999994</v>
      </c>
      <c r="D261" t="s">
        <v>193</v>
      </c>
      <c r="E261">
        <v>2016</v>
      </c>
      <c r="F261">
        <v>5</v>
      </c>
    </row>
    <row r="262" spans="1:6" x14ac:dyDescent="0.55000000000000004">
      <c r="A262" t="s">
        <v>67</v>
      </c>
      <c r="B262" t="s">
        <v>24</v>
      </c>
      <c r="C262">
        <v>0</v>
      </c>
      <c r="D262" t="s">
        <v>193</v>
      </c>
      <c r="E262">
        <v>2016</v>
      </c>
      <c r="F262">
        <v>5</v>
      </c>
    </row>
    <row r="263" spans="1:6" x14ac:dyDescent="0.55000000000000004">
      <c r="A263" t="s">
        <v>67</v>
      </c>
      <c r="B263" t="s">
        <v>25</v>
      </c>
      <c r="C263">
        <v>300807.5834</v>
      </c>
      <c r="D263" t="s">
        <v>193</v>
      </c>
      <c r="E263">
        <v>2016</v>
      </c>
      <c r="F263">
        <v>5</v>
      </c>
    </row>
    <row r="264" spans="1:6" x14ac:dyDescent="0.55000000000000004">
      <c r="A264" t="s">
        <v>67</v>
      </c>
      <c r="B264" t="s">
        <v>26</v>
      </c>
      <c r="C264">
        <v>0</v>
      </c>
      <c r="D264" t="s">
        <v>193</v>
      </c>
      <c r="E264">
        <v>2016</v>
      </c>
      <c r="F264">
        <v>5</v>
      </c>
    </row>
    <row r="265" spans="1:6" x14ac:dyDescent="0.55000000000000004">
      <c r="A265" t="s">
        <v>67</v>
      </c>
      <c r="B265" t="s">
        <v>27</v>
      </c>
      <c r="C265">
        <v>1468.123</v>
      </c>
      <c r="D265" t="s">
        <v>193</v>
      </c>
      <c r="E265">
        <v>2016</v>
      </c>
      <c r="F265">
        <v>5</v>
      </c>
    </row>
    <row r="266" spans="1:6" x14ac:dyDescent="0.55000000000000004">
      <c r="A266" t="s">
        <v>67</v>
      </c>
      <c r="B266" t="s">
        <v>28</v>
      </c>
      <c r="C266">
        <v>353150.94059999997</v>
      </c>
      <c r="D266" t="s">
        <v>193</v>
      </c>
      <c r="E266">
        <v>2016</v>
      </c>
      <c r="F266">
        <v>5</v>
      </c>
    </row>
    <row r="267" spans="1:6" x14ac:dyDescent="0.55000000000000004">
      <c r="A267" t="s">
        <v>67</v>
      </c>
      <c r="B267" t="s">
        <v>29</v>
      </c>
      <c r="C267">
        <v>22290.471300000001</v>
      </c>
      <c r="D267" t="s">
        <v>193</v>
      </c>
      <c r="E267">
        <v>2016</v>
      </c>
      <c r="F267">
        <v>5</v>
      </c>
    </row>
    <row r="268" spans="1:6" x14ac:dyDescent="0.55000000000000004">
      <c r="A268" t="s">
        <v>67</v>
      </c>
      <c r="B268" t="s">
        <v>30</v>
      </c>
      <c r="C268">
        <v>89.2667</v>
      </c>
      <c r="D268" t="s">
        <v>193</v>
      </c>
      <c r="E268">
        <v>2016</v>
      </c>
      <c r="F268">
        <v>5</v>
      </c>
    </row>
    <row r="269" spans="1:6" x14ac:dyDescent="0.55000000000000004">
      <c r="A269" t="s">
        <v>67</v>
      </c>
      <c r="B269" t="s">
        <v>31</v>
      </c>
      <c r="C269">
        <v>30.516999999999999</v>
      </c>
      <c r="D269" t="s">
        <v>193</v>
      </c>
      <c r="E269">
        <v>2016</v>
      </c>
      <c r="F269">
        <v>5</v>
      </c>
    </row>
    <row r="270" spans="1:6" x14ac:dyDescent="0.55000000000000004">
      <c r="A270" t="s">
        <v>67</v>
      </c>
      <c r="B270" t="s">
        <v>32</v>
      </c>
      <c r="C270">
        <v>722010.97829999996</v>
      </c>
      <c r="D270" t="s">
        <v>193</v>
      </c>
      <c r="E270">
        <v>2016</v>
      </c>
      <c r="F270">
        <v>5</v>
      </c>
    </row>
    <row r="271" spans="1:6" x14ac:dyDescent="0.55000000000000004">
      <c r="A271" t="s">
        <v>67</v>
      </c>
      <c r="B271" t="s">
        <v>33</v>
      </c>
      <c r="C271">
        <v>626843.43590000004</v>
      </c>
      <c r="D271" t="s">
        <v>193</v>
      </c>
      <c r="E271">
        <v>2016</v>
      </c>
      <c r="F271">
        <v>5</v>
      </c>
    </row>
    <row r="272" spans="1:6" x14ac:dyDescent="0.55000000000000004">
      <c r="A272" t="s">
        <v>67</v>
      </c>
      <c r="B272" t="s">
        <v>34</v>
      </c>
      <c r="C272">
        <v>339986.06040000002</v>
      </c>
      <c r="D272" t="s">
        <v>193</v>
      </c>
      <c r="E272">
        <v>2016</v>
      </c>
      <c r="F272">
        <v>5</v>
      </c>
    </row>
    <row r="273" spans="1:6" x14ac:dyDescent="0.55000000000000004">
      <c r="A273" t="s">
        <v>67</v>
      </c>
      <c r="B273" t="s">
        <v>35</v>
      </c>
      <c r="C273">
        <v>1480.1941999999999</v>
      </c>
      <c r="D273" t="s">
        <v>193</v>
      </c>
      <c r="E273">
        <v>2016</v>
      </c>
      <c r="F273">
        <v>5</v>
      </c>
    </row>
    <row r="274" spans="1:6" x14ac:dyDescent="0.55000000000000004">
      <c r="A274" t="s">
        <v>67</v>
      </c>
      <c r="B274" t="s">
        <v>36</v>
      </c>
      <c r="C274">
        <v>75024.661800000002</v>
      </c>
      <c r="D274" t="s">
        <v>193</v>
      </c>
      <c r="E274">
        <v>2016</v>
      </c>
      <c r="F274">
        <v>5</v>
      </c>
    </row>
    <row r="275" spans="1:6" x14ac:dyDescent="0.55000000000000004">
      <c r="A275" t="s">
        <v>67</v>
      </c>
      <c r="B275" t="s">
        <v>37</v>
      </c>
      <c r="C275">
        <v>44769.284200000002</v>
      </c>
      <c r="D275" t="s">
        <v>193</v>
      </c>
      <c r="E275">
        <v>2016</v>
      </c>
      <c r="F275">
        <v>5</v>
      </c>
    </row>
    <row r="276" spans="1:6" x14ac:dyDescent="0.55000000000000004">
      <c r="A276" t="s">
        <v>67</v>
      </c>
      <c r="B276" t="s">
        <v>38</v>
      </c>
      <c r="C276">
        <v>0</v>
      </c>
      <c r="D276" t="s">
        <v>193</v>
      </c>
      <c r="E276">
        <v>2016</v>
      </c>
      <c r="F276">
        <v>5</v>
      </c>
    </row>
    <row r="277" spans="1:6" x14ac:dyDescent="0.55000000000000004">
      <c r="A277" t="s">
        <v>67</v>
      </c>
      <c r="B277" t="s">
        <v>39</v>
      </c>
      <c r="C277">
        <v>3982.4706999999999</v>
      </c>
      <c r="D277" t="s">
        <v>193</v>
      </c>
      <c r="E277">
        <v>2016</v>
      </c>
      <c r="F277">
        <v>5</v>
      </c>
    </row>
    <row r="278" spans="1:6" x14ac:dyDescent="0.55000000000000004">
      <c r="A278" t="s">
        <v>67</v>
      </c>
      <c r="B278" t="s">
        <v>40</v>
      </c>
      <c r="C278">
        <v>2009.8714</v>
      </c>
      <c r="D278" t="s">
        <v>193</v>
      </c>
      <c r="E278">
        <v>2016</v>
      </c>
      <c r="F278">
        <v>5</v>
      </c>
    </row>
    <row r="279" spans="1:6" x14ac:dyDescent="0.55000000000000004">
      <c r="A279" t="s">
        <v>67</v>
      </c>
      <c r="B279" t="s">
        <v>41</v>
      </c>
      <c r="C279">
        <v>231875.86040000001</v>
      </c>
      <c r="D279" t="s">
        <v>193</v>
      </c>
      <c r="E279">
        <v>2016</v>
      </c>
      <c r="F279">
        <v>5</v>
      </c>
    </row>
    <row r="280" spans="1:6" x14ac:dyDescent="0.55000000000000004">
      <c r="A280" t="s">
        <v>67</v>
      </c>
      <c r="B280" t="s">
        <v>42</v>
      </c>
      <c r="C280">
        <v>140.2724</v>
      </c>
      <c r="D280" t="s">
        <v>193</v>
      </c>
      <c r="E280">
        <v>2016</v>
      </c>
      <c r="F280">
        <v>5</v>
      </c>
    </row>
    <row r="281" spans="1:6" x14ac:dyDescent="0.55000000000000004">
      <c r="A281" t="s">
        <v>67</v>
      </c>
      <c r="B281" t="s">
        <v>43</v>
      </c>
      <c r="C281">
        <v>296068.40879999998</v>
      </c>
      <c r="D281" t="s">
        <v>193</v>
      </c>
      <c r="E281">
        <v>2016</v>
      </c>
      <c r="F281">
        <v>5</v>
      </c>
    </row>
    <row r="282" spans="1:6" x14ac:dyDescent="0.55000000000000004">
      <c r="A282" t="s">
        <v>67</v>
      </c>
      <c r="B282" t="s">
        <v>44</v>
      </c>
      <c r="C282">
        <v>0</v>
      </c>
      <c r="D282" t="s">
        <v>193</v>
      </c>
      <c r="E282">
        <v>2016</v>
      </c>
      <c r="F282">
        <v>5</v>
      </c>
    </row>
    <row r="283" spans="1:6" x14ac:dyDescent="0.55000000000000004">
      <c r="A283" t="s">
        <v>67</v>
      </c>
      <c r="B283" t="s">
        <v>45</v>
      </c>
      <c r="C283">
        <v>4389.1192000000001</v>
      </c>
      <c r="D283" t="s">
        <v>193</v>
      </c>
      <c r="E283">
        <v>2016</v>
      </c>
      <c r="F283">
        <v>5</v>
      </c>
    </row>
    <row r="284" spans="1:6" x14ac:dyDescent="0.55000000000000004">
      <c r="A284" t="s">
        <v>67</v>
      </c>
      <c r="B284" t="s">
        <v>46</v>
      </c>
      <c r="C284">
        <v>52148.818800000001</v>
      </c>
      <c r="D284" t="s">
        <v>193</v>
      </c>
      <c r="E284">
        <v>2016</v>
      </c>
      <c r="F284">
        <v>5</v>
      </c>
    </row>
    <row r="285" spans="1:6" x14ac:dyDescent="0.55000000000000004">
      <c r="A285" t="s">
        <v>67</v>
      </c>
      <c r="B285" t="s">
        <v>47</v>
      </c>
      <c r="C285">
        <v>0</v>
      </c>
      <c r="D285" t="s">
        <v>193</v>
      </c>
      <c r="E285">
        <v>2016</v>
      </c>
      <c r="F285">
        <v>5</v>
      </c>
    </row>
    <row r="286" spans="1:6" x14ac:dyDescent="0.55000000000000004">
      <c r="A286" t="s">
        <v>67</v>
      </c>
      <c r="B286" t="s">
        <v>48</v>
      </c>
      <c r="C286">
        <v>78739.58</v>
      </c>
      <c r="D286" t="s">
        <v>193</v>
      </c>
      <c r="E286">
        <v>2016</v>
      </c>
      <c r="F286">
        <v>5</v>
      </c>
    </row>
    <row r="287" spans="1:6" x14ac:dyDescent="0.55000000000000004">
      <c r="A287" t="s">
        <v>67</v>
      </c>
      <c r="B287" t="s">
        <v>49</v>
      </c>
      <c r="C287">
        <v>189.30179999999999</v>
      </c>
      <c r="D287" t="s">
        <v>193</v>
      </c>
      <c r="E287">
        <v>2016</v>
      </c>
      <c r="F287">
        <v>5</v>
      </c>
    </row>
    <row r="288" spans="1:6" x14ac:dyDescent="0.55000000000000004">
      <c r="A288" t="s">
        <v>67</v>
      </c>
      <c r="B288" t="s">
        <v>50</v>
      </c>
      <c r="C288">
        <v>6805.1259</v>
      </c>
      <c r="D288" t="s">
        <v>193</v>
      </c>
      <c r="E288">
        <v>2016</v>
      </c>
      <c r="F288">
        <v>5</v>
      </c>
    </row>
    <row r="289" spans="1:6" x14ac:dyDescent="0.55000000000000004">
      <c r="A289" t="s">
        <v>67</v>
      </c>
      <c r="B289" t="s">
        <v>51</v>
      </c>
      <c r="C289">
        <v>1786.0101999999999</v>
      </c>
      <c r="D289" t="s">
        <v>193</v>
      </c>
      <c r="E289">
        <v>2016</v>
      </c>
      <c r="F289">
        <v>5</v>
      </c>
    </row>
    <row r="290" spans="1:6" x14ac:dyDescent="0.55000000000000004">
      <c r="A290" t="s">
        <v>67</v>
      </c>
      <c r="B290" t="s">
        <v>52</v>
      </c>
      <c r="C290">
        <v>116.1108</v>
      </c>
      <c r="D290" t="s">
        <v>193</v>
      </c>
      <c r="E290">
        <v>2016</v>
      </c>
      <c r="F290">
        <v>5</v>
      </c>
    </row>
    <row r="291" spans="1:6" x14ac:dyDescent="0.55000000000000004">
      <c r="A291" t="s">
        <v>67</v>
      </c>
      <c r="B291" t="s">
        <v>53</v>
      </c>
      <c r="C291">
        <v>71818.41</v>
      </c>
      <c r="D291" t="s">
        <v>193</v>
      </c>
      <c r="E291">
        <v>2016</v>
      </c>
      <c r="F291">
        <v>5</v>
      </c>
    </row>
    <row r="292" spans="1:6" x14ac:dyDescent="0.55000000000000004">
      <c r="A292" t="s">
        <v>67</v>
      </c>
      <c r="B292" t="s">
        <v>54</v>
      </c>
      <c r="C292">
        <v>11058.2749</v>
      </c>
      <c r="D292" t="s">
        <v>193</v>
      </c>
      <c r="E292">
        <v>2016</v>
      </c>
      <c r="F292">
        <v>5</v>
      </c>
    </row>
    <row r="293" spans="1:6" x14ac:dyDescent="0.55000000000000004">
      <c r="A293" t="s">
        <v>67</v>
      </c>
      <c r="B293" t="s">
        <v>55</v>
      </c>
      <c r="C293">
        <v>4481.2358000000004</v>
      </c>
      <c r="D293" t="s">
        <v>193</v>
      </c>
      <c r="E293">
        <v>2016</v>
      </c>
      <c r="F293">
        <v>5</v>
      </c>
    </row>
    <row r="294" spans="1:6" x14ac:dyDescent="0.55000000000000004">
      <c r="A294" t="s">
        <v>67</v>
      </c>
      <c r="B294" t="s">
        <v>56</v>
      </c>
      <c r="C294">
        <v>7035.35</v>
      </c>
      <c r="D294" t="s">
        <v>193</v>
      </c>
      <c r="E294">
        <v>2016</v>
      </c>
      <c r="F294">
        <v>5</v>
      </c>
    </row>
    <row r="295" spans="1:6" x14ac:dyDescent="0.55000000000000004">
      <c r="A295" t="s">
        <v>67</v>
      </c>
      <c r="B295" t="s">
        <v>57</v>
      </c>
      <c r="C295">
        <v>50.857799999999997</v>
      </c>
      <c r="D295" t="s">
        <v>193</v>
      </c>
      <c r="E295">
        <v>2016</v>
      </c>
      <c r="F295">
        <v>5</v>
      </c>
    </row>
    <row r="296" spans="1:6" x14ac:dyDescent="0.55000000000000004">
      <c r="A296" t="s">
        <v>67</v>
      </c>
      <c r="B296" t="s">
        <v>58</v>
      </c>
      <c r="C296">
        <v>285945</v>
      </c>
      <c r="D296" t="s">
        <v>193</v>
      </c>
      <c r="E296">
        <v>2016</v>
      </c>
      <c r="F296">
        <v>5</v>
      </c>
    </row>
    <row r="297" spans="1:6" x14ac:dyDescent="0.55000000000000004">
      <c r="A297" t="s">
        <v>67</v>
      </c>
      <c r="B297" t="s">
        <v>59</v>
      </c>
      <c r="C297">
        <v>0</v>
      </c>
      <c r="D297" t="s">
        <v>193</v>
      </c>
      <c r="E297">
        <v>2016</v>
      </c>
      <c r="F297">
        <v>5</v>
      </c>
    </row>
    <row r="298" spans="1:6" x14ac:dyDescent="0.55000000000000004">
      <c r="A298" t="s">
        <v>67</v>
      </c>
      <c r="B298" t="s">
        <v>60</v>
      </c>
      <c r="C298">
        <v>2683432.0693999999</v>
      </c>
      <c r="D298" t="s">
        <v>193</v>
      </c>
      <c r="E298">
        <v>2016</v>
      </c>
      <c r="F298">
        <v>5</v>
      </c>
    </row>
    <row r="299" spans="1:6" x14ac:dyDescent="0.55000000000000004">
      <c r="A299" t="s">
        <v>67</v>
      </c>
      <c r="B299" t="s">
        <v>61</v>
      </c>
      <c r="C299">
        <v>7539.3667999999998</v>
      </c>
      <c r="D299" t="s">
        <v>193</v>
      </c>
      <c r="E299">
        <v>2016</v>
      </c>
      <c r="F299">
        <v>5</v>
      </c>
    </row>
    <row r="300" spans="1:6" x14ac:dyDescent="0.55000000000000004">
      <c r="A300" t="s">
        <v>67</v>
      </c>
      <c r="B300" t="s">
        <v>62</v>
      </c>
      <c r="C300">
        <v>51.109699999999997</v>
      </c>
      <c r="D300" t="s">
        <v>193</v>
      </c>
      <c r="E300">
        <v>2016</v>
      </c>
      <c r="F300">
        <v>5</v>
      </c>
    </row>
    <row r="301" spans="1:6" x14ac:dyDescent="0.55000000000000004">
      <c r="A301" t="s">
        <v>67</v>
      </c>
      <c r="B301" t="s">
        <v>63</v>
      </c>
      <c r="C301">
        <v>2159.5257000000001</v>
      </c>
      <c r="D301" t="s">
        <v>193</v>
      </c>
      <c r="E301">
        <v>2016</v>
      </c>
      <c r="F301">
        <v>5</v>
      </c>
    </row>
    <row r="302" spans="1:6" x14ac:dyDescent="0.55000000000000004">
      <c r="A302" t="s">
        <v>68</v>
      </c>
      <c r="B302" t="s">
        <v>4</v>
      </c>
      <c r="C302">
        <v>10072647.249399999</v>
      </c>
      <c r="D302" t="s">
        <v>194</v>
      </c>
      <c r="E302">
        <v>2016</v>
      </c>
      <c r="F302">
        <v>6</v>
      </c>
    </row>
    <row r="303" spans="1:6" x14ac:dyDescent="0.55000000000000004">
      <c r="A303" t="s">
        <v>68</v>
      </c>
      <c r="B303" t="s">
        <v>5</v>
      </c>
      <c r="C303">
        <v>1050357.3759999999</v>
      </c>
      <c r="D303" t="s">
        <v>194</v>
      </c>
      <c r="E303">
        <v>2016</v>
      </c>
      <c r="F303">
        <v>6</v>
      </c>
    </row>
    <row r="304" spans="1:6" x14ac:dyDescent="0.55000000000000004">
      <c r="A304" t="s">
        <v>68</v>
      </c>
      <c r="B304" t="s">
        <v>6</v>
      </c>
      <c r="C304">
        <v>2245509.5872</v>
      </c>
      <c r="D304" t="s">
        <v>194</v>
      </c>
      <c r="E304">
        <v>2016</v>
      </c>
      <c r="F304">
        <v>6</v>
      </c>
    </row>
    <row r="305" spans="1:6" x14ac:dyDescent="0.55000000000000004">
      <c r="A305" t="s">
        <v>68</v>
      </c>
      <c r="B305" t="s">
        <v>7</v>
      </c>
      <c r="C305">
        <v>2584881.0643000002</v>
      </c>
      <c r="D305" t="s">
        <v>194</v>
      </c>
      <c r="E305">
        <v>2016</v>
      </c>
      <c r="F305">
        <v>6</v>
      </c>
    </row>
    <row r="306" spans="1:6" x14ac:dyDescent="0.55000000000000004">
      <c r="A306" t="s">
        <v>68</v>
      </c>
      <c r="B306" t="s">
        <v>8</v>
      </c>
      <c r="C306">
        <v>4191899.2218999998</v>
      </c>
      <c r="D306" t="s">
        <v>194</v>
      </c>
      <c r="E306">
        <v>2016</v>
      </c>
      <c r="F306">
        <v>6</v>
      </c>
    </row>
    <row r="307" spans="1:6" x14ac:dyDescent="0.55000000000000004">
      <c r="A307" t="s">
        <v>68</v>
      </c>
      <c r="B307" t="s">
        <v>9</v>
      </c>
      <c r="C307">
        <v>600</v>
      </c>
      <c r="D307" t="s">
        <v>194</v>
      </c>
      <c r="E307">
        <v>2016</v>
      </c>
      <c r="F307">
        <v>6</v>
      </c>
    </row>
    <row r="308" spans="1:6" x14ac:dyDescent="0.55000000000000004">
      <c r="A308" t="s">
        <v>68</v>
      </c>
      <c r="B308" t="s">
        <v>10</v>
      </c>
      <c r="C308">
        <v>884</v>
      </c>
      <c r="D308" t="s">
        <v>194</v>
      </c>
      <c r="E308">
        <v>2016</v>
      </c>
      <c r="F308">
        <v>6</v>
      </c>
    </row>
    <row r="309" spans="1:6" x14ac:dyDescent="0.55000000000000004">
      <c r="A309" t="s">
        <v>68</v>
      </c>
      <c r="B309" t="s">
        <v>11</v>
      </c>
      <c r="C309">
        <v>2450865.2281999998</v>
      </c>
      <c r="D309" t="s">
        <v>194</v>
      </c>
      <c r="E309">
        <v>2016</v>
      </c>
      <c r="F309">
        <v>6</v>
      </c>
    </row>
    <row r="310" spans="1:6" x14ac:dyDescent="0.55000000000000004">
      <c r="A310" t="s">
        <v>68</v>
      </c>
      <c r="B310" t="s">
        <v>12</v>
      </c>
      <c r="C310">
        <v>11440.652899999999</v>
      </c>
      <c r="D310" t="s">
        <v>194</v>
      </c>
      <c r="E310">
        <v>2016</v>
      </c>
      <c r="F310">
        <v>6</v>
      </c>
    </row>
    <row r="311" spans="1:6" x14ac:dyDescent="0.55000000000000004">
      <c r="A311" t="s">
        <v>68</v>
      </c>
      <c r="B311" t="s">
        <v>13</v>
      </c>
      <c r="C311">
        <v>62329.666700000002</v>
      </c>
      <c r="D311" t="s">
        <v>194</v>
      </c>
      <c r="E311">
        <v>2016</v>
      </c>
      <c r="F311">
        <v>6</v>
      </c>
    </row>
    <row r="312" spans="1:6" x14ac:dyDescent="0.55000000000000004">
      <c r="A312" t="s">
        <v>68</v>
      </c>
      <c r="B312" t="s">
        <v>14</v>
      </c>
      <c r="C312">
        <v>3420</v>
      </c>
      <c r="D312" t="s">
        <v>194</v>
      </c>
      <c r="E312">
        <v>2016</v>
      </c>
      <c r="F312">
        <v>6</v>
      </c>
    </row>
    <row r="313" spans="1:6" x14ac:dyDescent="0.55000000000000004">
      <c r="A313" t="s">
        <v>68</v>
      </c>
      <c r="B313" t="s">
        <v>15</v>
      </c>
      <c r="C313">
        <v>935420.25710000005</v>
      </c>
      <c r="D313" t="s">
        <v>194</v>
      </c>
      <c r="E313">
        <v>2016</v>
      </c>
      <c r="F313">
        <v>6</v>
      </c>
    </row>
    <row r="314" spans="1:6" x14ac:dyDescent="0.55000000000000004">
      <c r="A314" t="s">
        <v>68</v>
      </c>
      <c r="B314" t="s">
        <v>16</v>
      </c>
      <c r="C314">
        <v>0</v>
      </c>
      <c r="D314" t="s">
        <v>194</v>
      </c>
      <c r="E314">
        <v>2016</v>
      </c>
      <c r="F314">
        <v>6</v>
      </c>
    </row>
    <row r="315" spans="1:6" x14ac:dyDescent="0.55000000000000004">
      <c r="A315" t="s">
        <v>68</v>
      </c>
      <c r="B315" t="s">
        <v>17</v>
      </c>
      <c r="C315">
        <v>114114.1358</v>
      </c>
      <c r="D315" t="s">
        <v>194</v>
      </c>
      <c r="E315">
        <v>2016</v>
      </c>
      <c r="F315">
        <v>6</v>
      </c>
    </row>
    <row r="316" spans="1:6" x14ac:dyDescent="0.55000000000000004">
      <c r="A316" t="s">
        <v>68</v>
      </c>
      <c r="B316" t="s">
        <v>18</v>
      </c>
      <c r="C316">
        <v>135876.63389999999</v>
      </c>
      <c r="D316" t="s">
        <v>194</v>
      </c>
      <c r="E316">
        <v>2016</v>
      </c>
      <c r="F316">
        <v>6</v>
      </c>
    </row>
    <row r="317" spans="1:6" x14ac:dyDescent="0.55000000000000004">
      <c r="A317" t="s">
        <v>68</v>
      </c>
      <c r="B317" t="s">
        <v>19</v>
      </c>
      <c r="C317">
        <v>1200.0999999999999</v>
      </c>
      <c r="D317" t="s">
        <v>194</v>
      </c>
      <c r="E317">
        <v>2016</v>
      </c>
      <c r="F317">
        <v>6</v>
      </c>
    </row>
    <row r="318" spans="1:6" x14ac:dyDescent="0.55000000000000004">
      <c r="A318" t="s">
        <v>68</v>
      </c>
      <c r="B318" t="s">
        <v>20</v>
      </c>
      <c r="C318">
        <v>20480</v>
      </c>
      <c r="D318" t="s">
        <v>194</v>
      </c>
      <c r="E318">
        <v>2016</v>
      </c>
      <c r="F318">
        <v>6</v>
      </c>
    </row>
    <row r="319" spans="1:6" x14ac:dyDescent="0.55000000000000004">
      <c r="A319" t="s">
        <v>68</v>
      </c>
      <c r="B319" t="s">
        <v>21</v>
      </c>
      <c r="C319">
        <v>1370.9649999999999</v>
      </c>
      <c r="D319" t="s">
        <v>194</v>
      </c>
      <c r="E319">
        <v>2016</v>
      </c>
      <c r="F319">
        <v>6</v>
      </c>
    </row>
    <row r="320" spans="1:6" x14ac:dyDescent="0.55000000000000004">
      <c r="A320" t="s">
        <v>68</v>
      </c>
      <c r="B320" t="s">
        <v>22</v>
      </c>
      <c r="C320">
        <v>70377.043799999999</v>
      </c>
      <c r="D320" t="s">
        <v>194</v>
      </c>
      <c r="E320">
        <v>2016</v>
      </c>
      <c r="F320">
        <v>6</v>
      </c>
    </row>
    <row r="321" spans="1:6" x14ac:dyDescent="0.55000000000000004">
      <c r="A321" t="s">
        <v>68</v>
      </c>
      <c r="B321" t="s">
        <v>23</v>
      </c>
      <c r="C321">
        <v>56651.848700000002</v>
      </c>
      <c r="D321" t="s">
        <v>194</v>
      </c>
      <c r="E321">
        <v>2016</v>
      </c>
      <c r="F321">
        <v>6</v>
      </c>
    </row>
    <row r="322" spans="1:6" x14ac:dyDescent="0.55000000000000004">
      <c r="A322" t="s">
        <v>68</v>
      </c>
      <c r="B322" t="s">
        <v>24</v>
      </c>
      <c r="C322">
        <v>0</v>
      </c>
      <c r="D322" t="s">
        <v>194</v>
      </c>
      <c r="E322">
        <v>2016</v>
      </c>
      <c r="F322">
        <v>6</v>
      </c>
    </row>
    <row r="323" spans="1:6" x14ac:dyDescent="0.55000000000000004">
      <c r="A323" t="s">
        <v>68</v>
      </c>
      <c r="B323" t="s">
        <v>25</v>
      </c>
      <c r="C323">
        <v>358198.65</v>
      </c>
      <c r="D323" t="s">
        <v>194</v>
      </c>
      <c r="E323">
        <v>2016</v>
      </c>
      <c r="F323">
        <v>6</v>
      </c>
    </row>
    <row r="324" spans="1:6" x14ac:dyDescent="0.55000000000000004">
      <c r="A324" t="s">
        <v>68</v>
      </c>
      <c r="B324" t="s">
        <v>26</v>
      </c>
      <c r="C324">
        <v>0</v>
      </c>
      <c r="D324" t="s">
        <v>194</v>
      </c>
      <c r="E324">
        <v>2016</v>
      </c>
      <c r="F324">
        <v>6</v>
      </c>
    </row>
    <row r="325" spans="1:6" x14ac:dyDescent="0.55000000000000004">
      <c r="A325" t="s">
        <v>68</v>
      </c>
      <c r="B325" t="s">
        <v>27</v>
      </c>
      <c r="C325">
        <v>1603.7840000000001</v>
      </c>
      <c r="D325" t="s">
        <v>194</v>
      </c>
      <c r="E325">
        <v>2016</v>
      </c>
      <c r="F325">
        <v>6</v>
      </c>
    </row>
    <row r="326" spans="1:6" x14ac:dyDescent="0.55000000000000004">
      <c r="A326" t="s">
        <v>68</v>
      </c>
      <c r="B326" t="s">
        <v>28</v>
      </c>
      <c r="C326">
        <v>350287.26280000003</v>
      </c>
      <c r="D326" t="s">
        <v>194</v>
      </c>
      <c r="E326">
        <v>2016</v>
      </c>
      <c r="F326">
        <v>6</v>
      </c>
    </row>
    <row r="327" spans="1:6" x14ac:dyDescent="0.55000000000000004">
      <c r="A327" t="s">
        <v>68</v>
      </c>
      <c r="B327" t="s">
        <v>29</v>
      </c>
      <c r="C327">
        <v>25718.1613</v>
      </c>
      <c r="D327" t="s">
        <v>194</v>
      </c>
      <c r="E327">
        <v>2016</v>
      </c>
      <c r="F327">
        <v>6</v>
      </c>
    </row>
    <row r="328" spans="1:6" x14ac:dyDescent="0.55000000000000004">
      <c r="A328" t="s">
        <v>68</v>
      </c>
      <c r="B328" t="s">
        <v>30</v>
      </c>
      <c r="C328">
        <v>1.04</v>
      </c>
      <c r="D328" t="s">
        <v>194</v>
      </c>
      <c r="E328">
        <v>2016</v>
      </c>
      <c r="F328">
        <v>6</v>
      </c>
    </row>
    <row r="329" spans="1:6" x14ac:dyDescent="0.55000000000000004">
      <c r="A329" t="s">
        <v>68</v>
      </c>
      <c r="B329" t="s">
        <v>31</v>
      </c>
      <c r="C329">
        <v>132.417</v>
      </c>
      <c r="D329" t="s">
        <v>194</v>
      </c>
      <c r="E329">
        <v>2016</v>
      </c>
      <c r="F329">
        <v>6</v>
      </c>
    </row>
    <row r="330" spans="1:6" x14ac:dyDescent="0.55000000000000004">
      <c r="A330" t="s">
        <v>68</v>
      </c>
      <c r="B330" t="s">
        <v>32</v>
      </c>
      <c r="C330">
        <v>567754.61100000003</v>
      </c>
      <c r="D330" t="s">
        <v>194</v>
      </c>
      <c r="E330">
        <v>2016</v>
      </c>
      <c r="F330">
        <v>6</v>
      </c>
    </row>
    <row r="331" spans="1:6" x14ac:dyDescent="0.55000000000000004">
      <c r="A331" t="s">
        <v>68</v>
      </c>
      <c r="B331" t="s">
        <v>33</v>
      </c>
      <c r="C331">
        <v>619842.30149999994</v>
      </c>
      <c r="D331" t="s">
        <v>194</v>
      </c>
      <c r="E331">
        <v>2016</v>
      </c>
      <c r="F331">
        <v>6</v>
      </c>
    </row>
    <row r="332" spans="1:6" x14ac:dyDescent="0.55000000000000004">
      <c r="A332" t="s">
        <v>68</v>
      </c>
      <c r="B332" t="s">
        <v>34</v>
      </c>
      <c r="C332">
        <v>426283.22779999999</v>
      </c>
      <c r="D332" t="s">
        <v>194</v>
      </c>
      <c r="E332">
        <v>2016</v>
      </c>
      <c r="F332">
        <v>6</v>
      </c>
    </row>
    <row r="333" spans="1:6" x14ac:dyDescent="0.55000000000000004">
      <c r="A333" t="s">
        <v>68</v>
      </c>
      <c r="B333" t="s">
        <v>35</v>
      </c>
      <c r="C333">
        <v>2391.8806</v>
      </c>
      <c r="D333" t="s">
        <v>194</v>
      </c>
      <c r="E333">
        <v>2016</v>
      </c>
      <c r="F333">
        <v>6</v>
      </c>
    </row>
    <row r="334" spans="1:6" x14ac:dyDescent="0.55000000000000004">
      <c r="A334" t="s">
        <v>68</v>
      </c>
      <c r="B334" t="s">
        <v>36</v>
      </c>
      <c r="C334">
        <v>86056.472200000004</v>
      </c>
      <c r="D334" t="s">
        <v>194</v>
      </c>
      <c r="E334">
        <v>2016</v>
      </c>
      <c r="F334">
        <v>6</v>
      </c>
    </row>
    <row r="335" spans="1:6" x14ac:dyDescent="0.55000000000000004">
      <c r="A335" t="s">
        <v>68</v>
      </c>
      <c r="B335" t="s">
        <v>37</v>
      </c>
      <c r="C335">
        <v>45177.948900000003</v>
      </c>
      <c r="D335" t="s">
        <v>194</v>
      </c>
      <c r="E335">
        <v>2016</v>
      </c>
      <c r="F335">
        <v>6</v>
      </c>
    </row>
    <row r="336" spans="1:6" x14ac:dyDescent="0.55000000000000004">
      <c r="A336" t="s">
        <v>68</v>
      </c>
      <c r="B336" t="s">
        <v>38</v>
      </c>
      <c r="C336">
        <v>313.33</v>
      </c>
      <c r="D336" t="s">
        <v>194</v>
      </c>
      <c r="E336">
        <v>2016</v>
      </c>
      <c r="F336">
        <v>6</v>
      </c>
    </row>
    <row r="337" spans="1:6" x14ac:dyDescent="0.55000000000000004">
      <c r="A337" t="s">
        <v>68</v>
      </c>
      <c r="B337" t="s">
        <v>39</v>
      </c>
      <c r="C337">
        <v>6391.2981</v>
      </c>
      <c r="D337" t="s">
        <v>194</v>
      </c>
      <c r="E337">
        <v>2016</v>
      </c>
      <c r="F337">
        <v>6</v>
      </c>
    </row>
    <row r="338" spans="1:6" x14ac:dyDescent="0.55000000000000004">
      <c r="A338" t="s">
        <v>68</v>
      </c>
      <c r="B338" t="s">
        <v>40</v>
      </c>
      <c r="C338">
        <v>2073.8579</v>
      </c>
      <c r="D338" t="s">
        <v>194</v>
      </c>
      <c r="E338">
        <v>2016</v>
      </c>
      <c r="F338">
        <v>6</v>
      </c>
    </row>
    <row r="339" spans="1:6" x14ac:dyDescent="0.55000000000000004">
      <c r="A339" t="s">
        <v>68</v>
      </c>
      <c r="B339" t="s">
        <v>41</v>
      </c>
      <c r="C339">
        <v>211018.82070000001</v>
      </c>
      <c r="D339" t="s">
        <v>194</v>
      </c>
      <c r="E339">
        <v>2016</v>
      </c>
      <c r="F339">
        <v>6</v>
      </c>
    </row>
    <row r="340" spans="1:6" x14ac:dyDescent="0.55000000000000004">
      <c r="A340" t="s">
        <v>68</v>
      </c>
      <c r="B340" t="s">
        <v>42</v>
      </c>
      <c r="C340">
        <v>360.62509999999997</v>
      </c>
      <c r="D340" t="s">
        <v>194</v>
      </c>
      <c r="E340">
        <v>2016</v>
      </c>
      <c r="F340">
        <v>6</v>
      </c>
    </row>
    <row r="341" spans="1:6" x14ac:dyDescent="0.55000000000000004">
      <c r="A341" t="s">
        <v>68</v>
      </c>
      <c r="B341" t="s">
        <v>43</v>
      </c>
      <c r="C341">
        <v>253258.48879999999</v>
      </c>
      <c r="D341" t="s">
        <v>194</v>
      </c>
      <c r="E341">
        <v>2016</v>
      </c>
      <c r="F341">
        <v>6</v>
      </c>
    </row>
    <row r="342" spans="1:6" x14ac:dyDescent="0.55000000000000004">
      <c r="A342" t="s">
        <v>68</v>
      </c>
      <c r="B342" t="s">
        <v>44</v>
      </c>
      <c r="C342">
        <v>0</v>
      </c>
      <c r="D342" t="s">
        <v>194</v>
      </c>
      <c r="E342">
        <v>2016</v>
      </c>
      <c r="F342">
        <v>6</v>
      </c>
    </row>
    <row r="343" spans="1:6" x14ac:dyDescent="0.55000000000000004">
      <c r="A343" t="s">
        <v>68</v>
      </c>
      <c r="B343" t="s">
        <v>45</v>
      </c>
      <c r="C343">
        <v>6749.4434000000001</v>
      </c>
      <c r="D343" t="s">
        <v>194</v>
      </c>
      <c r="E343">
        <v>2016</v>
      </c>
      <c r="F343">
        <v>6</v>
      </c>
    </row>
    <row r="344" spans="1:6" x14ac:dyDescent="0.55000000000000004">
      <c r="A344" t="s">
        <v>68</v>
      </c>
      <c r="B344" t="s">
        <v>46</v>
      </c>
      <c r="C344">
        <v>90326.592000000004</v>
      </c>
      <c r="D344" t="s">
        <v>194</v>
      </c>
      <c r="E344">
        <v>2016</v>
      </c>
      <c r="F344">
        <v>6</v>
      </c>
    </row>
    <row r="345" spans="1:6" x14ac:dyDescent="0.55000000000000004">
      <c r="A345" t="s">
        <v>68</v>
      </c>
      <c r="B345" t="s">
        <v>47</v>
      </c>
      <c r="C345">
        <v>0</v>
      </c>
      <c r="D345" t="s">
        <v>194</v>
      </c>
      <c r="E345">
        <v>2016</v>
      </c>
      <c r="F345">
        <v>6</v>
      </c>
    </row>
    <row r="346" spans="1:6" x14ac:dyDescent="0.55000000000000004">
      <c r="A346" t="s">
        <v>68</v>
      </c>
      <c r="B346" t="s">
        <v>48</v>
      </c>
      <c r="C346">
        <v>163718.34</v>
      </c>
      <c r="D346" t="s">
        <v>194</v>
      </c>
      <c r="E346">
        <v>2016</v>
      </c>
      <c r="F346">
        <v>6</v>
      </c>
    </row>
    <row r="347" spans="1:6" x14ac:dyDescent="0.55000000000000004">
      <c r="A347" t="s">
        <v>68</v>
      </c>
      <c r="B347" t="s">
        <v>49</v>
      </c>
      <c r="C347">
        <v>2724.9018000000001</v>
      </c>
      <c r="D347" t="s">
        <v>194</v>
      </c>
      <c r="E347">
        <v>2016</v>
      </c>
      <c r="F347">
        <v>6</v>
      </c>
    </row>
    <row r="348" spans="1:6" x14ac:dyDescent="0.55000000000000004">
      <c r="A348" t="s">
        <v>68</v>
      </c>
      <c r="B348" t="s">
        <v>50</v>
      </c>
      <c r="C348">
        <v>9224.2196000000004</v>
      </c>
      <c r="D348" t="s">
        <v>194</v>
      </c>
      <c r="E348">
        <v>2016</v>
      </c>
      <c r="F348">
        <v>6</v>
      </c>
    </row>
    <row r="349" spans="1:6" x14ac:dyDescent="0.55000000000000004">
      <c r="A349" t="s">
        <v>68</v>
      </c>
      <c r="B349" t="s">
        <v>51</v>
      </c>
      <c r="C349">
        <v>3944.3402000000001</v>
      </c>
      <c r="D349" t="s">
        <v>194</v>
      </c>
      <c r="E349">
        <v>2016</v>
      </c>
      <c r="F349">
        <v>6</v>
      </c>
    </row>
    <row r="350" spans="1:6" x14ac:dyDescent="0.55000000000000004">
      <c r="A350" t="s">
        <v>68</v>
      </c>
      <c r="B350" t="s">
        <v>52</v>
      </c>
      <c r="C350">
        <v>130.37389999999999</v>
      </c>
      <c r="D350" t="s">
        <v>194</v>
      </c>
      <c r="E350">
        <v>2016</v>
      </c>
      <c r="F350">
        <v>6</v>
      </c>
    </row>
    <row r="351" spans="1:6" x14ac:dyDescent="0.55000000000000004">
      <c r="A351" t="s">
        <v>68</v>
      </c>
      <c r="B351" t="s">
        <v>53</v>
      </c>
      <c r="C351">
        <v>48595.97</v>
      </c>
      <c r="D351" t="s">
        <v>194</v>
      </c>
      <c r="E351">
        <v>2016</v>
      </c>
      <c r="F351">
        <v>6</v>
      </c>
    </row>
    <row r="352" spans="1:6" x14ac:dyDescent="0.55000000000000004">
      <c r="A352" t="s">
        <v>68</v>
      </c>
      <c r="B352" t="s">
        <v>54</v>
      </c>
      <c r="C352">
        <v>10944.938899999999</v>
      </c>
      <c r="D352" t="s">
        <v>194</v>
      </c>
      <c r="E352">
        <v>2016</v>
      </c>
      <c r="F352">
        <v>6</v>
      </c>
    </row>
    <row r="353" spans="1:6" x14ac:dyDescent="0.55000000000000004">
      <c r="A353" t="s">
        <v>68</v>
      </c>
      <c r="B353" t="s">
        <v>55</v>
      </c>
      <c r="C353">
        <v>2931.2357999999999</v>
      </c>
      <c r="D353" t="s">
        <v>194</v>
      </c>
      <c r="E353">
        <v>2016</v>
      </c>
      <c r="F353">
        <v>6</v>
      </c>
    </row>
    <row r="354" spans="1:6" x14ac:dyDescent="0.55000000000000004">
      <c r="A354" t="s">
        <v>68</v>
      </c>
      <c r="B354" t="s">
        <v>56</v>
      </c>
      <c r="C354">
        <v>6205.2166999999999</v>
      </c>
      <c r="D354" t="s">
        <v>194</v>
      </c>
      <c r="E354">
        <v>2016</v>
      </c>
      <c r="F354">
        <v>6</v>
      </c>
    </row>
    <row r="355" spans="1:6" x14ac:dyDescent="0.55000000000000004">
      <c r="A355" t="s">
        <v>68</v>
      </c>
      <c r="B355" t="s">
        <v>57</v>
      </c>
      <c r="C355">
        <v>103.3074</v>
      </c>
      <c r="D355" t="s">
        <v>194</v>
      </c>
      <c r="E355">
        <v>2016</v>
      </c>
      <c r="F355">
        <v>6</v>
      </c>
    </row>
    <row r="356" spans="1:6" x14ac:dyDescent="0.55000000000000004">
      <c r="A356" t="s">
        <v>68</v>
      </c>
      <c r="B356" t="s">
        <v>58</v>
      </c>
      <c r="C356">
        <v>265650</v>
      </c>
      <c r="D356" t="s">
        <v>194</v>
      </c>
      <c r="E356">
        <v>2016</v>
      </c>
      <c r="F356">
        <v>6</v>
      </c>
    </row>
    <row r="357" spans="1:6" x14ac:dyDescent="0.55000000000000004">
      <c r="A357" t="s">
        <v>68</v>
      </c>
      <c r="B357" t="s">
        <v>59</v>
      </c>
      <c r="C357">
        <v>0</v>
      </c>
      <c r="D357" t="s">
        <v>194</v>
      </c>
      <c r="E357">
        <v>2016</v>
      </c>
      <c r="F357">
        <v>6</v>
      </c>
    </row>
    <row r="358" spans="1:6" x14ac:dyDescent="0.55000000000000004">
      <c r="A358" t="s">
        <v>68</v>
      </c>
      <c r="B358" t="s">
        <v>60</v>
      </c>
      <c r="C358">
        <v>2634229.1655999999</v>
      </c>
      <c r="D358" t="s">
        <v>194</v>
      </c>
      <c r="E358">
        <v>2016</v>
      </c>
      <c r="F358">
        <v>6</v>
      </c>
    </row>
    <row r="359" spans="1:6" x14ac:dyDescent="0.55000000000000004">
      <c r="A359" t="s">
        <v>68</v>
      </c>
      <c r="B359" t="s">
        <v>61</v>
      </c>
      <c r="C359">
        <v>3705.0751</v>
      </c>
      <c r="D359" t="s">
        <v>194</v>
      </c>
      <c r="E359">
        <v>2016</v>
      </c>
      <c r="F359">
        <v>6</v>
      </c>
    </row>
    <row r="360" spans="1:6" x14ac:dyDescent="0.55000000000000004">
      <c r="A360" t="s">
        <v>68</v>
      </c>
      <c r="B360" t="s">
        <v>62</v>
      </c>
      <c r="C360">
        <v>222.77969999999999</v>
      </c>
      <c r="D360" t="s">
        <v>194</v>
      </c>
      <c r="E360">
        <v>2016</v>
      </c>
      <c r="F360">
        <v>6</v>
      </c>
    </row>
    <row r="361" spans="1:6" x14ac:dyDescent="0.55000000000000004">
      <c r="A361" t="s">
        <v>68</v>
      </c>
      <c r="B361" t="s">
        <v>63</v>
      </c>
      <c r="C361">
        <v>1346.6395</v>
      </c>
      <c r="D361" t="s">
        <v>194</v>
      </c>
      <c r="E361">
        <v>2016</v>
      </c>
      <c r="F361">
        <v>6</v>
      </c>
    </row>
    <row r="362" spans="1:6" x14ac:dyDescent="0.55000000000000004">
      <c r="A362" t="s">
        <v>69</v>
      </c>
      <c r="B362" t="s">
        <v>4</v>
      </c>
      <c r="C362">
        <v>8524537.9335999992</v>
      </c>
      <c r="D362" t="s">
        <v>195</v>
      </c>
      <c r="E362">
        <v>2016</v>
      </c>
      <c r="F362">
        <v>7</v>
      </c>
    </row>
    <row r="363" spans="1:6" x14ac:dyDescent="0.55000000000000004">
      <c r="A363" t="s">
        <v>69</v>
      </c>
      <c r="B363" t="s">
        <v>5</v>
      </c>
      <c r="C363">
        <v>572424.38789999997</v>
      </c>
      <c r="D363" t="s">
        <v>195</v>
      </c>
      <c r="E363">
        <v>2016</v>
      </c>
      <c r="F363">
        <v>7</v>
      </c>
    </row>
    <row r="364" spans="1:6" x14ac:dyDescent="0.55000000000000004">
      <c r="A364" t="s">
        <v>69</v>
      </c>
      <c r="B364" t="s">
        <v>6</v>
      </c>
      <c r="C364">
        <v>2111451.3179000001</v>
      </c>
      <c r="D364" t="s">
        <v>195</v>
      </c>
      <c r="E364">
        <v>2016</v>
      </c>
      <c r="F364">
        <v>7</v>
      </c>
    </row>
    <row r="365" spans="1:6" x14ac:dyDescent="0.55000000000000004">
      <c r="A365" t="s">
        <v>69</v>
      </c>
      <c r="B365" t="s">
        <v>7</v>
      </c>
      <c r="C365">
        <v>2087988.5645000001</v>
      </c>
      <c r="D365" t="s">
        <v>195</v>
      </c>
      <c r="E365">
        <v>2016</v>
      </c>
      <c r="F365">
        <v>7</v>
      </c>
    </row>
    <row r="366" spans="1:6" x14ac:dyDescent="0.55000000000000004">
      <c r="A366" t="s">
        <v>69</v>
      </c>
      <c r="B366" t="s">
        <v>8</v>
      </c>
      <c r="C366">
        <v>3752673.6633000001</v>
      </c>
      <c r="D366" t="s">
        <v>195</v>
      </c>
      <c r="E366">
        <v>2016</v>
      </c>
      <c r="F366">
        <v>7</v>
      </c>
    </row>
    <row r="367" spans="1:6" x14ac:dyDescent="0.55000000000000004">
      <c r="A367" t="s">
        <v>69</v>
      </c>
      <c r="B367" t="s">
        <v>9</v>
      </c>
      <c r="C367">
        <v>575</v>
      </c>
      <c r="D367" t="s">
        <v>195</v>
      </c>
      <c r="E367">
        <v>2016</v>
      </c>
      <c r="F367">
        <v>7</v>
      </c>
    </row>
    <row r="368" spans="1:6" x14ac:dyDescent="0.55000000000000004">
      <c r="A368" t="s">
        <v>69</v>
      </c>
      <c r="B368" t="s">
        <v>10</v>
      </c>
      <c r="C368">
        <v>1039.1667</v>
      </c>
      <c r="D368" t="s">
        <v>195</v>
      </c>
      <c r="E368">
        <v>2016</v>
      </c>
      <c r="F368">
        <v>7</v>
      </c>
    </row>
    <row r="369" spans="1:6" x14ac:dyDescent="0.55000000000000004">
      <c r="A369" t="s">
        <v>69</v>
      </c>
      <c r="B369" t="s">
        <v>11</v>
      </c>
      <c r="C369">
        <v>1967243.2716000001</v>
      </c>
      <c r="D369" t="s">
        <v>195</v>
      </c>
      <c r="E369">
        <v>2016</v>
      </c>
      <c r="F369">
        <v>7</v>
      </c>
    </row>
    <row r="370" spans="1:6" x14ac:dyDescent="0.55000000000000004">
      <c r="A370" t="s">
        <v>69</v>
      </c>
      <c r="B370" t="s">
        <v>12</v>
      </c>
      <c r="C370">
        <v>5936.7208000000001</v>
      </c>
      <c r="D370" t="s">
        <v>195</v>
      </c>
      <c r="E370">
        <v>2016</v>
      </c>
      <c r="F370">
        <v>7</v>
      </c>
    </row>
    <row r="371" spans="1:6" x14ac:dyDescent="0.55000000000000004">
      <c r="A371" t="s">
        <v>69</v>
      </c>
      <c r="B371" t="s">
        <v>13</v>
      </c>
      <c r="C371">
        <v>22964.1</v>
      </c>
      <c r="D371" t="s">
        <v>195</v>
      </c>
      <c r="E371">
        <v>2016</v>
      </c>
      <c r="F371">
        <v>7</v>
      </c>
    </row>
    <row r="372" spans="1:6" x14ac:dyDescent="0.55000000000000004">
      <c r="A372" t="s">
        <v>69</v>
      </c>
      <c r="B372" t="s">
        <v>14</v>
      </c>
      <c r="C372">
        <v>0</v>
      </c>
      <c r="D372" t="s">
        <v>195</v>
      </c>
      <c r="E372">
        <v>2016</v>
      </c>
      <c r="F372">
        <v>7</v>
      </c>
    </row>
    <row r="373" spans="1:6" x14ac:dyDescent="0.55000000000000004">
      <c r="A373" t="s">
        <v>69</v>
      </c>
      <c r="B373" t="s">
        <v>15</v>
      </c>
      <c r="C373">
        <v>489326.08480000001</v>
      </c>
      <c r="D373" t="s">
        <v>195</v>
      </c>
      <c r="E373">
        <v>2016</v>
      </c>
      <c r="F373">
        <v>7</v>
      </c>
    </row>
    <row r="374" spans="1:6" x14ac:dyDescent="0.55000000000000004">
      <c r="A374" t="s">
        <v>69</v>
      </c>
      <c r="B374" t="s">
        <v>16</v>
      </c>
      <c r="C374">
        <v>0</v>
      </c>
      <c r="D374" t="s">
        <v>195</v>
      </c>
      <c r="E374">
        <v>2016</v>
      </c>
      <c r="F374">
        <v>7</v>
      </c>
    </row>
    <row r="375" spans="1:6" x14ac:dyDescent="0.55000000000000004">
      <c r="A375" t="s">
        <v>69</v>
      </c>
      <c r="B375" t="s">
        <v>17</v>
      </c>
      <c r="C375">
        <v>94457.65</v>
      </c>
      <c r="D375" t="s">
        <v>195</v>
      </c>
      <c r="E375">
        <v>2016</v>
      </c>
      <c r="F375">
        <v>7</v>
      </c>
    </row>
    <row r="376" spans="1:6" x14ac:dyDescent="0.55000000000000004">
      <c r="A376" t="s">
        <v>69</v>
      </c>
      <c r="B376" t="s">
        <v>18</v>
      </c>
      <c r="C376">
        <v>183423.11720000001</v>
      </c>
      <c r="D376" t="s">
        <v>195</v>
      </c>
      <c r="E376">
        <v>2016</v>
      </c>
      <c r="F376">
        <v>7</v>
      </c>
    </row>
    <row r="377" spans="1:6" x14ac:dyDescent="0.55000000000000004">
      <c r="A377" t="s">
        <v>69</v>
      </c>
      <c r="B377" t="s">
        <v>19</v>
      </c>
      <c r="C377">
        <v>1000</v>
      </c>
      <c r="D377" t="s">
        <v>195</v>
      </c>
      <c r="E377">
        <v>2016</v>
      </c>
      <c r="F377">
        <v>7</v>
      </c>
    </row>
    <row r="378" spans="1:6" x14ac:dyDescent="0.55000000000000004">
      <c r="A378" t="s">
        <v>69</v>
      </c>
      <c r="B378" t="s">
        <v>20</v>
      </c>
      <c r="C378">
        <v>26333.333299999998</v>
      </c>
      <c r="D378" t="s">
        <v>195</v>
      </c>
      <c r="E378">
        <v>2016</v>
      </c>
      <c r="F378">
        <v>7</v>
      </c>
    </row>
    <row r="379" spans="1:6" x14ac:dyDescent="0.55000000000000004">
      <c r="A379" t="s">
        <v>69</v>
      </c>
      <c r="B379" t="s">
        <v>21</v>
      </c>
      <c r="C379">
        <v>2717.3220999999999</v>
      </c>
      <c r="D379" t="s">
        <v>195</v>
      </c>
      <c r="E379">
        <v>2016</v>
      </c>
      <c r="F379">
        <v>7</v>
      </c>
    </row>
    <row r="380" spans="1:6" x14ac:dyDescent="0.55000000000000004">
      <c r="A380" t="s">
        <v>69</v>
      </c>
      <c r="B380" t="s">
        <v>22</v>
      </c>
      <c r="C380">
        <v>65610.606</v>
      </c>
      <c r="D380" t="s">
        <v>195</v>
      </c>
      <c r="E380">
        <v>2016</v>
      </c>
      <c r="F380">
        <v>7</v>
      </c>
    </row>
    <row r="381" spans="1:6" x14ac:dyDescent="0.55000000000000004">
      <c r="A381" t="s">
        <v>69</v>
      </c>
      <c r="B381" t="s">
        <v>23</v>
      </c>
      <c r="C381">
        <v>48818.828000000001</v>
      </c>
      <c r="D381" t="s">
        <v>195</v>
      </c>
      <c r="E381">
        <v>2016</v>
      </c>
      <c r="F381">
        <v>7</v>
      </c>
    </row>
    <row r="382" spans="1:6" x14ac:dyDescent="0.55000000000000004">
      <c r="A382" t="s">
        <v>69</v>
      </c>
      <c r="B382" t="s">
        <v>24</v>
      </c>
      <c r="C382">
        <v>0</v>
      </c>
      <c r="D382" t="s">
        <v>195</v>
      </c>
      <c r="E382">
        <v>2016</v>
      </c>
      <c r="F382">
        <v>7</v>
      </c>
    </row>
    <row r="383" spans="1:6" x14ac:dyDescent="0.55000000000000004">
      <c r="A383" t="s">
        <v>69</v>
      </c>
      <c r="B383" t="s">
        <v>25</v>
      </c>
      <c r="C383">
        <v>352923.8333</v>
      </c>
      <c r="D383" t="s">
        <v>195</v>
      </c>
      <c r="E383">
        <v>2016</v>
      </c>
      <c r="F383">
        <v>7</v>
      </c>
    </row>
    <row r="384" spans="1:6" x14ac:dyDescent="0.55000000000000004">
      <c r="A384" t="s">
        <v>69</v>
      </c>
      <c r="B384" t="s">
        <v>26</v>
      </c>
      <c r="C384">
        <v>0</v>
      </c>
      <c r="D384" t="s">
        <v>195</v>
      </c>
      <c r="E384">
        <v>2016</v>
      </c>
      <c r="F384">
        <v>7</v>
      </c>
    </row>
    <row r="385" spans="1:6" x14ac:dyDescent="0.55000000000000004">
      <c r="A385" t="s">
        <v>69</v>
      </c>
      <c r="B385" t="s">
        <v>27</v>
      </c>
      <c r="C385">
        <v>1772.9052999999999</v>
      </c>
      <c r="D385" t="s">
        <v>195</v>
      </c>
      <c r="E385">
        <v>2016</v>
      </c>
      <c r="F385">
        <v>7</v>
      </c>
    </row>
    <row r="386" spans="1:6" x14ac:dyDescent="0.55000000000000004">
      <c r="A386" t="s">
        <v>69</v>
      </c>
      <c r="B386" t="s">
        <v>28</v>
      </c>
      <c r="C386">
        <v>344930.15240000002</v>
      </c>
      <c r="D386" t="s">
        <v>195</v>
      </c>
      <c r="E386">
        <v>2016</v>
      </c>
      <c r="F386">
        <v>7</v>
      </c>
    </row>
    <row r="387" spans="1:6" x14ac:dyDescent="0.55000000000000004">
      <c r="A387" t="s">
        <v>69</v>
      </c>
      <c r="B387" t="s">
        <v>29</v>
      </c>
      <c r="C387">
        <v>22527.141299999999</v>
      </c>
      <c r="D387" t="s">
        <v>195</v>
      </c>
      <c r="E387">
        <v>2016</v>
      </c>
      <c r="F387">
        <v>7</v>
      </c>
    </row>
    <row r="388" spans="1:6" x14ac:dyDescent="0.55000000000000004">
      <c r="A388" t="s">
        <v>69</v>
      </c>
      <c r="B388" t="s">
        <v>30</v>
      </c>
      <c r="C388">
        <v>444.68669999999997</v>
      </c>
      <c r="D388" t="s">
        <v>195</v>
      </c>
      <c r="E388">
        <v>2016</v>
      </c>
      <c r="F388">
        <v>7</v>
      </c>
    </row>
    <row r="389" spans="1:6" x14ac:dyDescent="0.55000000000000004">
      <c r="A389" t="s">
        <v>69</v>
      </c>
      <c r="B389" t="s">
        <v>31</v>
      </c>
      <c r="C389">
        <v>240.76650000000001</v>
      </c>
      <c r="D389" t="s">
        <v>195</v>
      </c>
      <c r="E389">
        <v>2016</v>
      </c>
      <c r="F389">
        <v>7</v>
      </c>
    </row>
    <row r="390" spans="1:6" x14ac:dyDescent="0.55000000000000004">
      <c r="A390" t="s">
        <v>69</v>
      </c>
      <c r="B390" t="s">
        <v>32</v>
      </c>
      <c r="C390">
        <v>403206.69799999997</v>
      </c>
      <c r="D390" t="s">
        <v>195</v>
      </c>
      <c r="E390">
        <v>2016</v>
      </c>
      <c r="F390">
        <v>7</v>
      </c>
    </row>
    <row r="391" spans="1:6" x14ac:dyDescent="0.55000000000000004">
      <c r="A391" t="s">
        <v>69</v>
      </c>
      <c r="B391" t="s">
        <v>33</v>
      </c>
      <c r="C391">
        <v>412402.34210000001</v>
      </c>
      <c r="D391" t="s">
        <v>195</v>
      </c>
      <c r="E391">
        <v>2016</v>
      </c>
      <c r="F391">
        <v>7</v>
      </c>
    </row>
    <row r="392" spans="1:6" x14ac:dyDescent="0.55000000000000004">
      <c r="A392" t="s">
        <v>69</v>
      </c>
      <c r="B392" t="s">
        <v>34</v>
      </c>
      <c r="C392">
        <v>413420.25640000001</v>
      </c>
      <c r="D392" t="s">
        <v>195</v>
      </c>
      <c r="E392">
        <v>2016</v>
      </c>
      <c r="F392">
        <v>7</v>
      </c>
    </row>
    <row r="393" spans="1:6" x14ac:dyDescent="0.55000000000000004">
      <c r="A393" t="s">
        <v>69</v>
      </c>
      <c r="B393" t="s">
        <v>35</v>
      </c>
      <c r="C393">
        <v>1329.9935</v>
      </c>
      <c r="D393" t="s">
        <v>195</v>
      </c>
      <c r="E393">
        <v>2016</v>
      </c>
      <c r="F393">
        <v>7</v>
      </c>
    </row>
    <row r="394" spans="1:6" x14ac:dyDescent="0.55000000000000004">
      <c r="A394" t="s">
        <v>69</v>
      </c>
      <c r="B394" t="s">
        <v>36</v>
      </c>
      <c r="C394">
        <v>68754.282099999997</v>
      </c>
      <c r="D394" t="s">
        <v>195</v>
      </c>
      <c r="E394">
        <v>2016</v>
      </c>
      <c r="F394">
        <v>7</v>
      </c>
    </row>
    <row r="395" spans="1:6" x14ac:dyDescent="0.55000000000000004">
      <c r="A395" t="s">
        <v>69</v>
      </c>
      <c r="B395" t="s">
        <v>37</v>
      </c>
      <c r="C395">
        <v>46971.722199999997</v>
      </c>
      <c r="D395" t="s">
        <v>195</v>
      </c>
      <c r="E395">
        <v>2016</v>
      </c>
      <c r="F395">
        <v>7</v>
      </c>
    </row>
    <row r="396" spans="1:6" x14ac:dyDescent="0.55000000000000004">
      <c r="A396" t="s">
        <v>69</v>
      </c>
      <c r="B396" t="s">
        <v>38</v>
      </c>
      <c r="C396">
        <v>0</v>
      </c>
      <c r="D396" t="s">
        <v>195</v>
      </c>
      <c r="E396">
        <v>2016</v>
      </c>
      <c r="F396">
        <v>7</v>
      </c>
    </row>
    <row r="397" spans="1:6" x14ac:dyDescent="0.55000000000000004">
      <c r="A397" t="s">
        <v>69</v>
      </c>
      <c r="B397" t="s">
        <v>39</v>
      </c>
      <c r="C397">
        <v>5138.6386000000002</v>
      </c>
      <c r="D397" t="s">
        <v>195</v>
      </c>
      <c r="E397">
        <v>2016</v>
      </c>
      <c r="F397">
        <v>7</v>
      </c>
    </row>
    <row r="398" spans="1:6" x14ac:dyDescent="0.55000000000000004">
      <c r="A398" t="s">
        <v>69</v>
      </c>
      <c r="B398" t="s">
        <v>40</v>
      </c>
      <c r="C398">
        <v>773.27790000000005</v>
      </c>
      <c r="D398" t="s">
        <v>195</v>
      </c>
      <c r="E398">
        <v>2016</v>
      </c>
      <c r="F398">
        <v>7</v>
      </c>
    </row>
    <row r="399" spans="1:6" x14ac:dyDescent="0.55000000000000004">
      <c r="A399" t="s">
        <v>69</v>
      </c>
      <c r="B399" t="s">
        <v>41</v>
      </c>
      <c r="C399">
        <v>169292.26569999999</v>
      </c>
      <c r="D399" t="s">
        <v>195</v>
      </c>
      <c r="E399">
        <v>2016</v>
      </c>
      <c r="F399">
        <v>7</v>
      </c>
    </row>
    <row r="400" spans="1:6" x14ac:dyDescent="0.55000000000000004">
      <c r="A400" t="s">
        <v>69</v>
      </c>
      <c r="B400" t="s">
        <v>42</v>
      </c>
      <c r="C400">
        <v>127.7851</v>
      </c>
      <c r="D400" t="s">
        <v>195</v>
      </c>
      <c r="E400">
        <v>2016</v>
      </c>
      <c r="F400">
        <v>7</v>
      </c>
    </row>
    <row r="401" spans="1:6" x14ac:dyDescent="0.55000000000000004">
      <c r="A401" t="s">
        <v>69</v>
      </c>
      <c r="B401" t="s">
        <v>43</v>
      </c>
      <c r="C401">
        <v>199846.95199999999</v>
      </c>
      <c r="D401" t="s">
        <v>195</v>
      </c>
      <c r="E401">
        <v>2016</v>
      </c>
      <c r="F401">
        <v>7</v>
      </c>
    </row>
    <row r="402" spans="1:6" x14ac:dyDescent="0.55000000000000004">
      <c r="A402" t="s">
        <v>69</v>
      </c>
      <c r="B402" t="s">
        <v>44</v>
      </c>
      <c r="C402">
        <v>0</v>
      </c>
      <c r="D402" t="s">
        <v>195</v>
      </c>
      <c r="E402">
        <v>2016</v>
      </c>
      <c r="F402">
        <v>7</v>
      </c>
    </row>
    <row r="403" spans="1:6" x14ac:dyDescent="0.55000000000000004">
      <c r="A403" t="s">
        <v>69</v>
      </c>
      <c r="B403" t="s">
        <v>45</v>
      </c>
      <c r="C403">
        <v>6819.9444999999996</v>
      </c>
      <c r="D403" t="s">
        <v>195</v>
      </c>
      <c r="E403">
        <v>2016</v>
      </c>
      <c r="F403">
        <v>7</v>
      </c>
    </row>
    <row r="404" spans="1:6" x14ac:dyDescent="0.55000000000000004">
      <c r="A404" t="s">
        <v>69</v>
      </c>
      <c r="B404" t="s">
        <v>46</v>
      </c>
      <c r="C404">
        <v>124956.66</v>
      </c>
      <c r="D404" t="s">
        <v>195</v>
      </c>
      <c r="E404">
        <v>2016</v>
      </c>
      <c r="F404">
        <v>7</v>
      </c>
    </row>
    <row r="405" spans="1:6" x14ac:dyDescent="0.55000000000000004">
      <c r="A405" t="s">
        <v>69</v>
      </c>
      <c r="B405" t="s">
        <v>47</v>
      </c>
      <c r="C405">
        <v>0</v>
      </c>
      <c r="D405" t="s">
        <v>195</v>
      </c>
      <c r="E405">
        <v>2016</v>
      </c>
      <c r="F405">
        <v>7</v>
      </c>
    </row>
    <row r="406" spans="1:6" x14ac:dyDescent="0.55000000000000004">
      <c r="A406" t="s">
        <v>69</v>
      </c>
      <c r="B406" t="s">
        <v>48</v>
      </c>
      <c r="C406">
        <v>366779.24</v>
      </c>
      <c r="D406" t="s">
        <v>195</v>
      </c>
      <c r="E406">
        <v>2016</v>
      </c>
      <c r="F406">
        <v>7</v>
      </c>
    </row>
    <row r="407" spans="1:6" x14ac:dyDescent="0.55000000000000004">
      <c r="A407" t="s">
        <v>69</v>
      </c>
      <c r="B407" t="s">
        <v>49</v>
      </c>
      <c r="C407">
        <v>415.79199999999997</v>
      </c>
      <c r="D407" t="s">
        <v>195</v>
      </c>
      <c r="E407">
        <v>2016</v>
      </c>
      <c r="F407">
        <v>7</v>
      </c>
    </row>
    <row r="408" spans="1:6" x14ac:dyDescent="0.55000000000000004">
      <c r="A408" t="s">
        <v>69</v>
      </c>
      <c r="B408" t="s">
        <v>50</v>
      </c>
      <c r="C408">
        <v>13980.5296</v>
      </c>
      <c r="D408" t="s">
        <v>195</v>
      </c>
      <c r="E408">
        <v>2016</v>
      </c>
      <c r="F408">
        <v>7</v>
      </c>
    </row>
    <row r="409" spans="1:6" x14ac:dyDescent="0.55000000000000004">
      <c r="A409" t="s">
        <v>69</v>
      </c>
      <c r="B409" t="s">
        <v>51</v>
      </c>
      <c r="C409">
        <v>3677.6702</v>
      </c>
      <c r="D409" t="s">
        <v>195</v>
      </c>
      <c r="E409">
        <v>2016</v>
      </c>
      <c r="F409">
        <v>7</v>
      </c>
    </row>
    <row r="410" spans="1:6" x14ac:dyDescent="0.55000000000000004">
      <c r="A410" t="s">
        <v>69</v>
      </c>
      <c r="B410" t="s">
        <v>52</v>
      </c>
      <c r="C410">
        <v>124.38249999999999</v>
      </c>
      <c r="D410" t="s">
        <v>195</v>
      </c>
      <c r="E410">
        <v>2016</v>
      </c>
      <c r="F410">
        <v>7</v>
      </c>
    </row>
    <row r="411" spans="1:6" x14ac:dyDescent="0.55000000000000004">
      <c r="A411" t="s">
        <v>69</v>
      </c>
      <c r="B411" t="s">
        <v>53</v>
      </c>
      <c r="C411">
        <v>40207.962</v>
      </c>
      <c r="D411" t="s">
        <v>195</v>
      </c>
      <c r="E411">
        <v>2016</v>
      </c>
      <c r="F411">
        <v>7</v>
      </c>
    </row>
    <row r="412" spans="1:6" x14ac:dyDescent="0.55000000000000004">
      <c r="A412" t="s">
        <v>69</v>
      </c>
      <c r="B412" t="s">
        <v>54</v>
      </c>
      <c r="C412">
        <v>10184.886699999999</v>
      </c>
      <c r="D412" t="s">
        <v>195</v>
      </c>
      <c r="E412">
        <v>2016</v>
      </c>
      <c r="F412">
        <v>7</v>
      </c>
    </row>
    <row r="413" spans="1:6" x14ac:dyDescent="0.55000000000000004">
      <c r="A413" t="s">
        <v>69</v>
      </c>
      <c r="B413" t="s">
        <v>55</v>
      </c>
      <c r="C413">
        <v>1811.2357999999999</v>
      </c>
      <c r="D413" t="s">
        <v>195</v>
      </c>
      <c r="E413">
        <v>2016</v>
      </c>
      <c r="F413">
        <v>7</v>
      </c>
    </row>
    <row r="414" spans="1:6" x14ac:dyDescent="0.55000000000000004">
      <c r="A414" t="s">
        <v>69</v>
      </c>
      <c r="B414" t="s">
        <v>56</v>
      </c>
      <c r="C414">
        <v>8663.7999999999993</v>
      </c>
      <c r="D414" t="s">
        <v>195</v>
      </c>
      <c r="E414">
        <v>2016</v>
      </c>
      <c r="F414">
        <v>7</v>
      </c>
    </row>
    <row r="415" spans="1:6" x14ac:dyDescent="0.55000000000000004">
      <c r="A415" t="s">
        <v>69</v>
      </c>
      <c r="B415" t="s">
        <v>57</v>
      </c>
      <c r="C415">
        <v>70.349199999999996</v>
      </c>
      <c r="D415" t="s">
        <v>195</v>
      </c>
      <c r="E415">
        <v>2016</v>
      </c>
      <c r="F415">
        <v>7</v>
      </c>
    </row>
    <row r="416" spans="1:6" x14ac:dyDescent="0.55000000000000004">
      <c r="A416" t="s">
        <v>69</v>
      </c>
      <c r="B416" t="s">
        <v>58</v>
      </c>
      <c r="C416">
        <v>268150</v>
      </c>
      <c r="D416" t="s">
        <v>195</v>
      </c>
      <c r="E416">
        <v>2016</v>
      </c>
      <c r="F416">
        <v>7</v>
      </c>
    </row>
    <row r="417" spans="1:6" x14ac:dyDescent="0.55000000000000004">
      <c r="A417" t="s">
        <v>69</v>
      </c>
      <c r="B417" t="s">
        <v>59</v>
      </c>
      <c r="C417">
        <v>0</v>
      </c>
      <c r="D417" t="s">
        <v>195</v>
      </c>
      <c r="E417">
        <v>2016</v>
      </c>
      <c r="F417">
        <v>7</v>
      </c>
    </row>
    <row r="418" spans="1:6" x14ac:dyDescent="0.55000000000000004">
      <c r="A418" t="s">
        <v>69</v>
      </c>
      <c r="B418" t="s">
        <v>60</v>
      </c>
      <c r="C418">
        <v>2321896.0460999999</v>
      </c>
      <c r="D418" t="s">
        <v>195</v>
      </c>
      <c r="E418">
        <v>2016</v>
      </c>
      <c r="F418">
        <v>7</v>
      </c>
    </row>
    <row r="419" spans="1:6" x14ac:dyDescent="0.55000000000000004">
      <c r="A419" t="s">
        <v>69</v>
      </c>
      <c r="B419" t="s">
        <v>61</v>
      </c>
      <c r="C419">
        <v>2578.9</v>
      </c>
      <c r="D419" t="s">
        <v>195</v>
      </c>
      <c r="E419">
        <v>2016</v>
      </c>
      <c r="F419">
        <v>7</v>
      </c>
    </row>
    <row r="420" spans="1:6" x14ac:dyDescent="0.55000000000000004">
      <c r="A420" t="s">
        <v>69</v>
      </c>
      <c r="B420" t="s">
        <v>62</v>
      </c>
      <c r="C420">
        <v>51.109699999999997</v>
      </c>
      <c r="D420" t="s">
        <v>195</v>
      </c>
      <c r="E420">
        <v>2016</v>
      </c>
      <c r="F420">
        <v>7</v>
      </c>
    </row>
    <row r="421" spans="1:6" x14ac:dyDescent="0.55000000000000004">
      <c r="A421" t="s">
        <v>69</v>
      </c>
      <c r="B421" t="s">
        <v>63</v>
      </c>
      <c r="C421">
        <v>620.52570000000003</v>
      </c>
      <c r="D421" t="s">
        <v>195</v>
      </c>
      <c r="E421">
        <v>2016</v>
      </c>
      <c r="F421">
        <v>7</v>
      </c>
    </row>
    <row r="422" spans="1:6" x14ac:dyDescent="0.55000000000000004">
      <c r="A422" t="s">
        <v>70</v>
      </c>
      <c r="B422" t="s">
        <v>4</v>
      </c>
      <c r="C422">
        <v>10811420.192500001</v>
      </c>
      <c r="D422" t="s">
        <v>196</v>
      </c>
      <c r="E422">
        <v>2016</v>
      </c>
      <c r="F422">
        <v>8</v>
      </c>
    </row>
    <row r="423" spans="1:6" x14ac:dyDescent="0.55000000000000004">
      <c r="A423" t="s">
        <v>70</v>
      </c>
      <c r="B423" t="s">
        <v>5</v>
      </c>
      <c r="C423">
        <v>1335876.8243</v>
      </c>
      <c r="D423" t="s">
        <v>196</v>
      </c>
      <c r="E423">
        <v>2016</v>
      </c>
      <c r="F423">
        <v>8</v>
      </c>
    </row>
    <row r="424" spans="1:6" x14ac:dyDescent="0.55000000000000004">
      <c r="A424" t="s">
        <v>70</v>
      </c>
      <c r="B424" t="s">
        <v>6</v>
      </c>
      <c r="C424">
        <v>2196159.1789000002</v>
      </c>
      <c r="D424" t="s">
        <v>196</v>
      </c>
      <c r="E424">
        <v>2016</v>
      </c>
      <c r="F424">
        <v>8</v>
      </c>
    </row>
    <row r="425" spans="1:6" x14ac:dyDescent="0.55000000000000004">
      <c r="A425" t="s">
        <v>70</v>
      </c>
      <c r="B425" t="s">
        <v>7</v>
      </c>
      <c r="C425">
        <v>3142949.5614999998</v>
      </c>
      <c r="D425" t="s">
        <v>196</v>
      </c>
      <c r="E425">
        <v>2016</v>
      </c>
      <c r="F425">
        <v>8</v>
      </c>
    </row>
    <row r="426" spans="1:6" x14ac:dyDescent="0.55000000000000004">
      <c r="A426" t="s">
        <v>70</v>
      </c>
      <c r="B426" t="s">
        <v>8</v>
      </c>
      <c r="C426">
        <v>4136434.6277999999</v>
      </c>
      <c r="D426" t="s">
        <v>196</v>
      </c>
      <c r="E426">
        <v>2016</v>
      </c>
      <c r="F426">
        <v>8</v>
      </c>
    </row>
    <row r="427" spans="1:6" x14ac:dyDescent="0.55000000000000004">
      <c r="A427" t="s">
        <v>70</v>
      </c>
      <c r="B427" t="s">
        <v>9</v>
      </c>
      <c r="C427">
        <v>2515</v>
      </c>
      <c r="D427" t="s">
        <v>196</v>
      </c>
      <c r="E427">
        <v>2016</v>
      </c>
      <c r="F427">
        <v>8</v>
      </c>
    </row>
    <row r="428" spans="1:6" x14ac:dyDescent="0.55000000000000004">
      <c r="A428" t="s">
        <v>70</v>
      </c>
      <c r="B428" t="s">
        <v>10</v>
      </c>
      <c r="C428">
        <v>1875.4167</v>
      </c>
      <c r="D428" t="s">
        <v>196</v>
      </c>
      <c r="E428">
        <v>2016</v>
      </c>
      <c r="F428">
        <v>8</v>
      </c>
    </row>
    <row r="429" spans="1:6" x14ac:dyDescent="0.55000000000000004">
      <c r="A429" t="s">
        <v>70</v>
      </c>
      <c r="B429" t="s">
        <v>11</v>
      </c>
      <c r="C429">
        <v>3044358.361</v>
      </c>
      <c r="D429" t="s">
        <v>196</v>
      </c>
      <c r="E429">
        <v>2016</v>
      </c>
      <c r="F429">
        <v>8</v>
      </c>
    </row>
    <row r="430" spans="1:6" x14ac:dyDescent="0.55000000000000004">
      <c r="A430" t="s">
        <v>70</v>
      </c>
      <c r="B430" t="s">
        <v>12</v>
      </c>
      <c r="C430">
        <v>8678.3821000000007</v>
      </c>
      <c r="D430" t="s">
        <v>196</v>
      </c>
      <c r="E430">
        <v>2016</v>
      </c>
      <c r="F430">
        <v>8</v>
      </c>
    </row>
    <row r="431" spans="1:6" x14ac:dyDescent="0.55000000000000004">
      <c r="A431" t="s">
        <v>70</v>
      </c>
      <c r="B431" t="s">
        <v>13</v>
      </c>
      <c r="C431">
        <v>33059.066700000003</v>
      </c>
      <c r="D431" t="s">
        <v>196</v>
      </c>
      <c r="E431">
        <v>2016</v>
      </c>
      <c r="F431">
        <v>8</v>
      </c>
    </row>
    <row r="432" spans="1:6" x14ac:dyDescent="0.55000000000000004">
      <c r="A432" t="s">
        <v>70</v>
      </c>
      <c r="B432" t="s">
        <v>14</v>
      </c>
      <c r="C432">
        <v>0</v>
      </c>
      <c r="D432" t="s">
        <v>196</v>
      </c>
      <c r="E432">
        <v>2016</v>
      </c>
      <c r="F432">
        <v>8</v>
      </c>
    </row>
    <row r="433" spans="1:6" x14ac:dyDescent="0.55000000000000004">
      <c r="A433" t="s">
        <v>70</v>
      </c>
      <c r="B433" t="s">
        <v>15</v>
      </c>
      <c r="C433">
        <v>1258075.6876000001</v>
      </c>
      <c r="D433" t="s">
        <v>196</v>
      </c>
      <c r="E433">
        <v>2016</v>
      </c>
      <c r="F433">
        <v>8</v>
      </c>
    </row>
    <row r="434" spans="1:6" x14ac:dyDescent="0.55000000000000004">
      <c r="A434" t="s">
        <v>70</v>
      </c>
      <c r="B434" t="s">
        <v>16</v>
      </c>
      <c r="C434">
        <v>0</v>
      </c>
      <c r="D434" t="s">
        <v>196</v>
      </c>
      <c r="E434">
        <v>2016</v>
      </c>
      <c r="F434">
        <v>8</v>
      </c>
    </row>
    <row r="435" spans="1:6" x14ac:dyDescent="0.55000000000000004">
      <c r="A435" t="s">
        <v>70</v>
      </c>
      <c r="B435" t="s">
        <v>17</v>
      </c>
      <c r="C435">
        <v>81937.266699999993</v>
      </c>
      <c r="D435" t="s">
        <v>196</v>
      </c>
      <c r="E435">
        <v>2016</v>
      </c>
      <c r="F435">
        <v>8</v>
      </c>
    </row>
    <row r="436" spans="1:6" x14ac:dyDescent="0.55000000000000004">
      <c r="A436" t="s">
        <v>70</v>
      </c>
      <c r="B436" t="s">
        <v>18</v>
      </c>
      <c r="C436">
        <v>60042.583500000001</v>
      </c>
      <c r="D436" t="s">
        <v>196</v>
      </c>
      <c r="E436">
        <v>2016</v>
      </c>
      <c r="F436">
        <v>8</v>
      </c>
    </row>
    <row r="437" spans="1:6" x14ac:dyDescent="0.55000000000000004">
      <c r="A437" t="s">
        <v>70</v>
      </c>
      <c r="B437" t="s">
        <v>19</v>
      </c>
      <c r="C437">
        <v>0</v>
      </c>
      <c r="D437" t="s">
        <v>196</v>
      </c>
      <c r="E437">
        <v>2016</v>
      </c>
      <c r="F437">
        <v>8</v>
      </c>
    </row>
    <row r="438" spans="1:6" x14ac:dyDescent="0.55000000000000004">
      <c r="A438" t="s">
        <v>70</v>
      </c>
      <c r="B438" t="s">
        <v>20</v>
      </c>
      <c r="C438">
        <v>17702</v>
      </c>
      <c r="D438" t="s">
        <v>196</v>
      </c>
      <c r="E438">
        <v>2016</v>
      </c>
      <c r="F438">
        <v>8</v>
      </c>
    </row>
    <row r="439" spans="1:6" x14ac:dyDescent="0.55000000000000004">
      <c r="A439" t="s">
        <v>70</v>
      </c>
      <c r="B439" t="s">
        <v>21</v>
      </c>
      <c r="C439">
        <v>667.53459999999995</v>
      </c>
      <c r="D439" t="s">
        <v>196</v>
      </c>
      <c r="E439">
        <v>2016</v>
      </c>
      <c r="F439">
        <v>8</v>
      </c>
    </row>
    <row r="440" spans="1:6" x14ac:dyDescent="0.55000000000000004">
      <c r="A440" t="s">
        <v>70</v>
      </c>
      <c r="B440" t="s">
        <v>22</v>
      </c>
      <c r="C440">
        <v>70701.91</v>
      </c>
      <c r="D440" t="s">
        <v>196</v>
      </c>
      <c r="E440">
        <v>2016</v>
      </c>
      <c r="F440">
        <v>8</v>
      </c>
    </row>
    <row r="441" spans="1:6" x14ac:dyDescent="0.55000000000000004">
      <c r="A441" t="s">
        <v>70</v>
      </c>
      <c r="B441" t="s">
        <v>23</v>
      </c>
      <c r="C441">
        <v>36155.978799999997</v>
      </c>
      <c r="D441" t="s">
        <v>196</v>
      </c>
      <c r="E441">
        <v>2016</v>
      </c>
      <c r="F441">
        <v>8</v>
      </c>
    </row>
    <row r="442" spans="1:6" x14ac:dyDescent="0.55000000000000004">
      <c r="A442" t="s">
        <v>70</v>
      </c>
      <c r="B442" t="s">
        <v>24</v>
      </c>
      <c r="C442">
        <v>0</v>
      </c>
      <c r="D442" t="s">
        <v>196</v>
      </c>
      <c r="E442">
        <v>2016</v>
      </c>
      <c r="F442">
        <v>8</v>
      </c>
    </row>
    <row r="443" spans="1:6" x14ac:dyDescent="0.55000000000000004">
      <c r="A443" t="s">
        <v>70</v>
      </c>
      <c r="B443" t="s">
        <v>25</v>
      </c>
      <c r="C443">
        <v>315674</v>
      </c>
      <c r="D443" t="s">
        <v>196</v>
      </c>
      <c r="E443">
        <v>2016</v>
      </c>
      <c r="F443">
        <v>8</v>
      </c>
    </row>
    <row r="444" spans="1:6" x14ac:dyDescent="0.55000000000000004">
      <c r="A444" t="s">
        <v>70</v>
      </c>
      <c r="B444" t="s">
        <v>26</v>
      </c>
      <c r="C444">
        <v>0</v>
      </c>
      <c r="D444" t="s">
        <v>196</v>
      </c>
      <c r="E444">
        <v>2016</v>
      </c>
      <c r="F444">
        <v>8</v>
      </c>
    </row>
    <row r="445" spans="1:6" x14ac:dyDescent="0.55000000000000004">
      <c r="A445" t="s">
        <v>70</v>
      </c>
      <c r="B445" t="s">
        <v>27</v>
      </c>
      <c r="C445">
        <v>3830.2197000000001</v>
      </c>
      <c r="D445" t="s">
        <v>196</v>
      </c>
      <c r="E445">
        <v>2016</v>
      </c>
      <c r="F445">
        <v>8</v>
      </c>
    </row>
    <row r="446" spans="1:6" x14ac:dyDescent="0.55000000000000004">
      <c r="A446" t="s">
        <v>70</v>
      </c>
      <c r="B446" t="s">
        <v>28</v>
      </c>
      <c r="C446">
        <v>311865.49670000002</v>
      </c>
      <c r="D446" t="s">
        <v>196</v>
      </c>
      <c r="E446">
        <v>2016</v>
      </c>
      <c r="F446">
        <v>8</v>
      </c>
    </row>
    <row r="447" spans="1:6" x14ac:dyDescent="0.55000000000000004">
      <c r="A447" t="s">
        <v>70</v>
      </c>
      <c r="B447" t="s">
        <v>29</v>
      </c>
      <c r="C447">
        <v>21138.811300000001</v>
      </c>
      <c r="D447" t="s">
        <v>196</v>
      </c>
      <c r="E447">
        <v>2016</v>
      </c>
      <c r="F447">
        <v>8</v>
      </c>
    </row>
    <row r="448" spans="1:6" x14ac:dyDescent="0.55000000000000004">
      <c r="A448" t="s">
        <v>70</v>
      </c>
      <c r="B448" t="s">
        <v>30</v>
      </c>
      <c r="C448">
        <v>17.896699999999999</v>
      </c>
      <c r="D448" t="s">
        <v>196</v>
      </c>
      <c r="E448">
        <v>2016</v>
      </c>
      <c r="F448">
        <v>8</v>
      </c>
    </row>
    <row r="449" spans="1:6" x14ac:dyDescent="0.55000000000000004">
      <c r="A449" t="s">
        <v>70</v>
      </c>
      <c r="B449" t="s">
        <v>31</v>
      </c>
      <c r="C449">
        <v>411.86930000000001</v>
      </c>
      <c r="D449" t="s">
        <v>196</v>
      </c>
      <c r="E449">
        <v>2016</v>
      </c>
      <c r="F449">
        <v>8</v>
      </c>
    </row>
    <row r="450" spans="1:6" x14ac:dyDescent="0.55000000000000004">
      <c r="A450" t="s">
        <v>70</v>
      </c>
      <c r="B450" t="s">
        <v>32</v>
      </c>
      <c r="C450">
        <v>235808.3817</v>
      </c>
      <c r="D450" t="s">
        <v>196</v>
      </c>
      <c r="E450">
        <v>2016</v>
      </c>
      <c r="F450">
        <v>8</v>
      </c>
    </row>
    <row r="451" spans="1:6" x14ac:dyDescent="0.55000000000000004">
      <c r="A451" t="s">
        <v>70</v>
      </c>
      <c r="B451" t="s">
        <v>33</v>
      </c>
      <c r="C451">
        <v>448884.62400000001</v>
      </c>
      <c r="D451" t="s">
        <v>196</v>
      </c>
      <c r="E451">
        <v>2016</v>
      </c>
      <c r="F451">
        <v>8</v>
      </c>
    </row>
    <row r="452" spans="1:6" x14ac:dyDescent="0.55000000000000004">
      <c r="A452" t="s">
        <v>70</v>
      </c>
      <c r="B452" t="s">
        <v>34</v>
      </c>
      <c r="C452">
        <v>679137.16240000003</v>
      </c>
      <c r="D452" t="s">
        <v>196</v>
      </c>
      <c r="E452">
        <v>2016</v>
      </c>
      <c r="F452">
        <v>8</v>
      </c>
    </row>
    <row r="453" spans="1:6" x14ac:dyDescent="0.55000000000000004">
      <c r="A453" t="s">
        <v>70</v>
      </c>
      <c r="B453" t="s">
        <v>35</v>
      </c>
      <c r="C453">
        <v>1153.7716</v>
      </c>
      <c r="D453" t="s">
        <v>196</v>
      </c>
      <c r="E453">
        <v>2016</v>
      </c>
      <c r="F453">
        <v>8</v>
      </c>
    </row>
    <row r="454" spans="1:6" x14ac:dyDescent="0.55000000000000004">
      <c r="A454" t="s">
        <v>70</v>
      </c>
      <c r="B454" t="s">
        <v>36</v>
      </c>
      <c r="C454">
        <v>60163.7667</v>
      </c>
      <c r="D454" t="s">
        <v>196</v>
      </c>
      <c r="E454">
        <v>2016</v>
      </c>
      <c r="F454">
        <v>8</v>
      </c>
    </row>
    <row r="455" spans="1:6" x14ac:dyDescent="0.55000000000000004">
      <c r="A455" t="s">
        <v>70</v>
      </c>
      <c r="B455" t="s">
        <v>37</v>
      </c>
      <c r="C455">
        <v>21575.577099999999</v>
      </c>
      <c r="D455" t="s">
        <v>196</v>
      </c>
      <c r="E455">
        <v>2016</v>
      </c>
      <c r="F455">
        <v>8</v>
      </c>
    </row>
    <row r="456" spans="1:6" x14ac:dyDescent="0.55000000000000004">
      <c r="A456" t="s">
        <v>70</v>
      </c>
      <c r="B456" t="s">
        <v>38</v>
      </c>
      <c r="C456">
        <v>0</v>
      </c>
      <c r="D456" t="s">
        <v>196</v>
      </c>
      <c r="E456">
        <v>2016</v>
      </c>
      <c r="F456">
        <v>8</v>
      </c>
    </row>
    <row r="457" spans="1:6" x14ac:dyDescent="0.55000000000000004">
      <c r="A457" t="s">
        <v>70</v>
      </c>
      <c r="B457" t="s">
        <v>39</v>
      </c>
      <c r="C457">
        <v>5648.1559999999999</v>
      </c>
      <c r="D457" t="s">
        <v>196</v>
      </c>
      <c r="E457">
        <v>2016</v>
      </c>
      <c r="F457">
        <v>8</v>
      </c>
    </row>
    <row r="458" spans="1:6" x14ac:dyDescent="0.55000000000000004">
      <c r="A458" t="s">
        <v>70</v>
      </c>
      <c r="B458" t="s">
        <v>40</v>
      </c>
      <c r="C458">
        <v>1440.6864</v>
      </c>
      <c r="D458" t="s">
        <v>196</v>
      </c>
      <c r="E458">
        <v>2016</v>
      </c>
      <c r="F458">
        <v>8</v>
      </c>
    </row>
    <row r="459" spans="1:6" x14ac:dyDescent="0.55000000000000004">
      <c r="A459" t="s">
        <v>70</v>
      </c>
      <c r="B459" t="s">
        <v>41</v>
      </c>
      <c r="C459">
        <v>200117.53659999999</v>
      </c>
      <c r="D459" t="s">
        <v>196</v>
      </c>
      <c r="E459">
        <v>2016</v>
      </c>
      <c r="F459">
        <v>8</v>
      </c>
    </row>
    <row r="460" spans="1:6" x14ac:dyDescent="0.55000000000000004">
      <c r="A460" t="s">
        <v>70</v>
      </c>
      <c r="B460" t="s">
        <v>42</v>
      </c>
      <c r="C460">
        <v>82.462599999999995</v>
      </c>
      <c r="D460" t="s">
        <v>196</v>
      </c>
      <c r="E460">
        <v>2016</v>
      </c>
      <c r="F460">
        <v>8</v>
      </c>
    </row>
    <row r="461" spans="1:6" x14ac:dyDescent="0.55000000000000004">
      <c r="A461" t="s">
        <v>70</v>
      </c>
      <c r="B461" t="s">
        <v>43</v>
      </c>
      <c r="C461">
        <v>159084.4754</v>
      </c>
      <c r="D461" t="s">
        <v>196</v>
      </c>
      <c r="E461">
        <v>2016</v>
      </c>
      <c r="F461">
        <v>8</v>
      </c>
    </row>
    <row r="462" spans="1:6" x14ac:dyDescent="0.55000000000000004">
      <c r="A462" t="s">
        <v>70</v>
      </c>
      <c r="B462" t="s">
        <v>44</v>
      </c>
      <c r="C462">
        <v>0</v>
      </c>
      <c r="D462" t="s">
        <v>196</v>
      </c>
      <c r="E462">
        <v>2016</v>
      </c>
      <c r="F462">
        <v>8</v>
      </c>
    </row>
    <row r="463" spans="1:6" x14ac:dyDescent="0.55000000000000004">
      <c r="A463" t="s">
        <v>70</v>
      </c>
      <c r="B463" t="s">
        <v>45</v>
      </c>
      <c r="C463">
        <v>6837.9047</v>
      </c>
      <c r="D463" t="s">
        <v>196</v>
      </c>
      <c r="E463">
        <v>2016</v>
      </c>
      <c r="F463">
        <v>8</v>
      </c>
    </row>
    <row r="464" spans="1:6" x14ac:dyDescent="0.55000000000000004">
      <c r="A464" t="s">
        <v>70</v>
      </c>
      <c r="B464" t="s">
        <v>46</v>
      </c>
      <c r="C464">
        <v>187872.83</v>
      </c>
      <c r="D464" t="s">
        <v>196</v>
      </c>
      <c r="E464">
        <v>2016</v>
      </c>
      <c r="F464">
        <v>8</v>
      </c>
    </row>
    <row r="465" spans="1:6" x14ac:dyDescent="0.55000000000000004">
      <c r="A465" t="s">
        <v>70</v>
      </c>
      <c r="B465" t="s">
        <v>47</v>
      </c>
      <c r="C465">
        <v>3.1238000000000001</v>
      </c>
      <c r="D465" t="s">
        <v>196</v>
      </c>
      <c r="E465">
        <v>2016</v>
      </c>
      <c r="F465">
        <v>8</v>
      </c>
    </row>
    <row r="466" spans="1:6" x14ac:dyDescent="0.55000000000000004">
      <c r="A466" t="s">
        <v>70</v>
      </c>
      <c r="B466" t="s">
        <v>48</v>
      </c>
      <c r="C466">
        <v>622899.28</v>
      </c>
      <c r="D466" t="s">
        <v>196</v>
      </c>
      <c r="E466">
        <v>2016</v>
      </c>
      <c r="F466">
        <v>8</v>
      </c>
    </row>
    <row r="467" spans="1:6" x14ac:dyDescent="0.55000000000000004">
      <c r="A467" t="s">
        <v>70</v>
      </c>
      <c r="B467" t="s">
        <v>49</v>
      </c>
      <c r="C467">
        <v>724.19680000000005</v>
      </c>
      <c r="D467" t="s">
        <v>196</v>
      </c>
      <c r="E467">
        <v>2016</v>
      </c>
      <c r="F467">
        <v>8</v>
      </c>
    </row>
    <row r="468" spans="1:6" x14ac:dyDescent="0.55000000000000004">
      <c r="A468" t="s">
        <v>70</v>
      </c>
      <c r="B468" t="s">
        <v>50</v>
      </c>
      <c r="C468">
        <v>18345.782800000001</v>
      </c>
      <c r="D468" t="s">
        <v>196</v>
      </c>
      <c r="E468">
        <v>2016</v>
      </c>
      <c r="F468">
        <v>8</v>
      </c>
    </row>
    <row r="469" spans="1:6" x14ac:dyDescent="0.55000000000000004">
      <c r="A469" t="s">
        <v>70</v>
      </c>
      <c r="B469" t="s">
        <v>51</v>
      </c>
      <c r="C469">
        <v>2371.0102000000002</v>
      </c>
      <c r="D469" t="s">
        <v>196</v>
      </c>
      <c r="E469">
        <v>2016</v>
      </c>
      <c r="F469">
        <v>8</v>
      </c>
    </row>
    <row r="470" spans="1:6" x14ac:dyDescent="0.55000000000000004">
      <c r="A470" t="s">
        <v>70</v>
      </c>
      <c r="B470" t="s">
        <v>52</v>
      </c>
      <c r="C470">
        <v>122.43089999999999</v>
      </c>
      <c r="D470" t="s">
        <v>196</v>
      </c>
      <c r="E470">
        <v>2016</v>
      </c>
      <c r="F470">
        <v>8</v>
      </c>
    </row>
    <row r="471" spans="1:6" x14ac:dyDescent="0.55000000000000004">
      <c r="A471" t="s">
        <v>70</v>
      </c>
      <c r="B471" t="s">
        <v>53</v>
      </c>
      <c r="C471">
        <v>49277.93</v>
      </c>
      <c r="D471" t="s">
        <v>196</v>
      </c>
      <c r="E471">
        <v>2016</v>
      </c>
      <c r="F471">
        <v>8</v>
      </c>
    </row>
    <row r="472" spans="1:6" x14ac:dyDescent="0.55000000000000004">
      <c r="A472" t="s">
        <v>70</v>
      </c>
      <c r="B472" t="s">
        <v>54</v>
      </c>
      <c r="C472">
        <v>11413.162899999999</v>
      </c>
      <c r="D472" t="s">
        <v>196</v>
      </c>
      <c r="E472">
        <v>2016</v>
      </c>
      <c r="F472">
        <v>8</v>
      </c>
    </row>
    <row r="473" spans="1:6" x14ac:dyDescent="0.55000000000000004">
      <c r="A473" t="s">
        <v>70</v>
      </c>
      <c r="B473" t="s">
        <v>55</v>
      </c>
      <c r="C473">
        <v>2591.2357999999999</v>
      </c>
      <c r="D473" t="s">
        <v>196</v>
      </c>
      <c r="E473">
        <v>2016</v>
      </c>
      <c r="F473">
        <v>8</v>
      </c>
    </row>
    <row r="474" spans="1:6" x14ac:dyDescent="0.55000000000000004">
      <c r="A474" t="s">
        <v>70</v>
      </c>
      <c r="B474" t="s">
        <v>56</v>
      </c>
      <c r="C474">
        <v>5066.2166999999999</v>
      </c>
      <c r="D474" t="s">
        <v>196</v>
      </c>
      <c r="E474">
        <v>2016</v>
      </c>
      <c r="F474">
        <v>8</v>
      </c>
    </row>
    <row r="475" spans="1:6" x14ac:dyDescent="0.55000000000000004">
      <c r="A475" t="s">
        <v>70</v>
      </c>
      <c r="B475" t="s">
        <v>57</v>
      </c>
      <c r="C475">
        <v>54.011800000000001</v>
      </c>
      <c r="D475" t="s">
        <v>196</v>
      </c>
      <c r="E475">
        <v>2016</v>
      </c>
      <c r="F475">
        <v>8</v>
      </c>
    </row>
    <row r="476" spans="1:6" x14ac:dyDescent="0.55000000000000004">
      <c r="A476" t="s">
        <v>70</v>
      </c>
      <c r="B476" t="s">
        <v>58</v>
      </c>
      <c r="C476">
        <v>291059</v>
      </c>
      <c r="D476" t="s">
        <v>196</v>
      </c>
      <c r="E476">
        <v>2016</v>
      </c>
      <c r="F476">
        <v>8</v>
      </c>
    </row>
    <row r="477" spans="1:6" x14ac:dyDescent="0.55000000000000004">
      <c r="A477" t="s">
        <v>70</v>
      </c>
      <c r="B477" t="s">
        <v>59</v>
      </c>
      <c r="C477">
        <v>0</v>
      </c>
      <c r="D477" t="s">
        <v>196</v>
      </c>
      <c r="E477">
        <v>2016</v>
      </c>
      <c r="F477">
        <v>8</v>
      </c>
    </row>
    <row r="478" spans="1:6" x14ac:dyDescent="0.55000000000000004">
      <c r="A478" t="s">
        <v>70</v>
      </c>
      <c r="B478" t="s">
        <v>60</v>
      </c>
      <c r="C478">
        <v>2526278.3132000002</v>
      </c>
      <c r="D478" t="s">
        <v>196</v>
      </c>
      <c r="E478">
        <v>2016</v>
      </c>
      <c r="F478">
        <v>8</v>
      </c>
    </row>
    <row r="479" spans="1:6" x14ac:dyDescent="0.55000000000000004">
      <c r="A479" t="s">
        <v>70</v>
      </c>
      <c r="B479" t="s">
        <v>61</v>
      </c>
      <c r="C479">
        <v>3998.0918000000001</v>
      </c>
      <c r="D479" t="s">
        <v>196</v>
      </c>
      <c r="E479">
        <v>2016</v>
      </c>
      <c r="F479">
        <v>8</v>
      </c>
    </row>
    <row r="480" spans="1:6" x14ac:dyDescent="0.55000000000000004">
      <c r="A480" t="s">
        <v>70</v>
      </c>
      <c r="B480" t="s">
        <v>62</v>
      </c>
      <c r="C480">
        <v>51.109699999999997</v>
      </c>
      <c r="D480" t="s">
        <v>196</v>
      </c>
      <c r="E480">
        <v>2016</v>
      </c>
      <c r="F480">
        <v>8</v>
      </c>
    </row>
    <row r="481" spans="1:6" x14ac:dyDescent="0.55000000000000004">
      <c r="A481" t="s">
        <v>70</v>
      </c>
      <c r="B481" t="s">
        <v>63</v>
      </c>
      <c r="C481">
        <v>650.47950000000003</v>
      </c>
      <c r="D481" t="s">
        <v>196</v>
      </c>
      <c r="E481">
        <v>2016</v>
      </c>
      <c r="F481">
        <v>8</v>
      </c>
    </row>
    <row r="482" spans="1:6" x14ac:dyDescent="0.55000000000000004">
      <c r="A482" t="s">
        <v>71</v>
      </c>
      <c r="B482" t="s">
        <v>4</v>
      </c>
      <c r="C482">
        <v>9736917.2835000008</v>
      </c>
      <c r="D482" t="s">
        <v>197</v>
      </c>
      <c r="E482">
        <v>2016</v>
      </c>
      <c r="F482">
        <v>9</v>
      </c>
    </row>
    <row r="483" spans="1:6" x14ac:dyDescent="0.55000000000000004">
      <c r="A483" t="s">
        <v>71</v>
      </c>
      <c r="B483" t="s">
        <v>5</v>
      </c>
      <c r="C483">
        <v>1076524.5952000001</v>
      </c>
      <c r="D483" t="s">
        <v>197</v>
      </c>
      <c r="E483">
        <v>2016</v>
      </c>
      <c r="F483">
        <v>9</v>
      </c>
    </row>
    <row r="484" spans="1:6" x14ac:dyDescent="0.55000000000000004">
      <c r="A484" t="s">
        <v>71</v>
      </c>
      <c r="B484" t="s">
        <v>6</v>
      </c>
      <c r="C484">
        <v>1802747.0571000001</v>
      </c>
      <c r="D484" t="s">
        <v>197</v>
      </c>
      <c r="E484">
        <v>2016</v>
      </c>
      <c r="F484">
        <v>9</v>
      </c>
    </row>
    <row r="485" spans="1:6" x14ac:dyDescent="0.55000000000000004">
      <c r="A485" t="s">
        <v>71</v>
      </c>
      <c r="B485" t="s">
        <v>7</v>
      </c>
      <c r="C485">
        <v>3117039.7752</v>
      </c>
      <c r="D485" t="s">
        <v>197</v>
      </c>
      <c r="E485">
        <v>2016</v>
      </c>
      <c r="F485">
        <v>9</v>
      </c>
    </row>
    <row r="486" spans="1:6" x14ac:dyDescent="0.55000000000000004">
      <c r="A486" t="s">
        <v>71</v>
      </c>
      <c r="B486" t="s">
        <v>8</v>
      </c>
      <c r="C486">
        <v>3740605.8560000001</v>
      </c>
      <c r="D486" t="s">
        <v>197</v>
      </c>
      <c r="E486">
        <v>2016</v>
      </c>
      <c r="F486">
        <v>9</v>
      </c>
    </row>
    <row r="487" spans="1:6" x14ac:dyDescent="0.55000000000000004">
      <c r="A487" t="s">
        <v>71</v>
      </c>
      <c r="B487" t="s">
        <v>9</v>
      </c>
      <c r="C487">
        <v>600</v>
      </c>
      <c r="D487" t="s">
        <v>197</v>
      </c>
      <c r="E487">
        <v>2016</v>
      </c>
      <c r="F487">
        <v>9</v>
      </c>
    </row>
    <row r="488" spans="1:6" x14ac:dyDescent="0.55000000000000004">
      <c r="A488" t="s">
        <v>71</v>
      </c>
      <c r="B488" t="s">
        <v>10</v>
      </c>
      <c r="C488">
        <v>1451.25</v>
      </c>
      <c r="D488" t="s">
        <v>197</v>
      </c>
      <c r="E488">
        <v>2016</v>
      </c>
      <c r="F488">
        <v>9</v>
      </c>
    </row>
    <row r="489" spans="1:6" x14ac:dyDescent="0.55000000000000004">
      <c r="A489" t="s">
        <v>71</v>
      </c>
      <c r="B489" t="s">
        <v>11</v>
      </c>
      <c r="C489">
        <v>3068226.0144000002</v>
      </c>
      <c r="D489" t="s">
        <v>197</v>
      </c>
      <c r="E489">
        <v>2016</v>
      </c>
      <c r="F489">
        <v>9</v>
      </c>
    </row>
    <row r="490" spans="1:6" x14ac:dyDescent="0.55000000000000004">
      <c r="A490" t="s">
        <v>71</v>
      </c>
      <c r="B490" t="s">
        <v>12</v>
      </c>
      <c r="C490">
        <v>11200.122100000001</v>
      </c>
      <c r="D490" t="s">
        <v>197</v>
      </c>
      <c r="E490">
        <v>2016</v>
      </c>
      <c r="F490">
        <v>9</v>
      </c>
    </row>
    <row r="491" spans="1:6" x14ac:dyDescent="0.55000000000000004">
      <c r="A491" t="s">
        <v>71</v>
      </c>
      <c r="B491" t="s">
        <v>13</v>
      </c>
      <c r="C491">
        <v>24559</v>
      </c>
      <c r="D491" t="s">
        <v>197</v>
      </c>
      <c r="E491">
        <v>2016</v>
      </c>
      <c r="F491">
        <v>9</v>
      </c>
    </row>
    <row r="492" spans="1:6" x14ac:dyDescent="0.55000000000000004">
      <c r="A492" t="s">
        <v>71</v>
      </c>
      <c r="B492" t="s">
        <v>14</v>
      </c>
      <c r="C492">
        <v>0</v>
      </c>
      <c r="D492" t="s">
        <v>197</v>
      </c>
      <c r="E492">
        <v>2016</v>
      </c>
      <c r="F492">
        <v>9</v>
      </c>
    </row>
    <row r="493" spans="1:6" x14ac:dyDescent="0.55000000000000004">
      <c r="A493" t="s">
        <v>71</v>
      </c>
      <c r="B493" t="s">
        <v>15</v>
      </c>
      <c r="C493">
        <v>1012263.8095</v>
      </c>
      <c r="D493" t="s">
        <v>197</v>
      </c>
      <c r="E493">
        <v>2016</v>
      </c>
      <c r="F493">
        <v>9</v>
      </c>
    </row>
    <row r="494" spans="1:6" x14ac:dyDescent="0.55000000000000004">
      <c r="A494" t="s">
        <v>71</v>
      </c>
      <c r="B494" t="s">
        <v>16</v>
      </c>
      <c r="C494">
        <v>0</v>
      </c>
      <c r="D494" t="s">
        <v>197</v>
      </c>
      <c r="E494">
        <v>2016</v>
      </c>
      <c r="F494">
        <v>9</v>
      </c>
    </row>
    <row r="495" spans="1:6" x14ac:dyDescent="0.55000000000000004">
      <c r="A495" t="s">
        <v>71</v>
      </c>
      <c r="B495" t="s">
        <v>17</v>
      </c>
      <c r="C495">
        <v>49679</v>
      </c>
      <c r="D495" t="s">
        <v>197</v>
      </c>
      <c r="E495">
        <v>2016</v>
      </c>
      <c r="F495">
        <v>9</v>
      </c>
    </row>
    <row r="496" spans="1:6" x14ac:dyDescent="0.55000000000000004">
      <c r="A496" t="s">
        <v>71</v>
      </c>
      <c r="B496" t="s">
        <v>18</v>
      </c>
      <c r="C496">
        <v>180527.2996</v>
      </c>
      <c r="D496" t="s">
        <v>197</v>
      </c>
      <c r="E496">
        <v>2016</v>
      </c>
      <c r="F496">
        <v>9</v>
      </c>
    </row>
    <row r="497" spans="1:6" x14ac:dyDescent="0.55000000000000004">
      <c r="A497" t="s">
        <v>71</v>
      </c>
      <c r="B497" t="s">
        <v>19</v>
      </c>
      <c r="C497">
        <v>0</v>
      </c>
      <c r="D497" t="s">
        <v>197</v>
      </c>
      <c r="E497">
        <v>2016</v>
      </c>
      <c r="F497">
        <v>9</v>
      </c>
    </row>
    <row r="498" spans="1:6" x14ac:dyDescent="0.55000000000000004">
      <c r="A498" t="s">
        <v>71</v>
      </c>
      <c r="B498" t="s">
        <v>20</v>
      </c>
      <c r="C498">
        <v>11814</v>
      </c>
      <c r="D498" t="s">
        <v>197</v>
      </c>
      <c r="E498">
        <v>2016</v>
      </c>
      <c r="F498">
        <v>9</v>
      </c>
    </row>
    <row r="499" spans="1:6" x14ac:dyDescent="0.55000000000000004">
      <c r="A499" t="s">
        <v>71</v>
      </c>
      <c r="B499" t="s">
        <v>21</v>
      </c>
      <c r="C499">
        <v>982.38909999999998</v>
      </c>
      <c r="D499" t="s">
        <v>197</v>
      </c>
      <c r="E499">
        <v>2016</v>
      </c>
      <c r="F499">
        <v>9</v>
      </c>
    </row>
    <row r="500" spans="1:6" x14ac:dyDescent="0.55000000000000004">
      <c r="A500" t="s">
        <v>71</v>
      </c>
      <c r="B500" t="s">
        <v>22</v>
      </c>
      <c r="C500">
        <v>89619.934599999993</v>
      </c>
      <c r="D500" t="s">
        <v>197</v>
      </c>
      <c r="E500">
        <v>2016</v>
      </c>
      <c r="F500">
        <v>9</v>
      </c>
    </row>
    <row r="501" spans="1:6" x14ac:dyDescent="0.55000000000000004">
      <c r="A501" t="s">
        <v>71</v>
      </c>
      <c r="B501" t="s">
        <v>23</v>
      </c>
      <c r="C501">
        <v>27732.159299999999</v>
      </c>
      <c r="D501" t="s">
        <v>197</v>
      </c>
      <c r="E501">
        <v>2016</v>
      </c>
      <c r="F501">
        <v>9</v>
      </c>
    </row>
    <row r="502" spans="1:6" x14ac:dyDescent="0.55000000000000004">
      <c r="A502" t="s">
        <v>71</v>
      </c>
      <c r="B502" t="s">
        <v>24</v>
      </c>
      <c r="C502">
        <v>0</v>
      </c>
      <c r="D502" t="s">
        <v>197</v>
      </c>
      <c r="E502">
        <v>2016</v>
      </c>
      <c r="F502">
        <v>9</v>
      </c>
    </row>
    <row r="503" spans="1:6" x14ac:dyDescent="0.55000000000000004">
      <c r="A503" t="s">
        <v>71</v>
      </c>
      <c r="B503" t="s">
        <v>25</v>
      </c>
      <c r="C503">
        <v>261808.3334</v>
      </c>
      <c r="D503" t="s">
        <v>197</v>
      </c>
      <c r="E503">
        <v>2016</v>
      </c>
      <c r="F503">
        <v>9</v>
      </c>
    </row>
    <row r="504" spans="1:6" x14ac:dyDescent="0.55000000000000004">
      <c r="A504" t="s">
        <v>71</v>
      </c>
      <c r="B504" t="s">
        <v>26</v>
      </c>
      <c r="C504">
        <v>0</v>
      </c>
      <c r="D504" t="s">
        <v>197</v>
      </c>
      <c r="E504">
        <v>2016</v>
      </c>
      <c r="F504">
        <v>9</v>
      </c>
    </row>
    <row r="505" spans="1:6" x14ac:dyDescent="0.55000000000000004">
      <c r="A505" t="s">
        <v>71</v>
      </c>
      <c r="B505" t="s">
        <v>27</v>
      </c>
      <c r="C505">
        <v>1390.701</v>
      </c>
      <c r="D505" t="s">
        <v>197</v>
      </c>
      <c r="E505">
        <v>2016</v>
      </c>
      <c r="F505">
        <v>9</v>
      </c>
    </row>
    <row r="506" spans="1:6" x14ac:dyDescent="0.55000000000000004">
      <c r="A506" t="s">
        <v>71</v>
      </c>
      <c r="B506" t="s">
        <v>28</v>
      </c>
      <c r="C506">
        <v>200249.43359999999</v>
      </c>
      <c r="D506" t="s">
        <v>197</v>
      </c>
      <c r="E506">
        <v>2016</v>
      </c>
      <c r="F506">
        <v>9</v>
      </c>
    </row>
    <row r="507" spans="1:6" x14ac:dyDescent="0.55000000000000004">
      <c r="A507" t="s">
        <v>71</v>
      </c>
      <c r="B507" t="s">
        <v>29</v>
      </c>
      <c r="C507">
        <v>18665.471300000001</v>
      </c>
      <c r="D507" t="s">
        <v>197</v>
      </c>
      <c r="E507">
        <v>2016</v>
      </c>
      <c r="F507">
        <v>9</v>
      </c>
    </row>
    <row r="508" spans="1:6" x14ac:dyDescent="0.55000000000000004">
      <c r="A508" t="s">
        <v>71</v>
      </c>
      <c r="B508" t="s">
        <v>30</v>
      </c>
      <c r="C508">
        <v>88.703299999999999</v>
      </c>
      <c r="D508" t="s">
        <v>197</v>
      </c>
      <c r="E508">
        <v>2016</v>
      </c>
      <c r="F508">
        <v>9</v>
      </c>
    </row>
    <row r="509" spans="1:6" x14ac:dyDescent="0.55000000000000004">
      <c r="A509" t="s">
        <v>71</v>
      </c>
      <c r="B509" t="s">
        <v>31</v>
      </c>
      <c r="C509">
        <v>341.17599999999999</v>
      </c>
      <c r="D509" t="s">
        <v>197</v>
      </c>
      <c r="E509">
        <v>2016</v>
      </c>
      <c r="F509">
        <v>9</v>
      </c>
    </row>
    <row r="510" spans="1:6" x14ac:dyDescent="0.55000000000000004">
      <c r="A510" t="s">
        <v>71</v>
      </c>
      <c r="B510" t="s">
        <v>32</v>
      </c>
      <c r="C510">
        <v>157850.53330000001</v>
      </c>
      <c r="D510" t="s">
        <v>197</v>
      </c>
      <c r="E510">
        <v>2016</v>
      </c>
      <c r="F510">
        <v>9</v>
      </c>
    </row>
    <row r="511" spans="1:6" x14ac:dyDescent="0.55000000000000004">
      <c r="A511" t="s">
        <v>71</v>
      </c>
      <c r="B511" t="s">
        <v>33</v>
      </c>
      <c r="C511">
        <v>406595.58059999999</v>
      </c>
      <c r="D511" t="s">
        <v>197</v>
      </c>
      <c r="E511">
        <v>2016</v>
      </c>
      <c r="F511">
        <v>9</v>
      </c>
    </row>
    <row r="512" spans="1:6" x14ac:dyDescent="0.55000000000000004">
      <c r="A512" t="s">
        <v>71</v>
      </c>
      <c r="B512" t="s">
        <v>34</v>
      </c>
      <c r="C512">
        <v>651335.7868</v>
      </c>
      <c r="D512" t="s">
        <v>197</v>
      </c>
      <c r="E512">
        <v>2016</v>
      </c>
      <c r="F512">
        <v>9</v>
      </c>
    </row>
    <row r="513" spans="1:6" x14ac:dyDescent="0.55000000000000004">
      <c r="A513" t="s">
        <v>71</v>
      </c>
      <c r="B513" t="s">
        <v>35</v>
      </c>
      <c r="C513">
        <v>996.07339999999999</v>
      </c>
      <c r="D513" t="s">
        <v>197</v>
      </c>
      <c r="E513">
        <v>2016</v>
      </c>
      <c r="F513">
        <v>9</v>
      </c>
    </row>
    <row r="514" spans="1:6" x14ac:dyDescent="0.55000000000000004">
      <c r="A514" t="s">
        <v>71</v>
      </c>
      <c r="B514" t="s">
        <v>36</v>
      </c>
      <c r="C514">
        <v>49379.966699999997</v>
      </c>
      <c r="D514" t="s">
        <v>197</v>
      </c>
      <c r="E514">
        <v>2016</v>
      </c>
      <c r="F514">
        <v>9</v>
      </c>
    </row>
    <row r="515" spans="1:6" x14ac:dyDescent="0.55000000000000004">
      <c r="A515" t="s">
        <v>71</v>
      </c>
      <c r="B515" t="s">
        <v>37</v>
      </c>
      <c r="C515">
        <v>20982.179499999998</v>
      </c>
      <c r="D515" t="s">
        <v>197</v>
      </c>
      <c r="E515">
        <v>2016</v>
      </c>
      <c r="F515">
        <v>9</v>
      </c>
    </row>
    <row r="516" spans="1:6" x14ac:dyDescent="0.55000000000000004">
      <c r="A516" t="s">
        <v>71</v>
      </c>
      <c r="B516" t="s">
        <v>38</v>
      </c>
      <c r="C516">
        <v>985</v>
      </c>
      <c r="D516" t="s">
        <v>197</v>
      </c>
      <c r="E516">
        <v>2016</v>
      </c>
      <c r="F516">
        <v>9</v>
      </c>
    </row>
    <row r="517" spans="1:6" x14ac:dyDescent="0.55000000000000004">
      <c r="A517" t="s">
        <v>71</v>
      </c>
      <c r="B517" t="s">
        <v>39</v>
      </c>
      <c r="C517">
        <v>12895.0425</v>
      </c>
      <c r="D517" t="s">
        <v>197</v>
      </c>
      <c r="E517">
        <v>2016</v>
      </c>
      <c r="F517">
        <v>9</v>
      </c>
    </row>
    <row r="518" spans="1:6" x14ac:dyDescent="0.55000000000000004">
      <c r="A518" t="s">
        <v>71</v>
      </c>
      <c r="B518" t="s">
        <v>40</v>
      </c>
      <c r="C518">
        <v>763.60789999999997</v>
      </c>
      <c r="D518" t="s">
        <v>197</v>
      </c>
      <c r="E518">
        <v>2016</v>
      </c>
      <c r="F518">
        <v>9</v>
      </c>
    </row>
    <row r="519" spans="1:6" x14ac:dyDescent="0.55000000000000004">
      <c r="A519" t="s">
        <v>71</v>
      </c>
      <c r="B519" t="s">
        <v>41</v>
      </c>
      <c r="C519">
        <v>170222.09779999999</v>
      </c>
      <c r="D519" t="s">
        <v>197</v>
      </c>
      <c r="E519">
        <v>2016</v>
      </c>
      <c r="F519">
        <v>9</v>
      </c>
    </row>
    <row r="520" spans="1:6" x14ac:dyDescent="0.55000000000000004">
      <c r="A520" t="s">
        <v>71</v>
      </c>
      <c r="B520" t="s">
        <v>42</v>
      </c>
      <c r="C520">
        <v>145.7851</v>
      </c>
      <c r="D520" t="s">
        <v>197</v>
      </c>
      <c r="E520">
        <v>2016</v>
      </c>
      <c r="F520">
        <v>9</v>
      </c>
    </row>
    <row r="521" spans="1:6" x14ac:dyDescent="0.55000000000000004">
      <c r="A521" t="s">
        <v>71</v>
      </c>
      <c r="B521" t="s">
        <v>43</v>
      </c>
      <c r="C521">
        <v>71801.074800000002</v>
      </c>
      <c r="D521" t="s">
        <v>197</v>
      </c>
      <c r="E521">
        <v>2016</v>
      </c>
      <c r="F521">
        <v>9</v>
      </c>
    </row>
    <row r="522" spans="1:6" x14ac:dyDescent="0.55000000000000004">
      <c r="A522" t="s">
        <v>71</v>
      </c>
      <c r="B522" t="s">
        <v>44</v>
      </c>
      <c r="C522">
        <v>0</v>
      </c>
      <c r="D522" t="s">
        <v>197</v>
      </c>
      <c r="E522">
        <v>2016</v>
      </c>
      <c r="F522">
        <v>9</v>
      </c>
    </row>
    <row r="523" spans="1:6" x14ac:dyDescent="0.55000000000000004">
      <c r="A523" t="s">
        <v>71</v>
      </c>
      <c r="B523" t="s">
        <v>45</v>
      </c>
      <c r="C523">
        <v>4626.9677000000001</v>
      </c>
      <c r="D523" t="s">
        <v>197</v>
      </c>
      <c r="E523">
        <v>2016</v>
      </c>
      <c r="F523">
        <v>9</v>
      </c>
    </row>
    <row r="524" spans="1:6" x14ac:dyDescent="0.55000000000000004">
      <c r="A524" t="s">
        <v>71</v>
      </c>
      <c r="B524" t="s">
        <v>46</v>
      </c>
      <c r="C524">
        <v>139781</v>
      </c>
      <c r="D524" t="s">
        <v>197</v>
      </c>
      <c r="E524">
        <v>2016</v>
      </c>
      <c r="F524">
        <v>9</v>
      </c>
    </row>
    <row r="525" spans="1:6" x14ac:dyDescent="0.55000000000000004">
      <c r="A525" t="s">
        <v>71</v>
      </c>
      <c r="B525" t="s">
        <v>47</v>
      </c>
      <c r="C525">
        <v>0</v>
      </c>
      <c r="D525" t="s">
        <v>197</v>
      </c>
      <c r="E525">
        <v>2016</v>
      </c>
      <c r="F525">
        <v>9</v>
      </c>
    </row>
    <row r="526" spans="1:6" x14ac:dyDescent="0.55000000000000004">
      <c r="A526" t="s">
        <v>71</v>
      </c>
      <c r="B526" t="s">
        <v>48</v>
      </c>
      <c r="C526">
        <v>618884.25</v>
      </c>
      <c r="D526" t="s">
        <v>197</v>
      </c>
      <c r="E526">
        <v>2016</v>
      </c>
      <c r="F526">
        <v>9</v>
      </c>
    </row>
    <row r="527" spans="1:6" x14ac:dyDescent="0.55000000000000004">
      <c r="A527" t="s">
        <v>71</v>
      </c>
      <c r="B527" t="s">
        <v>49</v>
      </c>
      <c r="C527">
        <v>1319.24</v>
      </c>
      <c r="D527" t="s">
        <v>197</v>
      </c>
      <c r="E527">
        <v>2016</v>
      </c>
      <c r="F527">
        <v>9</v>
      </c>
    </row>
    <row r="528" spans="1:6" x14ac:dyDescent="0.55000000000000004">
      <c r="A528" t="s">
        <v>71</v>
      </c>
      <c r="B528" t="s">
        <v>50</v>
      </c>
      <c r="C528">
        <v>23195.722300000001</v>
      </c>
      <c r="D528" t="s">
        <v>197</v>
      </c>
      <c r="E528">
        <v>2016</v>
      </c>
      <c r="F528">
        <v>9</v>
      </c>
    </row>
    <row r="529" spans="1:6" x14ac:dyDescent="0.55000000000000004">
      <c r="A529" t="s">
        <v>71</v>
      </c>
      <c r="B529" t="s">
        <v>51</v>
      </c>
      <c r="C529">
        <v>2584.3402000000001</v>
      </c>
      <c r="D529" t="s">
        <v>197</v>
      </c>
      <c r="E529">
        <v>2016</v>
      </c>
      <c r="F529">
        <v>9</v>
      </c>
    </row>
    <row r="530" spans="1:6" x14ac:dyDescent="0.55000000000000004">
      <c r="A530" t="s">
        <v>71</v>
      </c>
      <c r="B530" t="s">
        <v>52</v>
      </c>
      <c r="C530">
        <v>122.3389</v>
      </c>
      <c r="D530" t="s">
        <v>197</v>
      </c>
      <c r="E530">
        <v>2016</v>
      </c>
      <c r="F530">
        <v>9</v>
      </c>
    </row>
    <row r="531" spans="1:6" x14ac:dyDescent="0.55000000000000004">
      <c r="A531" t="s">
        <v>71</v>
      </c>
      <c r="B531" t="s">
        <v>53</v>
      </c>
      <c r="C531">
        <v>48231.767999999996</v>
      </c>
      <c r="D531" t="s">
        <v>197</v>
      </c>
      <c r="E531">
        <v>2016</v>
      </c>
      <c r="F531">
        <v>9</v>
      </c>
    </row>
    <row r="532" spans="1:6" x14ac:dyDescent="0.55000000000000004">
      <c r="A532" t="s">
        <v>71</v>
      </c>
      <c r="B532" t="s">
        <v>54</v>
      </c>
      <c r="C532">
        <v>11273.3256</v>
      </c>
      <c r="D532" t="s">
        <v>197</v>
      </c>
      <c r="E532">
        <v>2016</v>
      </c>
      <c r="F532">
        <v>9</v>
      </c>
    </row>
    <row r="533" spans="1:6" x14ac:dyDescent="0.55000000000000004">
      <c r="A533" t="s">
        <v>71</v>
      </c>
      <c r="B533" t="s">
        <v>55</v>
      </c>
      <c r="C533">
        <v>3389.5758000000001</v>
      </c>
      <c r="D533" t="s">
        <v>197</v>
      </c>
      <c r="E533">
        <v>2016</v>
      </c>
      <c r="F533">
        <v>9</v>
      </c>
    </row>
    <row r="534" spans="1:6" x14ac:dyDescent="0.55000000000000004">
      <c r="A534" t="s">
        <v>71</v>
      </c>
      <c r="B534" t="s">
        <v>56</v>
      </c>
      <c r="C534">
        <v>10000.6667</v>
      </c>
      <c r="D534" t="s">
        <v>197</v>
      </c>
      <c r="E534">
        <v>2016</v>
      </c>
      <c r="F534">
        <v>9</v>
      </c>
    </row>
    <row r="535" spans="1:6" x14ac:dyDescent="0.55000000000000004">
      <c r="A535" t="s">
        <v>71</v>
      </c>
      <c r="B535" t="s">
        <v>57</v>
      </c>
      <c r="C535">
        <v>153.49100000000001</v>
      </c>
      <c r="D535" t="s">
        <v>197</v>
      </c>
      <c r="E535">
        <v>2016</v>
      </c>
      <c r="F535">
        <v>9</v>
      </c>
    </row>
    <row r="536" spans="1:6" x14ac:dyDescent="0.55000000000000004">
      <c r="A536" t="s">
        <v>71</v>
      </c>
      <c r="B536" t="s">
        <v>58</v>
      </c>
      <c r="C536">
        <v>208956</v>
      </c>
      <c r="D536" t="s">
        <v>197</v>
      </c>
      <c r="E536">
        <v>2016</v>
      </c>
      <c r="F536">
        <v>9</v>
      </c>
    </row>
    <row r="537" spans="1:6" x14ac:dyDescent="0.55000000000000004">
      <c r="A537" t="s">
        <v>71</v>
      </c>
      <c r="B537" t="s">
        <v>59</v>
      </c>
      <c r="C537">
        <v>0</v>
      </c>
      <c r="D537" t="s">
        <v>197</v>
      </c>
      <c r="E537">
        <v>2016</v>
      </c>
      <c r="F537">
        <v>9</v>
      </c>
    </row>
    <row r="538" spans="1:6" x14ac:dyDescent="0.55000000000000004">
      <c r="A538" t="s">
        <v>71</v>
      </c>
      <c r="B538" t="s">
        <v>60</v>
      </c>
      <c r="C538">
        <v>2157780.6063000001</v>
      </c>
      <c r="D538" t="s">
        <v>197</v>
      </c>
      <c r="E538">
        <v>2016</v>
      </c>
      <c r="F538">
        <v>9</v>
      </c>
    </row>
    <row r="539" spans="1:6" x14ac:dyDescent="0.55000000000000004">
      <c r="A539" t="s">
        <v>71</v>
      </c>
      <c r="B539" t="s">
        <v>61</v>
      </c>
      <c r="C539">
        <v>0</v>
      </c>
      <c r="D539" t="s">
        <v>197</v>
      </c>
      <c r="E539">
        <v>2016</v>
      </c>
      <c r="F539">
        <v>9</v>
      </c>
    </row>
    <row r="540" spans="1:6" x14ac:dyDescent="0.55000000000000004">
      <c r="A540" t="s">
        <v>71</v>
      </c>
      <c r="B540" t="s">
        <v>62</v>
      </c>
      <c r="C540">
        <v>1106.9396999999999</v>
      </c>
      <c r="D540" t="s">
        <v>197</v>
      </c>
      <c r="E540">
        <v>2016</v>
      </c>
      <c r="F540">
        <v>9</v>
      </c>
    </row>
    <row r="541" spans="1:6" x14ac:dyDescent="0.55000000000000004">
      <c r="A541" t="s">
        <v>71</v>
      </c>
      <c r="B541" t="s">
        <v>63</v>
      </c>
      <c r="C541">
        <v>359.52569999999997</v>
      </c>
      <c r="D541" t="s">
        <v>197</v>
      </c>
      <c r="E541">
        <v>2016</v>
      </c>
      <c r="F541">
        <v>9</v>
      </c>
    </row>
    <row r="542" spans="1:6" x14ac:dyDescent="0.55000000000000004">
      <c r="A542" t="s">
        <v>72</v>
      </c>
      <c r="B542" t="s">
        <v>4</v>
      </c>
      <c r="C542">
        <v>9898002.3587999996</v>
      </c>
      <c r="D542" t="s">
        <v>198</v>
      </c>
      <c r="E542">
        <v>2016</v>
      </c>
      <c r="F542">
        <v>10</v>
      </c>
    </row>
    <row r="543" spans="1:6" x14ac:dyDescent="0.55000000000000004">
      <c r="A543" t="s">
        <v>72</v>
      </c>
      <c r="B543" t="s">
        <v>5</v>
      </c>
      <c r="C543">
        <v>1315433.1276</v>
      </c>
      <c r="D543" t="s">
        <v>198</v>
      </c>
      <c r="E543">
        <v>2016</v>
      </c>
      <c r="F543">
        <v>10</v>
      </c>
    </row>
    <row r="544" spans="1:6" x14ac:dyDescent="0.55000000000000004">
      <c r="A544" t="s">
        <v>72</v>
      </c>
      <c r="B544" t="s">
        <v>6</v>
      </c>
      <c r="C544">
        <v>1546796.9454999999</v>
      </c>
      <c r="D544" t="s">
        <v>198</v>
      </c>
      <c r="E544">
        <v>2016</v>
      </c>
      <c r="F544">
        <v>10</v>
      </c>
    </row>
    <row r="545" spans="1:6" x14ac:dyDescent="0.55000000000000004">
      <c r="A545" t="s">
        <v>72</v>
      </c>
      <c r="B545" t="s">
        <v>7</v>
      </c>
      <c r="C545">
        <v>3439257.5147000002</v>
      </c>
      <c r="D545" t="s">
        <v>198</v>
      </c>
      <c r="E545">
        <v>2016</v>
      </c>
      <c r="F545">
        <v>10</v>
      </c>
    </row>
    <row r="546" spans="1:6" x14ac:dyDescent="0.55000000000000004">
      <c r="A546" t="s">
        <v>72</v>
      </c>
      <c r="B546" t="s">
        <v>8</v>
      </c>
      <c r="C546">
        <v>3596514.7710000002</v>
      </c>
      <c r="D546" t="s">
        <v>198</v>
      </c>
      <c r="E546">
        <v>2016</v>
      </c>
      <c r="F546">
        <v>10</v>
      </c>
    </row>
    <row r="547" spans="1:6" x14ac:dyDescent="0.55000000000000004">
      <c r="A547" t="s">
        <v>72</v>
      </c>
      <c r="B547" t="s">
        <v>9</v>
      </c>
      <c r="C547">
        <v>0</v>
      </c>
      <c r="D547" t="s">
        <v>198</v>
      </c>
      <c r="E547">
        <v>2016</v>
      </c>
      <c r="F547">
        <v>10</v>
      </c>
    </row>
    <row r="548" spans="1:6" x14ac:dyDescent="0.55000000000000004">
      <c r="A548" t="s">
        <v>72</v>
      </c>
      <c r="B548" t="s">
        <v>10</v>
      </c>
      <c r="C548">
        <v>2567.0832999999998</v>
      </c>
      <c r="D548" t="s">
        <v>198</v>
      </c>
      <c r="E548">
        <v>2016</v>
      </c>
      <c r="F548">
        <v>10</v>
      </c>
    </row>
    <row r="549" spans="1:6" x14ac:dyDescent="0.55000000000000004">
      <c r="A549" t="s">
        <v>72</v>
      </c>
      <c r="B549" t="s">
        <v>11</v>
      </c>
      <c r="C549">
        <v>3362927.9485999998</v>
      </c>
      <c r="D549" t="s">
        <v>198</v>
      </c>
      <c r="E549">
        <v>2016</v>
      </c>
      <c r="F549">
        <v>10</v>
      </c>
    </row>
    <row r="550" spans="1:6" x14ac:dyDescent="0.55000000000000004">
      <c r="A550" t="s">
        <v>72</v>
      </c>
      <c r="B550" t="s">
        <v>12</v>
      </c>
      <c r="C550">
        <v>24508.5821</v>
      </c>
      <c r="D550" t="s">
        <v>198</v>
      </c>
      <c r="E550">
        <v>2016</v>
      </c>
      <c r="F550">
        <v>10</v>
      </c>
    </row>
    <row r="551" spans="1:6" x14ac:dyDescent="0.55000000000000004">
      <c r="A551" t="s">
        <v>72</v>
      </c>
      <c r="B551" t="s">
        <v>13</v>
      </c>
      <c r="C551">
        <v>7728</v>
      </c>
      <c r="D551" t="s">
        <v>198</v>
      </c>
      <c r="E551">
        <v>2016</v>
      </c>
      <c r="F551">
        <v>10</v>
      </c>
    </row>
    <row r="552" spans="1:6" x14ac:dyDescent="0.55000000000000004">
      <c r="A552" t="s">
        <v>72</v>
      </c>
      <c r="B552" t="s">
        <v>14</v>
      </c>
      <c r="C552">
        <v>0</v>
      </c>
      <c r="D552" t="s">
        <v>198</v>
      </c>
      <c r="E552">
        <v>2016</v>
      </c>
      <c r="F552">
        <v>10</v>
      </c>
    </row>
    <row r="553" spans="1:6" x14ac:dyDescent="0.55000000000000004">
      <c r="A553" t="s">
        <v>72</v>
      </c>
      <c r="B553" t="s">
        <v>15</v>
      </c>
      <c r="C553">
        <v>1230415.6133000001</v>
      </c>
      <c r="D553" t="s">
        <v>198</v>
      </c>
      <c r="E553">
        <v>2016</v>
      </c>
      <c r="F553">
        <v>10</v>
      </c>
    </row>
    <row r="554" spans="1:6" x14ac:dyDescent="0.55000000000000004">
      <c r="A554" t="s">
        <v>72</v>
      </c>
      <c r="B554" t="s">
        <v>16</v>
      </c>
      <c r="C554">
        <v>0</v>
      </c>
      <c r="D554" t="s">
        <v>198</v>
      </c>
      <c r="E554">
        <v>2016</v>
      </c>
      <c r="F554">
        <v>10</v>
      </c>
    </row>
    <row r="555" spans="1:6" x14ac:dyDescent="0.55000000000000004">
      <c r="A555" t="s">
        <v>72</v>
      </c>
      <c r="B555" t="s">
        <v>17</v>
      </c>
      <c r="C555">
        <v>42708.583299999998</v>
      </c>
      <c r="D555" t="s">
        <v>198</v>
      </c>
      <c r="E555">
        <v>2016</v>
      </c>
      <c r="F555">
        <v>10</v>
      </c>
    </row>
    <row r="556" spans="1:6" x14ac:dyDescent="0.55000000000000004">
      <c r="A556" t="s">
        <v>72</v>
      </c>
      <c r="B556" t="s">
        <v>18</v>
      </c>
      <c r="C556">
        <v>51866.333299999998</v>
      </c>
      <c r="D556" t="s">
        <v>198</v>
      </c>
      <c r="E556">
        <v>2016</v>
      </c>
      <c r="F556">
        <v>10</v>
      </c>
    </row>
    <row r="557" spans="1:6" x14ac:dyDescent="0.55000000000000004">
      <c r="A557" t="s">
        <v>72</v>
      </c>
      <c r="B557" t="s">
        <v>19</v>
      </c>
      <c r="C557">
        <v>0</v>
      </c>
      <c r="D557" t="s">
        <v>198</v>
      </c>
      <c r="E557">
        <v>2016</v>
      </c>
      <c r="F557">
        <v>10</v>
      </c>
    </row>
    <row r="558" spans="1:6" x14ac:dyDescent="0.55000000000000004">
      <c r="A558" t="s">
        <v>72</v>
      </c>
      <c r="B558" t="s">
        <v>20</v>
      </c>
      <c r="C558">
        <v>3007</v>
      </c>
      <c r="D558" t="s">
        <v>198</v>
      </c>
      <c r="E558">
        <v>2016</v>
      </c>
      <c r="F558">
        <v>10</v>
      </c>
    </row>
    <row r="559" spans="1:6" x14ac:dyDescent="0.55000000000000004">
      <c r="A559" t="s">
        <v>72</v>
      </c>
      <c r="B559" t="s">
        <v>21</v>
      </c>
      <c r="C559">
        <v>967.51170000000002</v>
      </c>
      <c r="D559" t="s">
        <v>198</v>
      </c>
      <c r="E559">
        <v>2016</v>
      </c>
      <c r="F559">
        <v>10</v>
      </c>
    </row>
    <row r="560" spans="1:6" x14ac:dyDescent="0.55000000000000004">
      <c r="A560" t="s">
        <v>72</v>
      </c>
      <c r="B560" t="s">
        <v>22</v>
      </c>
      <c r="C560">
        <v>105171.1838</v>
      </c>
      <c r="D560" t="s">
        <v>198</v>
      </c>
      <c r="E560">
        <v>2016</v>
      </c>
      <c r="F560">
        <v>10</v>
      </c>
    </row>
    <row r="561" spans="1:6" x14ac:dyDescent="0.55000000000000004">
      <c r="A561" t="s">
        <v>72</v>
      </c>
      <c r="B561" t="s">
        <v>23</v>
      </c>
      <c r="C561">
        <v>11172.416800000001</v>
      </c>
      <c r="D561" t="s">
        <v>198</v>
      </c>
      <c r="E561">
        <v>2016</v>
      </c>
      <c r="F561">
        <v>10</v>
      </c>
    </row>
    <row r="562" spans="1:6" x14ac:dyDescent="0.55000000000000004">
      <c r="A562" t="s">
        <v>72</v>
      </c>
      <c r="B562" t="s">
        <v>24</v>
      </c>
      <c r="C562">
        <v>0</v>
      </c>
      <c r="D562" t="s">
        <v>198</v>
      </c>
      <c r="E562">
        <v>2016</v>
      </c>
      <c r="F562">
        <v>10</v>
      </c>
    </row>
    <row r="563" spans="1:6" x14ac:dyDescent="0.55000000000000004">
      <c r="A563" t="s">
        <v>72</v>
      </c>
      <c r="B563" t="s">
        <v>25</v>
      </c>
      <c r="C563">
        <v>209900.1666</v>
      </c>
      <c r="D563" t="s">
        <v>198</v>
      </c>
      <c r="E563">
        <v>2016</v>
      </c>
      <c r="F563">
        <v>10</v>
      </c>
    </row>
    <row r="564" spans="1:6" x14ac:dyDescent="0.55000000000000004">
      <c r="A564" t="s">
        <v>72</v>
      </c>
      <c r="B564" t="s">
        <v>26</v>
      </c>
      <c r="C564">
        <v>0</v>
      </c>
      <c r="D564" t="s">
        <v>198</v>
      </c>
      <c r="E564">
        <v>2016</v>
      </c>
      <c r="F564">
        <v>10</v>
      </c>
    </row>
    <row r="565" spans="1:6" x14ac:dyDescent="0.55000000000000004">
      <c r="A565" t="s">
        <v>72</v>
      </c>
      <c r="B565" t="s">
        <v>27</v>
      </c>
      <c r="C565">
        <v>1678.4073000000001</v>
      </c>
      <c r="D565" t="s">
        <v>198</v>
      </c>
      <c r="E565">
        <v>2016</v>
      </c>
      <c r="F565">
        <v>10</v>
      </c>
    </row>
    <row r="566" spans="1:6" x14ac:dyDescent="0.55000000000000004">
      <c r="A566" t="s">
        <v>72</v>
      </c>
      <c r="B566" t="s">
        <v>28</v>
      </c>
      <c r="C566">
        <v>47110.299200000001</v>
      </c>
      <c r="D566" t="s">
        <v>198</v>
      </c>
      <c r="E566">
        <v>2016</v>
      </c>
      <c r="F566">
        <v>10</v>
      </c>
    </row>
    <row r="567" spans="1:6" x14ac:dyDescent="0.55000000000000004">
      <c r="A567" t="s">
        <v>72</v>
      </c>
      <c r="B567" t="s">
        <v>29</v>
      </c>
      <c r="C567">
        <v>18407.061300000001</v>
      </c>
      <c r="D567" t="s">
        <v>198</v>
      </c>
      <c r="E567">
        <v>2016</v>
      </c>
      <c r="F567">
        <v>10</v>
      </c>
    </row>
    <row r="568" spans="1:6" x14ac:dyDescent="0.55000000000000004">
      <c r="A568" t="s">
        <v>72</v>
      </c>
      <c r="B568" t="s">
        <v>30</v>
      </c>
      <c r="C568">
        <v>53.82</v>
      </c>
      <c r="D568" t="s">
        <v>198</v>
      </c>
      <c r="E568">
        <v>2016</v>
      </c>
      <c r="F568">
        <v>10</v>
      </c>
    </row>
    <row r="569" spans="1:6" x14ac:dyDescent="0.55000000000000004">
      <c r="A569" t="s">
        <v>72</v>
      </c>
      <c r="B569" t="s">
        <v>31</v>
      </c>
      <c r="C569">
        <v>7.4169999999999998</v>
      </c>
      <c r="D569" t="s">
        <v>198</v>
      </c>
      <c r="E569">
        <v>2016</v>
      </c>
      <c r="F569">
        <v>10</v>
      </c>
    </row>
    <row r="570" spans="1:6" x14ac:dyDescent="0.55000000000000004">
      <c r="A570" t="s">
        <v>72</v>
      </c>
      <c r="B570" t="s">
        <v>32</v>
      </c>
      <c r="C570">
        <v>65158.586000000003</v>
      </c>
      <c r="D570" t="s">
        <v>198</v>
      </c>
      <c r="E570">
        <v>2016</v>
      </c>
      <c r="F570">
        <v>10</v>
      </c>
    </row>
    <row r="571" spans="1:6" x14ac:dyDescent="0.55000000000000004">
      <c r="A571" t="s">
        <v>72</v>
      </c>
      <c r="B571" t="s">
        <v>33</v>
      </c>
      <c r="C571">
        <v>433919.04749999999</v>
      </c>
      <c r="D571" t="s">
        <v>198</v>
      </c>
      <c r="E571">
        <v>2016</v>
      </c>
      <c r="F571">
        <v>10</v>
      </c>
    </row>
    <row r="572" spans="1:6" x14ac:dyDescent="0.55000000000000004">
      <c r="A572" t="s">
        <v>72</v>
      </c>
      <c r="B572" t="s">
        <v>34</v>
      </c>
      <c r="C572">
        <v>901004.63179999997</v>
      </c>
      <c r="D572" t="s">
        <v>198</v>
      </c>
      <c r="E572">
        <v>2016</v>
      </c>
      <c r="F572">
        <v>10</v>
      </c>
    </row>
    <row r="573" spans="1:6" x14ac:dyDescent="0.55000000000000004">
      <c r="A573" t="s">
        <v>72</v>
      </c>
      <c r="B573" t="s">
        <v>35</v>
      </c>
      <c r="C573">
        <v>259.92959999999999</v>
      </c>
      <c r="D573" t="s">
        <v>198</v>
      </c>
      <c r="E573">
        <v>2016</v>
      </c>
      <c r="F573">
        <v>10</v>
      </c>
    </row>
    <row r="574" spans="1:6" x14ac:dyDescent="0.55000000000000004">
      <c r="A574" t="s">
        <v>72</v>
      </c>
      <c r="B574" t="s">
        <v>36</v>
      </c>
      <c r="C574">
        <v>53325.4643</v>
      </c>
      <c r="D574" t="s">
        <v>198</v>
      </c>
      <c r="E574">
        <v>2016</v>
      </c>
      <c r="F574">
        <v>10</v>
      </c>
    </row>
    <row r="575" spans="1:6" x14ac:dyDescent="0.55000000000000004">
      <c r="A575" t="s">
        <v>72</v>
      </c>
      <c r="B575" t="s">
        <v>37</v>
      </c>
      <c r="C575">
        <v>22754.992300000002</v>
      </c>
      <c r="D575" t="s">
        <v>198</v>
      </c>
      <c r="E575">
        <v>2016</v>
      </c>
      <c r="F575">
        <v>10</v>
      </c>
    </row>
    <row r="576" spans="1:6" x14ac:dyDescent="0.55000000000000004">
      <c r="A576" t="s">
        <v>72</v>
      </c>
      <c r="B576" t="s">
        <v>38</v>
      </c>
      <c r="C576">
        <v>0</v>
      </c>
      <c r="D576" t="s">
        <v>198</v>
      </c>
      <c r="E576">
        <v>2016</v>
      </c>
      <c r="F576">
        <v>10</v>
      </c>
    </row>
    <row r="577" spans="1:6" x14ac:dyDescent="0.55000000000000004">
      <c r="A577" t="s">
        <v>72</v>
      </c>
      <c r="B577" t="s">
        <v>39</v>
      </c>
      <c r="C577">
        <v>12427.0416</v>
      </c>
      <c r="D577" t="s">
        <v>198</v>
      </c>
      <c r="E577">
        <v>2016</v>
      </c>
      <c r="F577">
        <v>10</v>
      </c>
    </row>
    <row r="578" spans="1:6" x14ac:dyDescent="0.55000000000000004">
      <c r="A578" t="s">
        <v>72</v>
      </c>
      <c r="B578" t="s">
        <v>40</v>
      </c>
      <c r="C578">
        <v>775.27790000000005</v>
      </c>
      <c r="D578" t="s">
        <v>198</v>
      </c>
      <c r="E578">
        <v>2016</v>
      </c>
      <c r="F578">
        <v>10</v>
      </c>
    </row>
    <row r="579" spans="1:6" x14ac:dyDescent="0.55000000000000004">
      <c r="A579" t="s">
        <v>72</v>
      </c>
      <c r="B579" t="s">
        <v>41</v>
      </c>
      <c r="C579">
        <v>174232.984</v>
      </c>
      <c r="D579" t="s">
        <v>198</v>
      </c>
      <c r="E579">
        <v>2016</v>
      </c>
      <c r="F579">
        <v>10</v>
      </c>
    </row>
    <row r="580" spans="1:6" x14ac:dyDescent="0.55000000000000004">
      <c r="A580" t="s">
        <v>72</v>
      </c>
      <c r="B580" t="s">
        <v>42</v>
      </c>
      <c r="C580">
        <v>296.96820000000002</v>
      </c>
      <c r="D580" t="s">
        <v>198</v>
      </c>
      <c r="E580">
        <v>2016</v>
      </c>
      <c r="F580">
        <v>10</v>
      </c>
    </row>
    <row r="581" spans="1:6" x14ac:dyDescent="0.55000000000000004">
      <c r="A581" t="s">
        <v>72</v>
      </c>
      <c r="B581" t="s">
        <v>43</v>
      </c>
      <c r="C581">
        <v>56638.193200000002</v>
      </c>
      <c r="D581" t="s">
        <v>198</v>
      </c>
      <c r="E581">
        <v>2016</v>
      </c>
      <c r="F581">
        <v>10</v>
      </c>
    </row>
    <row r="582" spans="1:6" x14ac:dyDescent="0.55000000000000004">
      <c r="A582" t="s">
        <v>72</v>
      </c>
      <c r="B582" t="s">
        <v>44</v>
      </c>
      <c r="C582">
        <v>0</v>
      </c>
      <c r="D582" t="s">
        <v>198</v>
      </c>
      <c r="E582">
        <v>2016</v>
      </c>
      <c r="F582">
        <v>10</v>
      </c>
    </row>
    <row r="583" spans="1:6" x14ac:dyDescent="0.55000000000000004">
      <c r="A583" t="s">
        <v>72</v>
      </c>
      <c r="B583" t="s">
        <v>45</v>
      </c>
      <c r="C583">
        <v>5650.0257000000001</v>
      </c>
      <c r="D583" t="s">
        <v>198</v>
      </c>
      <c r="E583">
        <v>2016</v>
      </c>
      <c r="F583">
        <v>10</v>
      </c>
    </row>
    <row r="584" spans="1:6" x14ac:dyDescent="0.55000000000000004">
      <c r="A584" t="s">
        <v>72</v>
      </c>
      <c r="B584" t="s">
        <v>46</v>
      </c>
      <c r="C584">
        <v>141544.51319999999</v>
      </c>
      <c r="D584" t="s">
        <v>198</v>
      </c>
      <c r="E584">
        <v>2016</v>
      </c>
      <c r="F584">
        <v>10</v>
      </c>
    </row>
    <row r="585" spans="1:6" x14ac:dyDescent="0.55000000000000004">
      <c r="A585" t="s">
        <v>72</v>
      </c>
      <c r="B585" t="s">
        <v>47</v>
      </c>
      <c r="C585">
        <v>0</v>
      </c>
      <c r="D585" t="s">
        <v>198</v>
      </c>
      <c r="E585">
        <v>2016</v>
      </c>
      <c r="F585">
        <v>10</v>
      </c>
    </row>
    <row r="586" spans="1:6" x14ac:dyDescent="0.55000000000000004">
      <c r="A586" t="s">
        <v>72</v>
      </c>
      <c r="B586" t="s">
        <v>48</v>
      </c>
      <c r="C586">
        <v>589868.07999999996</v>
      </c>
      <c r="D586" t="s">
        <v>198</v>
      </c>
      <c r="E586">
        <v>2016</v>
      </c>
      <c r="F586">
        <v>10</v>
      </c>
    </row>
    <row r="587" spans="1:6" x14ac:dyDescent="0.55000000000000004">
      <c r="A587" t="s">
        <v>72</v>
      </c>
      <c r="B587" t="s">
        <v>49</v>
      </c>
      <c r="C587">
        <v>2387.3438000000001</v>
      </c>
      <c r="D587" t="s">
        <v>198</v>
      </c>
      <c r="E587">
        <v>2016</v>
      </c>
      <c r="F587">
        <v>10</v>
      </c>
    </row>
    <row r="588" spans="1:6" x14ac:dyDescent="0.55000000000000004">
      <c r="A588" t="s">
        <v>72</v>
      </c>
      <c r="B588" t="s">
        <v>50</v>
      </c>
      <c r="C588">
        <v>38803.308199999999</v>
      </c>
      <c r="D588" t="s">
        <v>198</v>
      </c>
      <c r="E588">
        <v>2016</v>
      </c>
      <c r="F588">
        <v>10</v>
      </c>
    </row>
    <row r="589" spans="1:6" x14ac:dyDescent="0.55000000000000004">
      <c r="A589" t="s">
        <v>72</v>
      </c>
      <c r="B589" t="s">
        <v>51</v>
      </c>
      <c r="C589">
        <v>1812.6702</v>
      </c>
      <c r="D589" t="s">
        <v>198</v>
      </c>
      <c r="E589">
        <v>2016</v>
      </c>
      <c r="F589">
        <v>10</v>
      </c>
    </row>
    <row r="590" spans="1:6" x14ac:dyDescent="0.55000000000000004">
      <c r="A590" t="s">
        <v>72</v>
      </c>
      <c r="B590" t="s">
        <v>52</v>
      </c>
      <c r="C590">
        <v>119.9239</v>
      </c>
      <c r="D590" t="s">
        <v>198</v>
      </c>
      <c r="E590">
        <v>2016</v>
      </c>
      <c r="F590">
        <v>10</v>
      </c>
    </row>
    <row r="591" spans="1:6" x14ac:dyDescent="0.55000000000000004">
      <c r="A591" t="s">
        <v>72</v>
      </c>
      <c r="B591" t="s">
        <v>53</v>
      </c>
      <c r="C591">
        <v>69022.64</v>
      </c>
      <c r="D591" t="s">
        <v>198</v>
      </c>
      <c r="E591">
        <v>2016</v>
      </c>
      <c r="F591">
        <v>10</v>
      </c>
    </row>
    <row r="592" spans="1:6" x14ac:dyDescent="0.55000000000000004">
      <c r="A592" t="s">
        <v>72</v>
      </c>
      <c r="B592" t="s">
        <v>54</v>
      </c>
      <c r="C592">
        <v>11174.753000000001</v>
      </c>
      <c r="D592" t="s">
        <v>198</v>
      </c>
      <c r="E592">
        <v>2016</v>
      </c>
      <c r="F592">
        <v>10</v>
      </c>
    </row>
    <row r="593" spans="1:6" x14ac:dyDescent="0.55000000000000004">
      <c r="A593" t="s">
        <v>72</v>
      </c>
      <c r="B593" t="s">
        <v>55</v>
      </c>
      <c r="C593">
        <v>10946.9658</v>
      </c>
      <c r="D593" t="s">
        <v>198</v>
      </c>
      <c r="E593">
        <v>2016</v>
      </c>
      <c r="F593">
        <v>10</v>
      </c>
    </row>
    <row r="594" spans="1:6" x14ac:dyDescent="0.55000000000000004">
      <c r="A594" t="s">
        <v>72</v>
      </c>
      <c r="B594" t="s">
        <v>56</v>
      </c>
      <c r="C594">
        <v>1282.3333</v>
      </c>
      <c r="D594" t="s">
        <v>198</v>
      </c>
      <c r="E594">
        <v>2016</v>
      </c>
      <c r="F594">
        <v>10</v>
      </c>
    </row>
    <row r="595" spans="1:6" x14ac:dyDescent="0.55000000000000004">
      <c r="A595" t="s">
        <v>72</v>
      </c>
      <c r="B595" t="s">
        <v>57</v>
      </c>
      <c r="C595">
        <v>228.51329999999999</v>
      </c>
      <c r="D595" t="s">
        <v>198</v>
      </c>
      <c r="E595">
        <v>2016</v>
      </c>
      <c r="F595">
        <v>10</v>
      </c>
    </row>
    <row r="596" spans="1:6" x14ac:dyDescent="0.55000000000000004">
      <c r="A596" t="s">
        <v>72</v>
      </c>
      <c r="B596" t="s">
        <v>58</v>
      </c>
      <c r="C596">
        <v>209144</v>
      </c>
      <c r="D596" t="s">
        <v>198</v>
      </c>
      <c r="E596">
        <v>2016</v>
      </c>
      <c r="F596">
        <v>10</v>
      </c>
    </row>
    <row r="597" spans="1:6" x14ac:dyDescent="0.55000000000000004">
      <c r="A597" t="s">
        <v>72</v>
      </c>
      <c r="B597" t="s">
        <v>59</v>
      </c>
      <c r="C597">
        <v>0</v>
      </c>
      <c r="D597" t="s">
        <v>198</v>
      </c>
      <c r="E597">
        <v>2016</v>
      </c>
      <c r="F597">
        <v>10</v>
      </c>
    </row>
    <row r="598" spans="1:6" x14ac:dyDescent="0.55000000000000004">
      <c r="A598" t="s">
        <v>72</v>
      </c>
      <c r="B598" t="s">
        <v>60</v>
      </c>
      <c r="C598">
        <v>1973594.7790000001</v>
      </c>
      <c r="D598" t="s">
        <v>198</v>
      </c>
      <c r="E598">
        <v>2016</v>
      </c>
      <c r="F598">
        <v>10</v>
      </c>
    </row>
    <row r="599" spans="1:6" x14ac:dyDescent="0.55000000000000004">
      <c r="A599" t="s">
        <v>72</v>
      </c>
      <c r="B599" t="s">
        <v>61</v>
      </c>
      <c r="C599">
        <v>0</v>
      </c>
      <c r="D599" t="s">
        <v>198</v>
      </c>
      <c r="E599">
        <v>2016</v>
      </c>
      <c r="F599">
        <v>10</v>
      </c>
    </row>
    <row r="600" spans="1:6" x14ac:dyDescent="0.55000000000000004">
      <c r="A600" t="s">
        <v>72</v>
      </c>
      <c r="B600" t="s">
        <v>62</v>
      </c>
      <c r="C600">
        <v>771.10969999999998</v>
      </c>
      <c r="D600" t="s">
        <v>198</v>
      </c>
      <c r="E600">
        <v>2016</v>
      </c>
      <c r="F600">
        <v>10</v>
      </c>
    </row>
    <row r="601" spans="1:6" x14ac:dyDescent="0.55000000000000004">
      <c r="A601" t="s">
        <v>72</v>
      </c>
      <c r="B601" t="s">
        <v>63</v>
      </c>
      <c r="C601">
        <v>660.85569999999996</v>
      </c>
      <c r="D601" t="s">
        <v>198</v>
      </c>
      <c r="E601">
        <v>2016</v>
      </c>
      <c r="F601">
        <v>10</v>
      </c>
    </row>
    <row r="602" spans="1:6" x14ac:dyDescent="0.55000000000000004">
      <c r="A602" t="s">
        <v>73</v>
      </c>
      <c r="B602" t="s">
        <v>4</v>
      </c>
      <c r="C602">
        <v>9948661.2468999997</v>
      </c>
      <c r="D602" t="s">
        <v>199</v>
      </c>
      <c r="E602">
        <v>2016</v>
      </c>
      <c r="F602">
        <v>11</v>
      </c>
    </row>
    <row r="603" spans="1:6" x14ac:dyDescent="0.55000000000000004">
      <c r="A603" t="s">
        <v>73</v>
      </c>
      <c r="B603" t="s">
        <v>5</v>
      </c>
      <c r="C603">
        <v>1437118.7027</v>
      </c>
      <c r="D603" t="s">
        <v>199</v>
      </c>
      <c r="E603">
        <v>2016</v>
      </c>
      <c r="F603">
        <v>11</v>
      </c>
    </row>
    <row r="604" spans="1:6" x14ac:dyDescent="0.55000000000000004">
      <c r="A604" t="s">
        <v>73</v>
      </c>
      <c r="B604" t="s">
        <v>6</v>
      </c>
      <c r="C604">
        <v>1550857.1906999999</v>
      </c>
      <c r="D604" t="s">
        <v>199</v>
      </c>
      <c r="E604">
        <v>2016</v>
      </c>
      <c r="F604">
        <v>11</v>
      </c>
    </row>
    <row r="605" spans="1:6" x14ac:dyDescent="0.55000000000000004">
      <c r="A605" t="s">
        <v>73</v>
      </c>
      <c r="B605" t="s">
        <v>7</v>
      </c>
      <c r="C605">
        <v>3384675.2615</v>
      </c>
      <c r="D605" t="s">
        <v>199</v>
      </c>
      <c r="E605">
        <v>2016</v>
      </c>
      <c r="F605">
        <v>11</v>
      </c>
    </row>
    <row r="606" spans="1:6" x14ac:dyDescent="0.55000000000000004">
      <c r="A606" t="s">
        <v>73</v>
      </c>
      <c r="B606" t="s">
        <v>8</v>
      </c>
      <c r="C606">
        <v>3576010.0920000002</v>
      </c>
      <c r="D606" t="s">
        <v>199</v>
      </c>
      <c r="E606">
        <v>2016</v>
      </c>
      <c r="F606">
        <v>11</v>
      </c>
    </row>
    <row r="607" spans="1:6" x14ac:dyDescent="0.55000000000000004">
      <c r="A607" t="s">
        <v>73</v>
      </c>
      <c r="B607" t="s">
        <v>9</v>
      </c>
      <c r="C607">
        <v>380</v>
      </c>
      <c r="D607" t="s">
        <v>199</v>
      </c>
      <c r="E607">
        <v>2016</v>
      </c>
      <c r="F607">
        <v>11</v>
      </c>
    </row>
    <row r="608" spans="1:6" x14ac:dyDescent="0.55000000000000004">
      <c r="A608" t="s">
        <v>73</v>
      </c>
      <c r="B608" t="s">
        <v>10</v>
      </c>
      <c r="C608">
        <v>2806.4167000000002</v>
      </c>
      <c r="D608" t="s">
        <v>199</v>
      </c>
      <c r="E608">
        <v>2016</v>
      </c>
      <c r="F608">
        <v>11</v>
      </c>
    </row>
    <row r="609" spans="1:6" x14ac:dyDescent="0.55000000000000004">
      <c r="A609" t="s">
        <v>73</v>
      </c>
      <c r="B609" t="s">
        <v>11</v>
      </c>
      <c r="C609">
        <v>3276941.2110000001</v>
      </c>
      <c r="D609" t="s">
        <v>199</v>
      </c>
      <c r="E609">
        <v>2016</v>
      </c>
      <c r="F609">
        <v>11</v>
      </c>
    </row>
    <row r="610" spans="1:6" x14ac:dyDescent="0.55000000000000004">
      <c r="A610" t="s">
        <v>73</v>
      </c>
      <c r="B610" t="s">
        <v>12</v>
      </c>
      <c r="C610">
        <v>19977.2729</v>
      </c>
      <c r="D610" t="s">
        <v>199</v>
      </c>
      <c r="E610">
        <v>2016</v>
      </c>
      <c r="F610">
        <v>11</v>
      </c>
    </row>
    <row r="611" spans="1:6" x14ac:dyDescent="0.55000000000000004">
      <c r="A611" t="s">
        <v>73</v>
      </c>
      <c r="B611" t="s">
        <v>13</v>
      </c>
      <c r="C611">
        <v>7669</v>
      </c>
      <c r="D611" t="s">
        <v>199</v>
      </c>
      <c r="E611">
        <v>2016</v>
      </c>
      <c r="F611">
        <v>11</v>
      </c>
    </row>
    <row r="612" spans="1:6" x14ac:dyDescent="0.55000000000000004">
      <c r="A612" t="s">
        <v>73</v>
      </c>
      <c r="B612" t="s">
        <v>14</v>
      </c>
      <c r="C612">
        <v>0</v>
      </c>
      <c r="D612" t="s">
        <v>199</v>
      </c>
      <c r="E612">
        <v>2016</v>
      </c>
      <c r="F612">
        <v>11</v>
      </c>
    </row>
    <row r="613" spans="1:6" x14ac:dyDescent="0.55000000000000004">
      <c r="A613" t="s">
        <v>73</v>
      </c>
      <c r="B613" t="s">
        <v>15</v>
      </c>
      <c r="C613">
        <v>1329845.8642</v>
      </c>
      <c r="D613" t="s">
        <v>199</v>
      </c>
      <c r="E613">
        <v>2016</v>
      </c>
      <c r="F613">
        <v>11</v>
      </c>
    </row>
    <row r="614" spans="1:6" x14ac:dyDescent="0.55000000000000004">
      <c r="A614" t="s">
        <v>73</v>
      </c>
      <c r="B614" t="s">
        <v>16</v>
      </c>
      <c r="C614">
        <v>0</v>
      </c>
      <c r="D614" t="s">
        <v>199</v>
      </c>
      <c r="E614">
        <v>2016</v>
      </c>
      <c r="F614">
        <v>11</v>
      </c>
    </row>
    <row r="615" spans="1:6" x14ac:dyDescent="0.55000000000000004">
      <c r="A615" t="s">
        <v>73</v>
      </c>
      <c r="B615" t="s">
        <v>17</v>
      </c>
      <c r="C615">
        <v>27875.873</v>
      </c>
      <c r="D615" t="s">
        <v>199</v>
      </c>
      <c r="E615">
        <v>2016</v>
      </c>
      <c r="F615">
        <v>11</v>
      </c>
    </row>
    <row r="616" spans="1:6" x14ac:dyDescent="0.55000000000000004">
      <c r="A616" t="s">
        <v>73</v>
      </c>
      <c r="B616" t="s">
        <v>18</v>
      </c>
      <c r="C616">
        <v>113595.4335</v>
      </c>
      <c r="D616" t="s">
        <v>199</v>
      </c>
      <c r="E616">
        <v>2016</v>
      </c>
      <c r="F616">
        <v>11</v>
      </c>
    </row>
    <row r="617" spans="1:6" x14ac:dyDescent="0.55000000000000004">
      <c r="A617" t="s">
        <v>73</v>
      </c>
      <c r="B617" t="s">
        <v>19</v>
      </c>
      <c r="C617">
        <v>300</v>
      </c>
      <c r="D617" t="s">
        <v>199</v>
      </c>
      <c r="E617">
        <v>2016</v>
      </c>
      <c r="F617">
        <v>11</v>
      </c>
    </row>
    <row r="618" spans="1:6" x14ac:dyDescent="0.55000000000000004">
      <c r="A618" t="s">
        <v>73</v>
      </c>
      <c r="B618" t="s">
        <v>20</v>
      </c>
      <c r="C618">
        <v>3520</v>
      </c>
      <c r="D618" t="s">
        <v>199</v>
      </c>
      <c r="E618">
        <v>2016</v>
      </c>
      <c r="F618">
        <v>11</v>
      </c>
    </row>
    <row r="619" spans="1:6" x14ac:dyDescent="0.55000000000000004">
      <c r="A619" t="s">
        <v>73</v>
      </c>
      <c r="B619" t="s">
        <v>21</v>
      </c>
      <c r="C619">
        <v>678.88599999999997</v>
      </c>
      <c r="D619" t="s">
        <v>199</v>
      </c>
      <c r="E619">
        <v>2016</v>
      </c>
      <c r="F619">
        <v>11</v>
      </c>
    </row>
    <row r="620" spans="1:6" x14ac:dyDescent="0.55000000000000004">
      <c r="A620" t="s">
        <v>73</v>
      </c>
      <c r="B620" t="s">
        <v>22</v>
      </c>
      <c r="C620">
        <v>86533.252800000002</v>
      </c>
      <c r="D620" t="s">
        <v>199</v>
      </c>
      <c r="E620">
        <v>2016</v>
      </c>
      <c r="F620">
        <v>11</v>
      </c>
    </row>
    <row r="621" spans="1:6" x14ac:dyDescent="0.55000000000000004">
      <c r="A621" t="s">
        <v>73</v>
      </c>
      <c r="B621" t="s">
        <v>23</v>
      </c>
      <c r="C621">
        <v>5305.0865000000003</v>
      </c>
      <c r="D621" t="s">
        <v>199</v>
      </c>
      <c r="E621">
        <v>2016</v>
      </c>
      <c r="F621">
        <v>11</v>
      </c>
    </row>
    <row r="622" spans="1:6" x14ac:dyDescent="0.55000000000000004">
      <c r="A622" t="s">
        <v>73</v>
      </c>
      <c r="B622" t="s">
        <v>24</v>
      </c>
      <c r="C622">
        <v>0</v>
      </c>
      <c r="D622" t="s">
        <v>199</v>
      </c>
      <c r="E622">
        <v>2016</v>
      </c>
      <c r="F622">
        <v>11</v>
      </c>
    </row>
    <row r="623" spans="1:6" x14ac:dyDescent="0.55000000000000004">
      <c r="A623" t="s">
        <v>73</v>
      </c>
      <c r="B623" t="s">
        <v>25</v>
      </c>
      <c r="C623">
        <v>214578.6833</v>
      </c>
      <c r="D623" t="s">
        <v>199</v>
      </c>
      <c r="E623">
        <v>2016</v>
      </c>
      <c r="F623">
        <v>11</v>
      </c>
    </row>
    <row r="624" spans="1:6" x14ac:dyDescent="0.55000000000000004">
      <c r="A624" t="s">
        <v>73</v>
      </c>
      <c r="B624" t="s">
        <v>26</v>
      </c>
      <c r="C624">
        <v>0</v>
      </c>
      <c r="D624" t="s">
        <v>199</v>
      </c>
      <c r="E624">
        <v>2016</v>
      </c>
      <c r="F624">
        <v>11</v>
      </c>
    </row>
    <row r="625" spans="1:6" x14ac:dyDescent="0.55000000000000004">
      <c r="A625" t="s">
        <v>73</v>
      </c>
      <c r="B625" t="s">
        <v>27</v>
      </c>
      <c r="C625">
        <v>4727.7786999999998</v>
      </c>
      <c r="D625" t="s">
        <v>199</v>
      </c>
      <c r="E625">
        <v>2016</v>
      </c>
      <c r="F625">
        <v>11</v>
      </c>
    </row>
    <row r="626" spans="1:6" x14ac:dyDescent="0.55000000000000004">
      <c r="A626" t="s">
        <v>73</v>
      </c>
      <c r="B626" t="s">
        <v>28</v>
      </c>
      <c r="C626">
        <v>57895.745600000002</v>
      </c>
      <c r="D626" t="s">
        <v>199</v>
      </c>
      <c r="E626">
        <v>2016</v>
      </c>
      <c r="F626">
        <v>11</v>
      </c>
    </row>
    <row r="627" spans="1:6" x14ac:dyDescent="0.55000000000000004">
      <c r="A627" t="s">
        <v>73</v>
      </c>
      <c r="B627" t="s">
        <v>29</v>
      </c>
      <c r="C627">
        <v>18810.883300000001</v>
      </c>
      <c r="D627" t="s">
        <v>199</v>
      </c>
      <c r="E627">
        <v>2016</v>
      </c>
      <c r="F627">
        <v>11</v>
      </c>
    </row>
    <row r="628" spans="1:6" x14ac:dyDescent="0.55000000000000004">
      <c r="A628" t="s">
        <v>73</v>
      </c>
      <c r="B628" t="s">
        <v>30</v>
      </c>
      <c r="C628">
        <v>59.93</v>
      </c>
      <c r="D628" t="s">
        <v>199</v>
      </c>
      <c r="E628">
        <v>2016</v>
      </c>
      <c r="F628">
        <v>11</v>
      </c>
    </row>
    <row r="629" spans="1:6" x14ac:dyDescent="0.55000000000000004">
      <c r="A629" t="s">
        <v>73</v>
      </c>
      <c r="B629" t="s">
        <v>31</v>
      </c>
      <c r="C629">
        <v>13.962</v>
      </c>
      <c r="D629" t="s">
        <v>199</v>
      </c>
      <c r="E629">
        <v>2016</v>
      </c>
      <c r="F629">
        <v>11</v>
      </c>
    </row>
    <row r="630" spans="1:6" x14ac:dyDescent="0.55000000000000004">
      <c r="A630" t="s">
        <v>73</v>
      </c>
      <c r="B630" t="s">
        <v>32</v>
      </c>
      <c r="C630">
        <v>148785.25200000001</v>
      </c>
      <c r="D630" t="s">
        <v>199</v>
      </c>
      <c r="E630">
        <v>2016</v>
      </c>
      <c r="F630">
        <v>11</v>
      </c>
    </row>
    <row r="631" spans="1:6" x14ac:dyDescent="0.55000000000000004">
      <c r="A631" t="s">
        <v>73</v>
      </c>
      <c r="B631" t="s">
        <v>33</v>
      </c>
      <c r="C631">
        <v>452605.22289999999</v>
      </c>
      <c r="D631" t="s">
        <v>199</v>
      </c>
      <c r="E631">
        <v>2016</v>
      </c>
      <c r="F631">
        <v>11</v>
      </c>
    </row>
    <row r="632" spans="1:6" x14ac:dyDescent="0.55000000000000004">
      <c r="A632" t="s">
        <v>73</v>
      </c>
      <c r="B632" t="s">
        <v>34</v>
      </c>
      <c r="C632">
        <v>742287.14520000003</v>
      </c>
      <c r="D632" t="s">
        <v>199</v>
      </c>
      <c r="E632">
        <v>2016</v>
      </c>
      <c r="F632">
        <v>11</v>
      </c>
    </row>
    <row r="633" spans="1:6" x14ac:dyDescent="0.55000000000000004">
      <c r="A633" t="s">
        <v>73</v>
      </c>
      <c r="B633" t="s">
        <v>35</v>
      </c>
      <c r="C633">
        <v>425.89609999999999</v>
      </c>
      <c r="D633" t="s">
        <v>199</v>
      </c>
      <c r="E633">
        <v>2016</v>
      </c>
      <c r="F633">
        <v>11</v>
      </c>
    </row>
    <row r="634" spans="1:6" x14ac:dyDescent="0.55000000000000004">
      <c r="A634" t="s">
        <v>73</v>
      </c>
      <c r="B634" t="s">
        <v>36</v>
      </c>
      <c r="C634">
        <v>59658.339500000002</v>
      </c>
      <c r="D634" t="s">
        <v>199</v>
      </c>
      <c r="E634">
        <v>2016</v>
      </c>
      <c r="F634">
        <v>11</v>
      </c>
    </row>
    <row r="635" spans="1:6" x14ac:dyDescent="0.55000000000000004">
      <c r="A635" t="s">
        <v>73</v>
      </c>
      <c r="B635" t="s">
        <v>37</v>
      </c>
      <c r="C635">
        <v>14379.6324</v>
      </c>
      <c r="D635" t="s">
        <v>199</v>
      </c>
      <c r="E635">
        <v>2016</v>
      </c>
      <c r="F635">
        <v>11</v>
      </c>
    </row>
    <row r="636" spans="1:6" x14ac:dyDescent="0.55000000000000004">
      <c r="A636" t="s">
        <v>73</v>
      </c>
      <c r="B636" t="s">
        <v>38</v>
      </c>
      <c r="C636">
        <v>0</v>
      </c>
      <c r="D636" t="s">
        <v>199</v>
      </c>
      <c r="E636">
        <v>2016</v>
      </c>
      <c r="F636">
        <v>11</v>
      </c>
    </row>
    <row r="637" spans="1:6" x14ac:dyDescent="0.55000000000000004">
      <c r="A637" t="s">
        <v>73</v>
      </c>
      <c r="B637" t="s">
        <v>39</v>
      </c>
      <c r="C637">
        <v>10566.028700000001</v>
      </c>
      <c r="D637" t="s">
        <v>199</v>
      </c>
      <c r="E637">
        <v>2016</v>
      </c>
      <c r="F637">
        <v>11</v>
      </c>
    </row>
    <row r="638" spans="1:6" x14ac:dyDescent="0.55000000000000004">
      <c r="A638" t="s">
        <v>73</v>
      </c>
      <c r="B638" t="s">
        <v>40</v>
      </c>
      <c r="C638">
        <v>2437.6079</v>
      </c>
      <c r="D638" t="s">
        <v>199</v>
      </c>
      <c r="E638">
        <v>2016</v>
      </c>
      <c r="F638">
        <v>11</v>
      </c>
    </row>
    <row r="639" spans="1:6" x14ac:dyDescent="0.55000000000000004">
      <c r="A639" t="s">
        <v>73</v>
      </c>
      <c r="B639" t="s">
        <v>41</v>
      </c>
      <c r="C639">
        <v>133681.0932</v>
      </c>
      <c r="D639" t="s">
        <v>199</v>
      </c>
      <c r="E639">
        <v>2016</v>
      </c>
      <c r="F639">
        <v>11</v>
      </c>
    </row>
    <row r="640" spans="1:6" x14ac:dyDescent="0.55000000000000004">
      <c r="A640" t="s">
        <v>73</v>
      </c>
      <c r="B640" t="s">
        <v>42</v>
      </c>
      <c r="C640">
        <v>69.386899999999997</v>
      </c>
      <c r="D640" t="s">
        <v>199</v>
      </c>
      <c r="E640">
        <v>2016</v>
      </c>
      <c r="F640">
        <v>11</v>
      </c>
    </row>
    <row r="641" spans="1:6" x14ac:dyDescent="0.55000000000000004">
      <c r="A641" t="s">
        <v>73</v>
      </c>
      <c r="B641" t="s">
        <v>43</v>
      </c>
      <c r="C641">
        <v>41976.894200000002</v>
      </c>
      <c r="D641" t="s">
        <v>199</v>
      </c>
      <c r="E641">
        <v>2016</v>
      </c>
      <c r="F641">
        <v>11</v>
      </c>
    </row>
    <row r="642" spans="1:6" x14ac:dyDescent="0.55000000000000004">
      <c r="A642" t="s">
        <v>73</v>
      </c>
      <c r="B642" t="s">
        <v>44</v>
      </c>
      <c r="C642">
        <v>0</v>
      </c>
      <c r="D642" t="s">
        <v>199</v>
      </c>
      <c r="E642">
        <v>2016</v>
      </c>
      <c r="F642">
        <v>11</v>
      </c>
    </row>
    <row r="643" spans="1:6" x14ac:dyDescent="0.55000000000000004">
      <c r="A643" t="s">
        <v>73</v>
      </c>
      <c r="B643" t="s">
        <v>45</v>
      </c>
      <c r="C643">
        <v>2662.6588999999999</v>
      </c>
      <c r="D643" t="s">
        <v>199</v>
      </c>
      <c r="E643">
        <v>2016</v>
      </c>
      <c r="F643">
        <v>11</v>
      </c>
    </row>
    <row r="644" spans="1:6" x14ac:dyDescent="0.55000000000000004">
      <c r="A644" t="s">
        <v>73</v>
      </c>
      <c r="B644" t="s">
        <v>46</v>
      </c>
      <c r="C644">
        <v>114088.33</v>
      </c>
      <c r="D644" t="s">
        <v>199</v>
      </c>
      <c r="E644">
        <v>2016</v>
      </c>
      <c r="F644">
        <v>11</v>
      </c>
    </row>
    <row r="645" spans="1:6" x14ac:dyDescent="0.55000000000000004">
      <c r="A645" t="s">
        <v>73</v>
      </c>
      <c r="B645" t="s">
        <v>47</v>
      </c>
      <c r="C645">
        <v>6.2474999999999996</v>
      </c>
      <c r="D645" t="s">
        <v>199</v>
      </c>
      <c r="E645">
        <v>2016</v>
      </c>
      <c r="F645">
        <v>11</v>
      </c>
    </row>
    <row r="646" spans="1:6" x14ac:dyDescent="0.55000000000000004">
      <c r="A646" t="s">
        <v>73</v>
      </c>
      <c r="B646" t="s">
        <v>48</v>
      </c>
      <c r="C646">
        <v>585249.07999999996</v>
      </c>
      <c r="D646" t="s">
        <v>199</v>
      </c>
      <c r="E646">
        <v>2016</v>
      </c>
      <c r="F646">
        <v>11</v>
      </c>
    </row>
    <row r="647" spans="1:6" x14ac:dyDescent="0.55000000000000004">
      <c r="A647" t="s">
        <v>73</v>
      </c>
      <c r="B647" t="s">
        <v>49</v>
      </c>
      <c r="C647">
        <v>2390.9989999999998</v>
      </c>
      <c r="D647" t="s">
        <v>199</v>
      </c>
      <c r="E647">
        <v>2016</v>
      </c>
      <c r="F647">
        <v>11</v>
      </c>
    </row>
    <row r="648" spans="1:6" x14ac:dyDescent="0.55000000000000004">
      <c r="A648" t="s">
        <v>73</v>
      </c>
      <c r="B648" t="s">
        <v>50</v>
      </c>
      <c r="C648">
        <v>36024.868499999997</v>
      </c>
      <c r="D648" t="s">
        <v>199</v>
      </c>
      <c r="E648">
        <v>2016</v>
      </c>
      <c r="F648">
        <v>11</v>
      </c>
    </row>
    <row r="649" spans="1:6" x14ac:dyDescent="0.55000000000000004">
      <c r="A649" t="s">
        <v>73</v>
      </c>
      <c r="B649" t="s">
        <v>51</v>
      </c>
      <c r="C649">
        <v>1399.3402000000001</v>
      </c>
      <c r="D649" t="s">
        <v>199</v>
      </c>
      <c r="E649">
        <v>2016</v>
      </c>
      <c r="F649">
        <v>11</v>
      </c>
    </row>
    <row r="650" spans="1:6" x14ac:dyDescent="0.55000000000000004">
      <c r="A650" t="s">
        <v>73</v>
      </c>
      <c r="B650" t="s">
        <v>52</v>
      </c>
      <c r="C650">
        <v>115.76090000000001</v>
      </c>
      <c r="D650" t="s">
        <v>199</v>
      </c>
      <c r="E650">
        <v>2016</v>
      </c>
      <c r="F650">
        <v>11</v>
      </c>
    </row>
    <row r="651" spans="1:6" x14ac:dyDescent="0.55000000000000004">
      <c r="A651" t="s">
        <v>73</v>
      </c>
      <c r="B651" t="s">
        <v>53</v>
      </c>
      <c r="C651">
        <v>80642.928</v>
      </c>
      <c r="D651" t="s">
        <v>199</v>
      </c>
      <c r="E651">
        <v>2016</v>
      </c>
      <c r="F651">
        <v>11</v>
      </c>
    </row>
    <row r="652" spans="1:6" x14ac:dyDescent="0.55000000000000004">
      <c r="A652" t="s">
        <v>73</v>
      </c>
      <c r="B652" t="s">
        <v>54</v>
      </c>
      <c r="C652">
        <v>10048.706</v>
      </c>
      <c r="D652" t="s">
        <v>199</v>
      </c>
      <c r="E652">
        <v>2016</v>
      </c>
      <c r="F652">
        <v>11</v>
      </c>
    </row>
    <row r="653" spans="1:6" x14ac:dyDescent="0.55000000000000004">
      <c r="A653" t="s">
        <v>73</v>
      </c>
      <c r="B653" t="s">
        <v>55</v>
      </c>
      <c r="C653">
        <v>13632.8158</v>
      </c>
      <c r="D653" t="s">
        <v>199</v>
      </c>
      <c r="E653">
        <v>2016</v>
      </c>
      <c r="F653">
        <v>11</v>
      </c>
    </row>
    <row r="654" spans="1:6" x14ac:dyDescent="0.55000000000000004">
      <c r="A654" t="s">
        <v>73</v>
      </c>
      <c r="B654" t="s">
        <v>56</v>
      </c>
      <c r="C654">
        <v>2496.9167000000002</v>
      </c>
      <c r="D654" t="s">
        <v>199</v>
      </c>
      <c r="E654">
        <v>2016</v>
      </c>
      <c r="F654">
        <v>11</v>
      </c>
    </row>
    <row r="655" spans="1:6" x14ac:dyDescent="0.55000000000000004">
      <c r="A655" t="s">
        <v>73</v>
      </c>
      <c r="B655" t="s">
        <v>57</v>
      </c>
      <c r="C655">
        <v>92.442899999999995</v>
      </c>
      <c r="D655" t="s">
        <v>199</v>
      </c>
      <c r="E655">
        <v>2016</v>
      </c>
      <c r="F655">
        <v>11</v>
      </c>
    </row>
    <row r="656" spans="1:6" x14ac:dyDescent="0.55000000000000004">
      <c r="A656" t="s">
        <v>73</v>
      </c>
      <c r="B656" t="s">
        <v>58</v>
      </c>
      <c r="C656">
        <v>407693</v>
      </c>
      <c r="D656" t="s">
        <v>199</v>
      </c>
      <c r="E656">
        <v>2016</v>
      </c>
      <c r="F656">
        <v>11</v>
      </c>
    </row>
    <row r="657" spans="1:6" x14ac:dyDescent="0.55000000000000004">
      <c r="A657" t="s">
        <v>73</v>
      </c>
      <c r="B657" t="s">
        <v>59</v>
      </c>
      <c r="C657">
        <v>0</v>
      </c>
      <c r="D657" t="s">
        <v>199</v>
      </c>
      <c r="E657">
        <v>2016</v>
      </c>
      <c r="F657">
        <v>11</v>
      </c>
    </row>
    <row r="658" spans="1:6" x14ac:dyDescent="0.55000000000000004">
      <c r="A658" t="s">
        <v>73</v>
      </c>
      <c r="B658" t="s">
        <v>60</v>
      </c>
      <c r="C658">
        <v>1909658.7386</v>
      </c>
      <c r="D658" t="s">
        <v>199</v>
      </c>
      <c r="E658">
        <v>2016</v>
      </c>
      <c r="F658">
        <v>11</v>
      </c>
    </row>
    <row r="659" spans="1:6" x14ac:dyDescent="0.55000000000000004">
      <c r="A659" t="s">
        <v>73</v>
      </c>
      <c r="B659" t="s">
        <v>61</v>
      </c>
      <c r="C659">
        <v>0</v>
      </c>
      <c r="D659" t="s">
        <v>199</v>
      </c>
      <c r="E659">
        <v>2016</v>
      </c>
      <c r="F659">
        <v>11</v>
      </c>
    </row>
    <row r="660" spans="1:6" x14ac:dyDescent="0.55000000000000004">
      <c r="A660" t="s">
        <v>73</v>
      </c>
      <c r="B660" t="s">
        <v>62</v>
      </c>
      <c r="C660">
        <v>3112.7797</v>
      </c>
      <c r="D660" t="s">
        <v>199</v>
      </c>
      <c r="E660">
        <v>2016</v>
      </c>
      <c r="F660">
        <v>11</v>
      </c>
    </row>
    <row r="661" spans="1:6" x14ac:dyDescent="0.55000000000000004">
      <c r="A661" t="s">
        <v>73</v>
      </c>
      <c r="B661" t="s">
        <v>63</v>
      </c>
      <c r="C661">
        <v>957.85569999999996</v>
      </c>
      <c r="D661" t="s">
        <v>199</v>
      </c>
      <c r="E661">
        <v>2016</v>
      </c>
      <c r="F661">
        <v>11</v>
      </c>
    </row>
    <row r="662" spans="1:6" x14ac:dyDescent="0.55000000000000004">
      <c r="A662" t="s">
        <v>74</v>
      </c>
      <c r="B662" t="s">
        <v>4</v>
      </c>
      <c r="C662">
        <v>10789553.6448</v>
      </c>
      <c r="D662" t="s">
        <v>200</v>
      </c>
      <c r="E662">
        <v>2016</v>
      </c>
      <c r="F662">
        <v>12</v>
      </c>
    </row>
    <row r="663" spans="1:6" x14ac:dyDescent="0.55000000000000004">
      <c r="A663" t="s">
        <v>74</v>
      </c>
      <c r="B663" t="s">
        <v>5</v>
      </c>
      <c r="C663">
        <v>1559980.2497</v>
      </c>
      <c r="D663" t="s">
        <v>200</v>
      </c>
      <c r="E663">
        <v>2016</v>
      </c>
      <c r="F663">
        <v>12</v>
      </c>
    </row>
    <row r="664" spans="1:6" x14ac:dyDescent="0.55000000000000004">
      <c r="A664" t="s">
        <v>74</v>
      </c>
      <c r="B664" t="s">
        <v>6</v>
      </c>
      <c r="C664">
        <v>1741004.3330000001</v>
      </c>
      <c r="D664" t="s">
        <v>200</v>
      </c>
      <c r="E664">
        <v>2016</v>
      </c>
      <c r="F664">
        <v>12</v>
      </c>
    </row>
    <row r="665" spans="1:6" x14ac:dyDescent="0.55000000000000004">
      <c r="A665" t="s">
        <v>74</v>
      </c>
      <c r="B665" t="s">
        <v>7</v>
      </c>
      <c r="C665">
        <v>3402804.7947999998</v>
      </c>
      <c r="D665" t="s">
        <v>200</v>
      </c>
      <c r="E665">
        <v>2016</v>
      </c>
      <c r="F665">
        <v>12</v>
      </c>
    </row>
    <row r="666" spans="1:6" x14ac:dyDescent="0.55000000000000004">
      <c r="A666" t="s">
        <v>74</v>
      </c>
      <c r="B666" t="s">
        <v>8</v>
      </c>
      <c r="C666">
        <v>4085764.2672999999</v>
      </c>
      <c r="D666" t="s">
        <v>200</v>
      </c>
      <c r="E666">
        <v>2016</v>
      </c>
      <c r="F666">
        <v>12</v>
      </c>
    </row>
    <row r="667" spans="1:6" x14ac:dyDescent="0.55000000000000004">
      <c r="A667" t="s">
        <v>74</v>
      </c>
      <c r="B667" t="s">
        <v>9</v>
      </c>
      <c r="C667">
        <v>2700</v>
      </c>
      <c r="D667" t="s">
        <v>200</v>
      </c>
      <c r="E667">
        <v>2016</v>
      </c>
      <c r="F667">
        <v>12</v>
      </c>
    </row>
    <row r="668" spans="1:6" x14ac:dyDescent="0.55000000000000004">
      <c r="A668" t="s">
        <v>74</v>
      </c>
      <c r="B668" t="s">
        <v>10</v>
      </c>
      <c r="C668">
        <v>3341.0333000000001</v>
      </c>
      <c r="D668" t="s">
        <v>200</v>
      </c>
      <c r="E668">
        <v>2016</v>
      </c>
      <c r="F668">
        <v>12</v>
      </c>
    </row>
    <row r="669" spans="1:6" x14ac:dyDescent="0.55000000000000004">
      <c r="A669" t="s">
        <v>74</v>
      </c>
      <c r="B669" t="s">
        <v>11</v>
      </c>
      <c r="C669">
        <v>3261882.1011999999</v>
      </c>
      <c r="D669" t="s">
        <v>200</v>
      </c>
      <c r="E669">
        <v>2016</v>
      </c>
      <c r="F669">
        <v>12</v>
      </c>
    </row>
    <row r="670" spans="1:6" x14ac:dyDescent="0.55000000000000004">
      <c r="A670" t="s">
        <v>74</v>
      </c>
      <c r="B670" t="s">
        <v>12</v>
      </c>
      <c r="C670">
        <v>32998.132100000003</v>
      </c>
      <c r="D670" t="s">
        <v>200</v>
      </c>
      <c r="E670">
        <v>2016</v>
      </c>
      <c r="F670">
        <v>12</v>
      </c>
    </row>
    <row r="671" spans="1:6" x14ac:dyDescent="0.55000000000000004">
      <c r="A671" t="s">
        <v>74</v>
      </c>
      <c r="B671" t="s">
        <v>13</v>
      </c>
      <c r="C671">
        <v>4988</v>
      </c>
      <c r="D671" t="s">
        <v>200</v>
      </c>
      <c r="E671">
        <v>2016</v>
      </c>
      <c r="F671">
        <v>12</v>
      </c>
    </row>
    <row r="672" spans="1:6" x14ac:dyDescent="0.55000000000000004">
      <c r="A672" t="s">
        <v>74</v>
      </c>
      <c r="B672" t="s">
        <v>14</v>
      </c>
      <c r="C672">
        <v>0</v>
      </c>
      <c r="D672" t="s">
        <v>200</v>
      </c>
      <c r="E672">
        <v>2016</v>
      </c>
      <c r="F672">
        <v>12</v>
      </c>
    </row>
    <row r="673" spans="1:6" x14ac:dyDescent="0.55000000000000004">
      <c r="A673" t="s">
        <v>74</v>
      </c>
      <c r="B673" t="s">
        <v>15</v>
      </c>
      <c r="C673">
        <v>1450206.3296999999</v>
      </c>
      <c r="D673" t="s">
        <v>200</v>
      </c>
      <c r="E673">
        <v>2016</v>
      </c>
      <c r="F673">
        <v>12</v>
      </c>
    </row>
    <row r="674" spans="1:6" x14ac:dyDescent="0.55000000000000004">
      <c r="A674" t="s">
        <v>74</v>
      </c>
      <c r="B674" t="s">
        <v>16</v>
      </c>
      <c r="C674">
        <v>0</v>
      </c>
      <c r="D674" t="s">
        <v>200</v>
      </c>
      <c r="E674">
        <v>2016</v>
      </c>
      <c r="F674">
        <v>12</v>
      </c>
    </row>
    <row r="675" spans="1:6" x14ac:dyDescent="0.55000000000000004">
      <c r="A675" t="s">
        <v>74</v>
      </c>
      <c r="B675" t="s">
        <v>17</v>
      </c>
      <c r="C675">
        <v>31308.35</v>
      </c>
      <c r="D675" t="s">
        <v>200</v>
      </c>
      <c r="E675">
        <v>2016</v>
      </c>
      <c r="F675">
        <v>12</v>
      </c>
    </row>
    <row r="676" spans="1:6" x14ac:dyDescent="0.55000000000000004">
      <c r="A676" t="s">
        <v>74</v>
      </c>
      <c r="B676" t="s">
        <v>18</v>
      </c>
      <c r="C676">
        <v>51873.200100000002</v>
      </c>
      <c r="D676" t="s">
        <v>200</v>
      </c>
      <c r="E676">
        <v>2016</v>
      </c>
      <c r="F676">
        <v>12</v>
      </c>
    </row>
    <row r="677" spans="1:6" x14ac:dyDescent="0.55000000000000004">
      <c r="A677" t="s">
        <v>74</v>
      </c>
      <c r="B677" t="s">
        <v>19</v>
      </c>
      <c r="C677">
        <v>900</v>
      </c>
      <c r="D677" t="s">
        <v>200</v>
      </c>
      <c r="E677">
        <v>2016</v>
      </c>
      <c r="F677">
        <v>12</v>
      </c>
    </row>
    <row r="678" spans="1:6" x14ac:dyDescent="0.55000000000000004">
      <c r="A678" t="s">
        <v>74</v>
      </c>
      <c r="B678" t="s">
        <v>20</v>
      </c>
      <c r="C678">
        <v>11160</v>
      </c>
      <c r="D678" t="s">
        <v>200</v>
      </c>
      <c r="E678">
        <v>2016</v>
      </c>
      <c r="F678">
        <v>12</v>
      </c>
    </row>
    <row r="679" spans="1:6" x14ac:dyDescent="0.55000000000000004">
      <c r="A679" t="s">
        <v>74</v>
      </c>
      <c r="B679" t="s">
        <v>21</v>
      </c>
      <c r="C679">
        <v>1435.0735</v>
      </c>
      <c r="D679" t="s">
        <v>200</v>
      </c>
      <c r="E679">
        <v>2016</v>
      </c>
      <c r="F679">
        <v>12</v>
      </c>
    </row>
    <row r="680" spans="1:6" x14ac:dyDescent="0.55000000000000004">
      <c r="A680" t="s">
        <v>74</v>
      </c>
      <c r="B680" t="s">
        <v>22</v>
      </c>
      <c r="C680">
        <v>90445.578800000003</v>
      </c>
      <c r="D680" t="s">
        <v>200</v>
      </c>
      <c r="E680">
        <v>2016</v>
      </c>
      <c r="F680">
        <v>12</v>
      </c>
    </row>
    <row r="681" spans="1:6" x14ac:dyDescent="0.55000000000000004">
      <c r="A681" t="s">
        <v>74</v>
      </c>
      <c r="B681" t="s">
        <v>23</v>
      </c>
      <c r="C681">
        <v>12479.2662</v>
      </c>
      <c r="D681" t="s">
        <v>200</v>
      </c>
      <c r="E681">
        <v>2016</v>
      </c>
      <c r="F681">
        <v>12</v>
      </c>
    </row>
    <row r="682" spans="1:6" x14ac:dyDescent="0.55000000000000004">
      <c r="A682" t="s">
        <v>74</v>
      </c>
      <c r="B682" t="s">
        <v>24</v>
      </c>
      <c r="C682">
        <v>0</v>
      </c>
      <c r="D682" t="s">
        <v>200</v>
      </c>
      <c r="E682">
        <v>2016</v>
      </c>
      <c r="F682">
        <v>12</v>
      </c>
    </row>
    <row r="683" spans="1:6" x14ac:dyDescent="0.55000000000000004">
      <c r="A683" t="s">
        <v>74</v>
      </c>
      <c r="B683" t="s">
        <v>25</v>
      </c>
      <c r="C683">
        <v>170434.48329999999</v>
      </c>
      <c r="D683" t="s">
        <v>200</v>
      </c>
      <c r="E683">
        <v>2016</v>
      </c>
      <c r="F683">
        <v>12</v>
      </c>
    </row>
    <row r="684" spans="1:6" x14ac:dyDescent="0.55000000000000004">
      <c r="A684" t="s">
        <v>74</v>
      </c>
      <c r="B684" t="s">
        <v>26</v>
      </c>
      <c r="C684">
        <v>0</v>
      </c>
      <c r="D684" t="s">
        <v>200</v>
      </c>
      <c r="E684">
        <v>2016</v>
      </c>
      <c r="F684">
        <v>12</v>
      </c>
    </row>
    <row r="685" spans="1:6" x14ac:dyDescent="0.55000000000000004">
      <c r="A685" t="s">
        <v>74</v>
      </c>
      <c r="B685" t="s">
        <v>27</v>
      </c>
      <c r="C685">
        <v>2795.3453</v>
      </c>
      <c r="D685" t="s">
        <v>200</v>
      </c>
      <c r="E685">
        <v>2016</v>
      </c>
      <c r="F685">
        <v>12</v>
      </c>
    </row>
    <row r="686" spans="1:6" x14ac:dyDescent="0.55000000000000004">
      <c r="A686" t="s">
        <v>74</v>
      </c>
      <c r="B686" t="s">
        <v>28</v>
      </c>
      <c r="C686">
        <v>102886.9993</v>
      </c>
      <c r="D686" t="s">
        <v>200</v>
      </c>
      <c r="E686">
        <v>2016</v>
      </c>
      <c r="F686">
        <v>12</v>
      </c>
    </row>
    <row r="687" spans="1:6" x14ac:dyDescent="0.55000000000000004">
      <c r="A687" t="s">
        <v>74</v>
      </c>
      <c r="B687" t="s">
        <v>29</v>
      </c>
      <c r="C687">
        <v>19138.811300000001</v>
      </c>
      <c r="D687" t="s">
        <v>200</v>
      </c>
      <c r="E687">
        <v>2016</v>
      </c>
      <c r="F687">
        <v>12</v>
      </c>
    </row>
    <row r="688" spans="1:6" x14ac:dyDescent="0.55000000000000004">
      <c r="A688" t="s">
        <v>74</v>
      </c>
      <c r="B688" t="s">
        <v>30</v>
      </c>
      <c r="C688">
        <v>2.6867000000000001</v>
      </c>
      <c r="D688" t="s">
        <v>200</v>
      </c>
      <c r="E688">
        <v>2016</v>
      </c>
      <c r="F688">
        <v>12</v>
      </c>
    </row>
    <row r="689" spans="1:6" x14ac:dyDescent="0.55000000000000004">
      <c r="A689" t="s">
        <v>74</v>
      </c>
      <c r="B689" t="s">
        <v>31</v>
      </c>
      <c r="C689">
        <v>37.546999999999997</v>
      </c>
      <c r="D689" t="s">
        <v>200</v>
      </c>
      <c r="E689">
        <v>2016</v>
      </c>
      <c r="F689">
        <v>12</v>
      </c>
    </row>
    <row r="690" spans="1:6" x14ac:dyDescent="0.55000000000000004">
      <c r="A690" t="s">
        <v>74</v>
      </c>
      <c r="B690" t="s">
        <v>32</v>
      </c>
      <c r="C690">
        <v>375054.15370000002</v>
      </c>
      <c r="D690" t="s">
        <v>200</v>
      </c>
      <c r="E690">
        <v>2016</v>
      </c>
      <c r="F690">
        <v>12</v>
      </c>
    </row>
    <row r="691" spans="1:6" x14ac:dyDescent="0.55000000000000004">
      <c r="A691" t="s">
        <v>74</v>
      </c>
      <c r="B691" t="s">
        <v>33</v>
      </c>
      <c r="C691">
        <v>430958.69329999998</v>
      </c>
      <c r="D691" t="s">
        <v>200</v>
      </c>
      <c r="E691">
        <v>2016</v>
      </c>
      <c r="F691">
        <v>12</v>
      </c>
    </row>
    <row r="692" spans="1:6" x14ac:dyDescent="0.55000000000000004">
      <c r="A692" t="s">
        <v>74</v>
      </c>
      <c r="B692" t="s">
        <v>34</v>
      </c>
      <c r="C692">
        <v>790794.37919999997</v>
      </c>
      <c r="D692" t="s">
        <v>200</v>
      </c>
      <c r="E692">
        <v>2016</v>
      </c>
      <c r="F692">
        <v>12</v>
      </c>
    </row>
    <row r="693" spans="1:6" x14ac:dyDescent="0.55000000000000004">
      <c r="A693" t="s">
        <v>74</v>
      </c>
      <c r="B693" t="s">
        <v>35</v>
      </c>
      <c r="C693">
        <v>317.87599999999998</v>
      </c>
      <c r="D693" t="s">
        <v>200</v>
      </c>
      <c r="E693">
        <v>2016</v>
      </c>
      <c r="F693">
        <v>12</v>
      </c>
    </row>
    <row r="694" spans="1:6" x14ac:dyDescent="0.55000000000000004">
      <c r="A694" t="s">
        <v>74</v>
      </c>
      <c r="B694" t="s">
        <v>36</v>
      </c>
      <c r="C694">
        <v>50945</v>
      </c>
      <c r="D694" t="s">
        <v>200</v>
      </c>
      <c r="E694">
        <v>2016</v>
      </c>
      <c r="F694">
        <v>12</v>
      </c>
    </row>
    <row r="695" spans="1:6" x14ac:dyDescent="0.55000000000000004">
      <c r="A695" t="s">
        <v>74</v>
      </c>
      <c r="B695" t="s">
        <v>37</v>
      </c>
      <c r="C695">
        <v>14242.284900000001</v>
      </c>
      <c r="D695" t="s">
        <v>200</v>
      </c>
      <c r="E695">
        <v>2016</v>
      </c>
      <c r="F695">
        <v>12</v>
      </c>
    </row>
    <row r="696" spans="1:6" x14ac:dyDescent="0.55000000000000004">
      <c r="A696" t="s">
        <v>74</v>
      </c>
      <c r="B696" t="s">
        <v>38</v>
      </c>
      <c r="C696">
        <v>0</v>
      </c>
      <c r="D696" t="s">
        <v>200</v>
      </c>
      <c r="E696">
        <v>2016</v>
      </c>
      <c r="F696">
        <v>12</v>
      </c>
    </row>
    <row r="697" spans="1:6" x14ac:dyDescent="0.55000000000000004">
      <c r="A697" t="s">
        <v>74</v>
      </c>
      <c r="B697" t="s">
        <v>39</v>
      </c>
      <c r="C697">
        <v>10535.9125</v>
      </c>
      <c r="D697" t="s">
        <v>200</v>
      </c>
      <c r="E697">
        <v>2016</v>
      </c>
      <c r="F697">
        <v>12</v>
      </c>
    </row>
    <row r="698" spans="1:6" x14ac:dyDescent="0.55000000000000004">
      <c r="A698" t="s">
        <v>74</v>
      </c>
      <c r="B698" t="s">
        <v>40</v>
      </c>
      <c r="C698">
        <v>767.60789999999997</v>
      </c>
      <c r="D698" t="s">
        <v>200</v>
      </c>
      <c r="E698">
        <v>2016</v>
      </c>
      <c r="F698">
        <v>12</v>
      </c>
    </row>
    <row r="699" spans="1:6" x14ac:dyDescent="0.55000000000000004">
      <c r="A699" t="s">
        <v>74</v>
      </c>
      <c r="B699" t="s">
        <v>41</v>
      </c>
      <c r="C699">
        <v>180703.70980000001</v>
      </c>
      <c r="D699" t="s">
        <v>200</v>
      </c>
      <c r="E699">
        <v>2016</v>
      </c>
      <c r="F699">
        <v>12</v>
      </c>
    </row>
    <row r="700" spans="1:6" x14ac:dyDescent="0.55000000000000004">
      <c r="A700" t="s">
        <v>74</v>
      </c>
      <c r="B700" t="s">
        <v>42</v>
      </c>
      <c r="C700">
        <v>202.61420000000001</v>
      </c>
      <c r="D700" t="s">
        <v>200</v>
      </c>
      <c r="E700">
        <v>2016</v>
      </c>
      <c r="F700">
        <v>12</v>
      </c>
    </row>
    <row r="701" spans="1:6" x14ac:dyDescent="0.55000000000000004">
      <c r="A701" t="s">
        <v>74</v>
      </c>
      <c r="B701" t="s">
        <v>43</v>
      </c>
      <c r="C701">
        <v>56262.412300000004</v>
      </c>
      <c r="D701" t="s">
        <v>200</v>
      </c>
      <c r="E701">
        <v>2016</v>
      </c>
      <c r="F701">
        <v>12</v>
      </c>
    </row>
    <row r="702" spans="1:6" x14ac:dyDescent="0.55000000000000004">
      <c r="A702" t="s">
        <v>74</v>
      </c>
      <c r="B702" t="s">
        <v>44</v>
      </c>
      <c r="C702">
        <v>0</v>
      </c>
      <c r="D702" t="s">
        <v>200</v>
      </c>
      <c r="E702">
        <v>2016</v>
      </c>
      <c r="F702">
        <v>12</v>
      </c>
    </row>
    <row r="703" spans="1:6" x14ac:dyDescent="0.55000000000000004">
      <c r="A703" t="s">
        <v>74</v>
      </c>
      <c r="B703" t="s">
        <v>45</v>
      </c>
      <c r="C703">
        <v>1675.8651</v>
      </c>
      <c r="D703" t="s">
        <v>200</v>
      </c>
      <c r="E703">
        <v>2016</v>
      </c>
      <c r="F703">
        <v>12</v>
      </c>
    </row>
    <row r="704" spans="1:6" x14ac:dyDescent="0.55000000000000004">
      <c r="A704" t="s">
        <v>74</v>
      </c>
      <c r="B704" t="s">
        <v>46</v>
      </c>
      <c r="C704">
        <v>126693.514</v>
      </c>
      <c r="D704" t="s">
        <v>200</v>
      </c>
      <c r="E704">
        <v>2016</v>
      </c>
      <c r="F704">
        <v>12</v>
      </c>
    </row>
    <row r="705" spans="1:6" x14ac:dyDescent="0.55000000000000004">
      <c r="A705" t="s">
        <v>74</v>
      </c>
      <c r="B705" t="s">
        <v>47</v>
      </c>
      <c r="C705">
        <v>0</v>
      </c>
      <c r="D705" t="s">
        <v>200</v>
      </c>
      <c r="E705">
        <v>2016</v>
      </c>
      <c r="F705">
        <v>12</v>
      </c>
    </row>
    <row r="706" spans="1:6" x14ac:dyDescent="0.55000000000000004">
      <c r="A706" t="s">
        <v>74</v>
      </c>
      <c r="B706" t="s">
        <v>48</v>
      </c>
      <c r="C706">
        <v>481050.19</v>
      </c>
      <c r="D706" t="s">
        <v>200</v>
      </c>
      <c r="E706">
        <v>2016</v>
      </c>
      <c r="F706">
        <v>12</v>
      </c>
    </row>
    <row r="707" spans="1:6" x14ac:dyDescent="0.55000000000000004">
      <c r="A707" t="s">
        <v>74</v>
      </c>
      <c r="B707" t="s">
        <v>49</v>
      </c>
      <c r="C707">
        <v>834.82380000000001</v>
      </c>
      <c r="D707" t="s">
        <v>200</v>
      </c>
      <c r="E707">
        <v>2016</v>
      </c>
      <c r="F707">
        <v>12</v>
      </c>
    </row>
    <row r="708" spans="1:6" x14ac:dyDescent="0.55000000000000004">
      <c r="A708" t="s">
        <v>74</v>
      </c>
      <c r="B708" t="s">
        <v>50</v>
      </c>
      <c r="C708">
        <v>20995.642100000001</v>
      </c>
      <c r="D708" t="s">
        <v>200</v>
      </c>
      <c r="E708">
        <v>2016</v>
      </c>
      <c r="F708">
        <v>12</v>
      </c>
    </row>
    <row r="709" spans="1:6" x14ac:dyDescent="0.55000000000000004">
      <c r="A709" t="s">
        <v>74</v>
      </c>
      <c r="B709" t="s">
        <v>51</v>
      </c>
      <c r="C709">
        <v>926.01020000000005</v>
      </c>
      <c r="D709" t="s">
        <v>200</v>
      </c>
      <c r="E709">
        <v>2016</v>
      </c>
      <c r="F709">
        <v>12</v>
      </c>
    </row>
    <row r="710" spans="1:6" x14ac:dyDescent="0.55000000000000004">
      <c r="A710" t="s">
        <v>74</v>
      </c>
      <c r="B710" t="s">
        <v>52</v>
      </c>
      <c r="C710">
        <v>127.05419999999999</v>
      </c>
      <c r="D710" t="s">
        <v>200</v>
      </c>
      <c r="E710">
        <v>2016</v>
      </c>
      <c r="F710">
        <v>12</v>
      </c>
    </row>
    <row r="711" spans="1:6" x14ac:dyDescent="0.55000000000000004">
      <c r="A711" t="s">
        <v>74</v>
      </c>
      <c r="B711" t="s">
        <v>53</v>
      </c>
      <c r="C711">
        <v>81362.92</v>
      </c>
      <c r="D711" t="s">
        <v>200</v>
      </c>
      <c r="E711">
        <v>2016</v>
      </c>
      <c r="F711">
        <v>12</v>
      </c>
    </row>
    <row r="712" spans="1:6" x14ac:dyDescent="0.55000000000000004">
      <c r="A712" t="s">
        <v>74</v>
      </c>
      <c r="B712" t="s">
        <v>54</v>
      </c>
      <c r="C712">
        <v>10149.003000000001</v>
      </c>
      <c r="D712" t="s">
        <v>200</v>
      </c>
      <c r="E712">
        <v>2016</v>
      </c>
      <c r="F712">
        <v>12</v>
      </c>
    </row>
    <row r="713" spans="1:6" x14ac:dyDescent="0.55000000000000004">
      <c r="A713" t="s">
        <v>74</v>
      </c>
      <c r="B713" t="s">
        <v>55</v>
      </c>
      <c r="C713">
        <v>9006.6157999999996</v>
      </c>
      <c r="D713" t="s">
        <v>200</v>
      </c>
      <c r="E713">
        <v>2016</v>
      </c>
      <c r="F713">
        <v>12</v>
      </c>
    </row>
    <row r="714" spans="1:6" x14ac:dyDescent="0.55000000000000004">
      <c r="A714" t="s">
        <v>74</v>
      </c>
      <c r="B714" t="s">
        <v>56</v>
      </c>
      <c r="C714">
        <v>3520.2667000000001</v>
      </c>
      <c r="D714" t="s">
        <v>200</v>
      </c>
      <c r="E714">
        <v>2016</v>
      </c>
      <c r="F714">
        <v>12</v>
      </c>
    </row>
    <row r="715" spans="1:6" x14ac:dyDescent="0.55000000000000004">
      <c r="A715" t="s">
        <v>74</v>
      </c>
      <c r="B715" t="s">
        <v>57</v>
      </c>
      <c r="C715">
        <v>87.707099999999997</v>
      </c>
      <c r="D715" t="s">
        <v>200</v>
      </c>
      <c r="E715">
        <v>2016</v>
      </c>
      <c r="F715">
        <v>12</v>
      </c>
    </row>
    <row r="716" spans="1:6" x14ac:dyDescent="0.55000000000000004">
      <c r="A716" t="s">
        <v>74</v>
      </c>
      <c r="B716" t="s">
        <v>58</v>
      </c>
      <c r="C716">
        <v>425241</v>
      </c>
      <c r="D716" t="s">
        <v>200</v>
      </c>
      <c r="E716">
        <v>2016</v>
      </c>
      <c r="F716">
        <v>12</v>
      </c>
    </row>
    <row r="717" spans="1:6" x14ac:dyDescent="0.55000000000000004">
      <c r="A717" t="s">
        <v>74</v>
      </c>
      <c r="B717" t="s">
        <v>59</v>
      </c>
      <c r="C717">
        <v>0</v>
      </c>
      <c r="D717" t="s">
        <v>200</v>
      </c>
      <c r="E717">
        <v>2016</v>
      </c>
      <c r="F717">
        <v>12</v>
      </c>
    </row>
    <row r="718" spans="1:6" x14ac:dyDescent="0.55000000000000004">
      <c r="A718" t="s">
        <v>74</v>
      </c>
      <c r="B718" t="s">
        <v>60</v>
      </c>
      <c r="C718">
        <v>2461274.7919999999</v>
      </c>
      <c r="D718" t="s">
        <v>200</v>
      </c>
      <c r="E718">
        <v>2016</v>
      </c>
      <c r="F718">
        <v>12</v>
      </c>
    </row>
    <row r="719" spans="1:6" x14ac:dyDescent="0.55000000000000004">
      <c r="A719" t="s">
        <v>74</v>
      </c>
      <c r="B719" t="s">
        <v>61</v>
      </c>
      <c r="C719">
        <v>0</v>
      </c>
      <c r="D719" t="s">
        <v>200</v>
      </c>
      <c r="E719">
        <v>2016</v>
      </c>
      <c r="F719">
        <v>12</v>
      </c>
    </row>
    <row r="720" spans="1:6" x14ac:dyDescent="0.55000000000000004">
      <c r="A720" t="s">
        <v>74</v>
      </c>
      <c r="B720" t="s">
        <v>62</v>
      </c>
      <c r="C720">
        <v>2451.1097</v>
      </c>
      <c r="D720" t="s">
        <v>200</v>
      </c>
      <c r="E720">
        <v>2016</v>
      </c>
      <c r="F720">
        <v>12</v>
      </c>
    </row>
    <row r="721" spans="1:6" x14ac:dyDescent="0.55000000000000004">
      <c r="A721" t="s">
        <v>74</v>
      </c>
      <c r="B721" t="s">
        <v>63</v>
      </c>
      <c r="C721">
        <v>2359.5495000000001</v>
      </c>
      <c r="D721" t="s">
        <v>200</v>
      </c>
      <c r="E721">
        <v>2016</v>
      </c>
      <c r="F721">
        <v>12</v>
      </c>
    </row>
    <row r="722" spans="1:6" x14ac:dyDescent="0.55000000000000004">
      <c r="A722" t="s">
        <v>75</v>
      </c>
      <c r="B722" t="s">
        <v>4</v>
      </c>
      <c r="C722">
        <v>9938881.1503999997</v>
      </c>
      <c r="D722" t="s">
        <v>201</v>
      </c>
      <c r="E722">
        <v>2017</v>
      </c>
      <c r="F722">
        <v>1</v>
      </c>
    </row>
    <row r="723" spans="1:6" x14ac:dyDescent="0.55000000000000004">
      <c r="A723" t="s">
        <v>75</v>
      </c>
      <c r="B723" t="s">
        <v>5</v>
      </c>
      <c r="C723">
        <v>1238852.1483</v>
      </c>
      <c r="D723" t="s">
        <v>201</v>
      </c>
      <c r="E723">
        <v>2017</v>
      </c>
      <c r="F723">
        <v>1</v>
      </c>
    </row>
    <row r="724" spans="1:6" x14ac:dyDescent="0.55000000000000004">
      <c r="A724" t="s">
        <v>75</v>
      </c>
      <c r="B724" t="s">
        <v>6</v>
      </c>
      <c r="C724">
        <v>2027817.2217000001</v>
      </c>
      <c r="D724" t="s">
        <v>201</v>
      </c>
      <c r="E724">
        <v>2017</v>
      </c>
      <c r="F724">
        <v>1</v>
      </c>
    </row>
    <row r="725" spans="1:6" x14ac:dyDescent="0.55000000000000004">
      <c r="A725" t="s">
        <v>75</v>
      </c>
      <c r="B725" t="s">
        <v>7</v>
      </c>
      <c r="C725">
        <v>2856438.9462000001</v>
      </c>
      <c r="D725" t="s">
        <v>201</v>
      </c>
      <c r="E725">
        <v>2017</v>
      </c>
      <c r="F725">
        <v>1</v>
      </c>
    </row>
    <row r="726" spans="1:6" x14ac:dyDescent="0.55000000000000004">
      <c r="A726" t="s">
        <v>75</v>
      </c>
      <c r="B726" t="s">
        <v>8</v>
      </c>
      <c r="C726">
        <v>3815772.8341999999</v>
      </c>
      <c r="D726" t="s">
        <v>201</v>
      </c>
      <c r="E726">
        <v>2017</v>
      </c>
      <c r="F726">
        <v>1</v>
      </c>
    </row>
    <row r="727" spans="1:6" x14ac:dyDescent="0.55000000000000004">
      <c r="A727" t="s">
        <v>75</v>
      </c>
      <c r="B727" t="s">
        <v>9</v>
      </c>
      <c r="C727">
        <v>1500</v>
      </c>
      <c r="D727" t="s">
        <v>201</v>
      </c>
      <c r="E727">
        <v>2017</v>
      </c>
      <c r="F727">
        <v>1</v>
      </c>
    </row>
    <row r="728" spans="1:6" x14ac:dyDescent="0.55000000000000004">
      <c r="A728" t="s">
        <v>75</v>
      </c>
      <c r="B728" t="s">
        <v>10</v>
      </c>
      <c r="C728">
        <v>1169.1667</v>
      </c>
      <c r="D728" t="s">
        <v>201</v>
      </c>
      <c r="E728">
        <v>2017</v>
      </c>
      <c r="F728">
        <v>1</v>
      </c>
    </row>
    <row r="729" spans="1:6" x14ac:dyDescent="0.55000000000000004">
      <c r="A729" t="s">
        <v>75</v>
      </c>
      <c r="B729" t="s">
        <v>11</v>
      </c>
      <c r="C729">
        <v>2646464.4473999999</v>
      </c>
      <c r="D729" t="s">
        <v>201</v>
      </c>
      <c r="E729">
        <v>2017</v>
      </c>
      <c r="F729">
        <v>1</v>
      </c>
    </row>
    <row r="730" spans="1:6" x14ac:dyDescent="0.55000000000000004">
      <c r="A730" t="s">
        <v>75</v>
      </c>
      <c r="B730" t="s">
        <v>12</v>
      </c>
      <c r="C730">
        <v>15012</v>
      </c>
      <c r="D730" t="s">
        <v>201</v>
      </c>
      <c r="E730">
        <v>2017</v>
      </c>
      <c r="F730">
        <v>1</v>
      </c>
    </row>
    <row r="731" spans="1:6" x14ac:dyDescent="0.55000000000000004">
      <c r="A731" t="s">
        <v>75</v>
      </c>
      <c r="B731" t="s">
        <v>13</v>
      </c>
      <c r="C731">
        <v>983.33330000000001</v>
      </c>
      <c r="D731" t="s">
        <v>201</v>
      </c>
      <c r="E731">
        <v>2017</v>
      </c>
      <c r="F731">
        <v>1</v>
      </c>
    </row>
    <row r="732" spans="1:6" x14ac:dyDescent="0.55000000000000004">
      <c r="A732" t="s">
        <v>75</v>
      </c>
      <c r="B732" t="s">
        <v>14</v>
      </c>
      <c r="C732">
        <v>0</v>
      </c>
      <c r="D732" t="s">
        <v>201</v>
      </c>
      <c r="E732">
        <v>2017</v>
      </c>
      <c r="F732">
        <v>1</v>
      </c>
    </row>
    <row r="733" spans="1:6" x14ac:dyDescent="0.55000000000000004">
      <c r="A733" t="s">
        <v>75</v>
      </c>
      <c r="B733" t="s">
        <v>15</v>
      </c>
      <c r="C733">
        <v>1137767.2586000001</v>
      </c>
      <c r="D733" t="s">
        <v>201</v>
      </c>
      <c r="E733">
        <v>2017</v>
      </c>
      <c r="F733">
        <v>1</v>
      </c>
    </row>
    <row r="734" spans="1:6" x14ac:dyDescent="0.55000000000000004">
      <c r="A734" t="s">
        <v>75</v>
      </c>
      <c r="B734" t="s">
        <v>16</v>
      </c>
      <c r="C734">
        <v>0</v>
      </c>
      <c r="D734" t="s">
        <v>201</v>
      </c>
      <c r="E734">
        <v>2017</v>
      </c>
      <c r="F734">
        <v>1</v>
      </c>
    </row>
    <row r="735" spans="1:6" x14ac:dyDescent="0.55000000000000004">
      <c r="A735" t="s">
        <v>75</v>
      </c>
      <c r="B735" t="s">
        <v>17</v>
      </c>
      <c r="C735">
        <v>58307.8917</v>
      </c>
      <c r="D735" t="s">
        <v>201</v>
      </c>
      <c r="E735">
        <v>2017</v>
      </c>
      <c r="F735">
        <v>1</v>
      </c>
    </row>
    <row r="736" spans="1:6" x14ac:dyDescent="0.55000000000000004">
      <c r="A736" t="s">
        <v>75</v>
      </c>
      <c r="B736" t="s">
        <v>18</v>
      </c>
      <c r="C736">
        <v>86769.349499999997</v>
      </c>
      <c r="D736" t="s">
        <v>201</v>
      </c>
      <c r="E736">
        <v>2017</v>
      </c>
      <c r="F736">
        <v>1</v>
      </c>
    </row>
    <row r="737" spans="1:6" x14ac:dyDescent="0.55000000000000004">
      <c r="A737" t="s">
        <v>75</v>
      </c>
      <c r="B737" t="s">
        <v>19</v>
      </c>
      <c r="C737">
        <v>4500</v>
      </c>
      <c r="D737" t="s">
        <v>201</v>
      </c>
      <c r="E737">
        <v>2017</v>
      </c>
      <c r="F737">
        <v>1</v>
      </c>
    </row>
    <row r="738" spans="1:6" x14ac:dyDescent="0.55000000000000004">
      <c r="A738" t="s">
        <v>75</v>
      </c>
      <c r="B738" t="s">
        <v>20</v>
      </c>
      <c r="C738">
        <v>8746.0400000000009</v>
      </c>
      <c r="D738" t="s">
        <v>201</v>
      </c>
      <c r="E738">
        <v>2017</v>
      </c>
      <c r="F738">
        <v>1</v>
      </c>
    </row>
    <row r="739" spans="1:6" x14ac:dyDescent="0.55000000000000004">
      <c r="A739" t="s">
        <v>75</v>
      </c>
      <c r="B739" t="s">
        <v>21</v>
      </c>
      <c r="C739">
        <v>1561.0594000000001</v>
      </c>
      <c r="D739" t="s">
        <v>201</v>
      </c>
      <c r="E739">
        <v>2017</v>
      </c>
      <c r="F739">
        <v>1</v>
      </c>
    </row>
    <row r="740" spans="1:6" x14ac:dyDescent="0.55000000000000004">
      <c r="A740" t="s">
        <v>75</v>
      </c>
      <c r="B740" t="s">
        <v>22</v>
      </c>
      <c r="C740">
        <v>60413.882400000002</v>
      </c>
      <c r="D740" t="s">
        <v>201</v>
      </c>
      <c r="E740">
        <v>2017</v>
      </c>
      <c r="F740">
        <v>1</v>
      </c>
    </row>
    <row r="741" spans="1:6" x14ac:dyDescent="0.55000000000000004">
      <c r="A741" t="s">
        <v>75</v>
      </c>
      <c r="B741" t="s">
        <v>23</v>
      </c>
      <c r="C741">
        <v>24041.9</v>
      </c>
      <c r="D741" t="s">
        <v>201</v>
      </c>
      <c r="E741">
        <v>2017</v>
      </c>
      <c r="F741">
        <v>1</v>
      </c>
    </row>
    <row r="742" spans="1:6" x14ac:dyDescent="0.55000000000000004">
      <c r="A742" t="s">
        <v>75</v>
      </c>
      <c r="B742" t="s">
        <v>24</v>
      </c>
      <c r="C742">
        <v>0</v>
      </c>
      <c r="D742" t="s">
        <v>201</v>
      </c>
      <c r="E742">
        <v>2017</v>
      </c>
      <c r="F742">
        <v>1</v>
      </c>
    </row>
    <row r="743" spans="1:6" x14ac:dyDescent="0.55000000000000004">
      <c r="A743" t="s">
        <v>75</v>
      </c>
      <c r="B743" t="s">
        <v>25</v>
      </c>
      <c r="C743">
        <v>184016.8333</v>
      </c>
      <c r="D743" t="s">
        <v>201</v>
      </c>
      <c r="E743">
        <v>2017</v>
      </c>
      <c r="F743">
        <v>1</v>
      </c>
    </row>
    <row r="744" spans="1:6" x14ac:dyDescent="0.55000000000000004">
      <c r="A744" t="s">
        <v>75</v>
      </c>
      <c r="B744" t="s">
        <v>26</v>
      </c>
      <c r="C744">
        <v>0</v>
      </c>
      <c r="D744" t="s">
        <v>201</v>
      </c>
      <c r="E744">
        <v>2017</v>
      </c>
      <c r="F744">
        <v>1</v>
      </c>
    </row>
    <row r="745" spans="1:6" x14ac:dyDescent="0.55000000000000004">
      <c r="A745" t="s">
        <v>75</v>
      </c>
      <c r="B745" t="s">
        <v>27</v>
      </c>
      <c r="C745">
        <v>1577.0923</v>
      </c>
      <c r="D745" t="s">
        <v>201</v>
      </c>
      <c r="E745">
        <v>2017</v>
      </c>
      <c r="F745">
        <v>1</v>
      </c>
    </row>
    <row r="746" spans="1:6" x14ac:dyDescent="0.55000000000000004">
      <c r="A746" t="s">
        <v>75</v>
      </c>
      <c r="B746" t="s">
        <v>28</v>
      </c>
      <c r="C746">
        <v>181285.38440000001</v>
      </c>
      <c r="D746" t="s">
        <v>201</v>
      </c>
      <c r="E746">
        <v>2017</v>
      </c>
      <c r="F746">
        <v>1</v>
      </c>
    </row>
    <row r="747" spans="1:6" x14ac:dyDescent="0.55000000000000004">
      <c r="A747" t="s">
        <v>75</v>
      </c>
      <c r="B747" t="s">
        <v>29</v>
      </c>
      <c r="C747">
        <v>18637.419900000001</v>
      </c>
      <c r="D747" t="s">
        <v>201</v>
      </c>
      <c r="E747">
        <v>2017</v>
      </c>
      <c r="F747">
        <v>1</v>
      </c>
    </row>
    <row r="748" spans="1:6" x14ac:dyDescent="0.55000000000000004">
      <c r="A748" t="s">
        <v>75</v>
      </c>
      <c r="B748" t="s">
        <v>30</v>
      </c>
      <c r="C748">
        <v>6.1422999999999996</v>
      </c>
      <c r="D748" t="s">
        <v>201</v>
      </c>
      <c r="E748">
        <v>2017</v>
      </c>
      <c r="F748">
        <v>1</v>
      </c>
    </row>
    <row r="749" spans="1:6" x14ac:dyDescent="0.55000000000000004">
      <c r="A749" t="s">
        <v>75</v>
      </c>
      <c r="B749" t="s">
        <v>31</v>
      </c>
      <c r="C749">
        <v>79.828000000000003</v>
      </c>
      <c r="D749" t="s">
        <v>201</v>
      </c>
      <c r="E749">
        <v>2017</v>
      </c>
      <c r="F749">
        <v>1</v>
      </c>
    </row>
    <row r="750" spans="1:6" x14ac:dyDescent="0.55000000000000004">
      <c r="A750" t="s">
        <v>75</v>
      </c>
      <c r="B750" t="s">
        <v>32</v>
      </c>
      <c r="C750">
        <v>772049.54070000001</v>
      </c>
      <c r="D750" t="s">
        <v>201</v>
      </c>
      <c r="E750">
        <v>2017</v>
      </c>
      <c r="F750">
        <v>1</v>
      </c>
    </row>
    <row r="751" spans="1:6" x14ac:dyDescent="0.55000000000000004">
      <c r="A751" t="s">
        <v>75</v>
      </c>
      <c r="B751" t="s">
        <v>33</v>
      </c>
      <c r="C751">
        <v>384726.45610000001</v>
      </c>
      <c r="D751" t="s">
        <v>201</v>
      </c>
      <c r="E751">
        <v>2017</v>
      </c>
      <c r="F751">
        <v>1</v>
      </c>
    </row>
    <row r="752" spans="1:6" x14ac:dyDescent="0.55000000000000004">
      <c r="A752" t="s">
        <v>75</v>
      </c>
      <c r="B752" t="s">
        <v>34</v>
      </c>
      <c r="C752">
        <v>572162.94039999996</v>
      </c>
      <c r="D752" t="s">
        <v>201</v>
      </c>
      <c r="E752">
        <v>2017</v>
      </c>
      <c r="F752">
        <v>1</v>
      </c>
    </row>
    <row r="753" spans="1:6" x14ac:dyDescent="0.55000000000000004">
      <c r="A753" t="s">
        <v>75</v>
      </c>
      <c r="B753" t="s">
        <v>35</v>
      </c>
      <c r="C753">
        <v>379.2946</v>
      </c>
      <c r="D753" t="s">
        <v>201</v>
      </c>
      <c r="E753">
        <v>2017</v>
      </c>
      <c r="F753">
        <v>1</v>
      </c>
    </row>
    <row r="754" spans="1:6" x14ac:dyDescent="0.55000000000000004">
      <c r="A754" t="s">
        <v>75</v>
      </c>
      <c r="B754" t="s">
        <v>36</v>
      </c>
      <c r="C754">
        <v>46959.636700000003</v>
      </c>
      <c r="D754" t="s">
        <v>201</v>
      </c>
      <c r="E754">
        <v>2017</v>
      </c>
      <c r="F754">
        <v>1</v>
      </c>
    </row>
    <row r="755" spans="1:6" x14ac:dyDescent="0.55000000000000004">
      <c r="A755" t="s">
        <v>75</v>
      </c>
      <c r="B755" t="s">
        <v>37</v>
      </c>
      <c r="C755">
        <v>19050.3835</v>
      </c>
      <c r="D755" t="s">
        <v>201</v>
      </c>
      <c r="E755">
        <v>2017</v>
      </c>
      <c r="F755">
        <v>1</v>
      </c>
    </row>
    <row r="756" spans="1:6" x14ac:dyDescent="0.55000000000000004">
      <c r="A756" t="s">
        <v>75</v>
      </c>
      <c r="B756" t="s">
        <v>38</v>
      </c>
      <c r="C756">
        <v>436.67</v>
      </c>
      <c r="D756" t="s">
        <v>201</v>
      </c>
      <c r="E756">
        <v>2017</v>
      </c>
      <c r="F756">
        <v>1</v>
      </c>
    </row>
    <row r="757" spans="1:6" x14ac:dyDescent="0.55000000000000004">
      <c r="A757" t="s">
        <v>75</v>
      </c>
      <c r="B757" t="s">
        <v>39</v>
      </c>
      <c r="C757">
        <v>4107.6899999999996</v>
      </c>
      <c r="D757" t="s">
        <v>201</v>
      </c>
      <c r="E757">
        <v>2017</v>
      </c>
      <c r="F757">
        <v>1</v>
      </c>
    </row>
    <row r="758" spans="1:6" x14ac:dyDescent="0.55000000000000004">
      <c r="A758" t="s">
        <v>75</v>
      </c>
      <c r="B758" t="s">
        <v>40</v>
      </c>
      <c r="C758">
        <v>1617.8801000000001</v>
      </c>
      <c r="D758" t="s">
        <v>201</v>
      </c>
      <c r="E758">
        <v>2017</v>
      </c>
      <c r="F758">
        <v>1</v>
      </c>
    </row>
    <row r="759" spans="1:6" x14ac:dyDescent="0.55000000000000004">
      <c r="A759" t="s">
        <v>75</v>
      </c>
      <c r="B759" t="s">
        <v>41</v>
      </c>
      <c r="C759">
        <v>207141.41519999999</v>
      </c>
      <c r="D759" t="s">
        <v>201</v>
      </c>
      <c r="E759">
        <v>2017</v>
      </c>
      <c r="F759">
        <v>1</v>
      </c>
    </row>
    <row r="760" spans="1:6" x14ac:dyDescent="0.55000000000000004">
      <c r="A760" t="s">
        <v>75</v>
      </c>
      <c r="B760" t="s">
        <v>42</v>
      </c>
      <c r="C760">
        <v>68.360500000000002</v>
      </c>
      <c r="D760" t="s">
        <v>201</v>
      </c>
      <c r="E760">
        <v>2017</v>
      </c>
      <c r="F760">
        <v>1</v>
      </c>
    </row>
    <row r="761" spans="1:6" x14ac:dyDescent="0.55000000000000004">
      <c r="A761" t="s">
        <v>75</v>
      </c>
      <c r="B761" t="s">
        <v>43</v>
      </c>
      <c r="C761">
        <v>146713.65030000001</v>
      </c>
      <c r="D761" t="s">
        <v>201</v>
      </c>
      <c r="E761">
        <v>2017</v>
      </c>
      <c r="F761">
        <v>1</v>
      </c>
    </row>
    <row r="762" spans="1:6" x14ac:dyDescent="0.55000000000000004">
      <c r="A762" t="s">
        <v>75</v>
      </c>
      <c r="B762" t="s">
        <v>44</v>
      </c>
      <c r="C762">
        <v>0</v>
      </c>
      <c r="D762" t="s">
        <v>201</v>
      </c>
      <c r="E762">
        <v>2017</v>
      </c>
      <c r="F762">
        <v>1</v>
      </c>
    </row>
    <row r="763" spans="1:6" x14ac:dyDescent="0.55000000000000004">
      <c r="A763" t="s">
        <v>75</v>
      </c>
      <c r="B763" t="s">
        <v>45</v>
      </c>
      <c r="C763">
        <v>1819.7002</v>
      </c>
      <c r="D763" t="s">
        <v>201</v>
      </c>
      <c r="E763">
        <v>2017</v>
      </c>
      <c r="F763">
        <v>1</v>
      </c>
    </row>
    <row r="764" spans="1:6" x14ac:dyDescent="0.55000000000000004">
      <c r="A764" t="s">
        <v>75</v>
      </c>
      <c r="B764" t="s">
        <v>46</v>
      </c>
      <c r="C764">
        <v>48766.633399999999</v>
      </c>
      <c r="D764" t="s">
        <v>201</v>
      </c>
      <c r="E764">
        <v>2017</v>
      </c>
      <c r="F764">
        <v>1</v>
      </c>
    </row>
    <row r="765" spans="1:6" x14ac:dyDescent="0.55000000000000004">
      <c r="A765" t="s">
        <v>75</v>
      </c>
      <c r="B765" t="s">
        <v>47</v>
      </c>
      <c r="C765">
        <v>1.0412999999999999</v>
      </c>
      <c r="D765" t="s">
        <v>201</v>
      </c>
      <c r="E765">
        <v>2017</v>
      </c>
      <c r="F765">
        <v>1</v>
      </c>
    </row>
    <row r="766" spans="1:6" x14ac:dyDescent="0.55000000000000004">
      <c r="A766" t="s">
        <v>75</v>
      </c>
      <c r="B766" t="s">
        <v>48</v>
      </c>
      <c r="C766">
        <v>223082.94</v>
      </c>
      <c r="D766" t="s">
        <v>201</v>
      </c>
      <c r="E766">
        <v>2017</v>
      </c>
      <c r="F766">
        <v>1</v>
      </c>
    </row>
    <row r="767" spans="1:6" x14ac:dyDescent="0.55000000000000004">
      <c r="A767" t="s">
        <v>75</v>
      </c>
      <c r="B767" t="s">
        <v>49</v>
      </c>
      <c r="C767">
        <v>1335.6031</v>
      </c>
      <c r="D767" t="s">
        <v>201</v>
      </c>
      <c r="E767">
        <v>2017</v>
      </c>
      <c r="F767">
        <v>1</v>
      </c>
    </row>
    <row r="768" spans="1:6" x14ac:dyDescent="0.55000000000000004">
      <c r="A768" t="s">
        <v>75</v>
      </c>
      <c r="B768" t="s">
        <v>50</v>
      </c>
      <c r="C768">
        <v>28624.6783</v>
      </c>
      <c r="D768" t="s">
        <v>201</v>
      </c>
      <c r="E768">
        <v>2017</v>
      </c>
      <c r="F768">
        <v>1</v>
      </c>
    </row>
    <row r="769" spans="1:6" x14ac:dyDescent="0.55000000000000004">
      <c r="A769" t="s">
        <v>75</v>
      </c>
      <c r="B769" t="s">
        <v>51</v>
      </c>
      <c r="C769">
        <v>580.57759999999996</v>
      </c>
      <c r="D769" t="s">
        <v>201</v>
      </c>
      <c r="E769">
        <v>2017</v>
      </c>
      <c r="F769">
        <v>1</v>
      </c>
    </row>
    <row r="770" spans="1:6" x14ac:dyDescent="0.55000000000000004">
      <c r="A770" t="s">
        <v>75</v>
      </c>
      <c r="B770" t="s">
        <v>52</v>
      </c>
      <c r="C770">
        <v>109.85380000000001</v>
      </c>
      <c r="D770" t="s">
        <v>201</v>
      </c>
      <c r="E770">
        <v>2017</v>
      </c>
      <c r="F770">
        <v>1</v>
      </c>
    </row>
    <row r="771" spans="1:6" x14ac:dyDescent="0.55000000000000004">
      <c r="A771" t="s">
        <v>75</v>
      </c>
      <c r="B771" t="s">
        <v>53</v>
      </c>
      <c r="C771">
        <v>84333.296000000002</v>
      </c>
      <c r="D771" t="s">
        <v>201</v>
      </c>
      <c r="E771">
        <v>2017</v>
      </c>
      <c r="F771">
        <v>1</v>
      </c>
    </row>
    <row r="772" spans="1:6" x14ac:dyDescent="0.55000000000000004">
      <c r="A772" t="s">
        <v>75</v>
      </c>
      <c r="B772" t="s">
        <v>54</v>
      </c>
      <c r="C772">
        <v>11867.0607</v>
      </c>
      <c r="D772" t="s">
        <v>201</v>
      </c>
      <c r="E772">
        <v>2017</v>
      </c>
      <c r="F772">
        <v>1</v>
      </c>
    </row>
    <row r="773" spans="1:6" x14ac:dyDescent="0.55000000000000004">
      <c r="A773" t="s">
        <v>75</v>
      </c>
      <c r="B773" t="s">
        <v>55</v>
      </c>
      <c r="C773">
        <v>12136.421399999999</v>
      </c>
      <c r="D773" t="s">
        <v>201</v>
      </c>
      <c r="E773">
        <v>2017</v>
      </c>
      <c r="F773">
        <v>1</v>
      </c>
    </row>
    <row r="774" spans="1:6" x14ac:dyDescent="0.55000000000000004">
      <c r="A774" t="s">
        <v>75</v>
      </c>
      <c r="B774" t="s">
        <v>56</v>
      </c>
      <c r="C774">
        <v>2561.4</v>
      </c>
      <c r="D774" t="s">
        <v>201</v>
      </c>
      <c r="E774">
        <v>2017</v>
      </c>
      <c r="F774">
        <v>1</v>
      </c>
    </row>
    <row r="775" spans="1:6" x14ac:dyDescent="0.55000000000000004">
      <c r="A775" t="s">
        <v>75</v>
      </c>
      <c r="B775" t="s">
        <v>57</v>
      </c>
      <c r="C775">
        <v>81.8245</v>
      </c>
      <c r="D775" t="s">
        <v>201</v>
      </c>
      <c r="E775">
        <v>2017</v>
      </c>
      <c r="F775">
        <v>1</v>
      </c>
    </row>
    <row r="776" spans="1:6" x14ac:dyDescent="0.55000000000000004">
      <c r="A776" t="s">
        <v>75</v>
      </c>
      <c r="B776" t="s">
        <v>58</v>
      </c>
      <c r="C776">
        <v>404673</v>
      </c>
      <c r="D776" t="s">
        <v>201</v>
      </c>
      <c r="E776">
        <v>2017</v>
      </c>
      <c r="F776">
        <v>1</v>
      </c>
    </row>
    <row r="777" spans="1:6" x14ac:dyDescent="0.55000000000000004">
      <c r="A777" t="s">
        <v>75</v>
      </c>
      <c r="B777" t="s">
        <v>59</v>
      </c>
      <c r="C777">
        <v>0</v>
      </c>
      <c r="D777" t="s">
        <v>201</v>
      </c>
      <c r="E777">
        <v>2017</v>
      </c>
      <c r="F777">
        <v>1</v>
      </c>
    </row>
    <row r="778" spans="1:6" x14ac:dyDescent="0.55000000000000004">
      <c r="A778" t="s">
        <v>75</v>
      </c>
      <c r="B778" t="s">
        <v>60</v>
      </c>
      <c r="C778">
        <v>2526240.0318</v>
      </c>
      <c r="D778" t="s">
        <v>201</v>
      </c>
      <c r="E778">
        <v>2017</v>
      </c>
      <c r="F778">
        <v>1</v>
      </c>
    </row>
    <row r="779" spans="1:6" x14ac:dyDescent="0.55000000000000004">
      <c r="A779" t="s">
        <v>75</v>
      </c>
      <c r="B779" t="s">
        <v>61</v>
      </c>
      <c r="C779">
        <v>3842.0619999999999</v>
      </c>
      <c r="D779" t="s">
        <v>201</v>
      </c>
      <c r="E779">
        <v>2017</v>
      </c>
      <c r="F779">
        <v>1</v>
      </c>
    </row>
    <row r="780" spans="1:6" x14ac:dyDescent="0.55000000000000004">
      <c r="A780" t="s">
        <v>75</v>
      </c>
      <c r="B780" t="s">
        <v>62</v>
      </c>
      <c r="C780">
        <v>490.80900000000003</v>
      </c>
      <c r="D780" t="s">
        <v>201</v>
      </c>
      <c r="E780">
        <v>2017</v>
      </c>
      <c r="F780">
        <v>1</v>
      </c>
    </row>
    <row r="781" spans="1:6" x14ac:dyDescent="0.55000000000000004">
      <c r="A781" t="s">
        <v>75</v>
      </c>
      <c r="B781" t="s">
        <v>63</v>
      </c>
      <c r="C781">
        <v>81.27</v>
      </c>
      <c r="D781" t="s">
        <v>201</v>
      </c>
      <c r="E781">
        <v>2017</v>
      </c>
      <c r="F781">
        <v>1</v>
      </c>
    </row>
    <row r="782" spans="1:6" x14ac:dyDescent="0.55000000000000004">
      <c r="A782" t="s">
        <v>76</v>
      </c>
      <c r="B782" t="s">
        <v>4</v>
      </c>
      <c r="C782">
        <v>10165025.1719</v>
      </c>
      <c r="D782" t="s">
        <v>202</v>
      </c>
      <c r="E782">
        <v>2017</v>
      </c>
      <c r="F782">
        <v>2</v>
      </c>
    </row>
    <row r="783" spans="1:6" x14ac:dyDescent="0.55000000000000004">
      <c r="A783" t="s">
        <v>76</v>
      </c>
      <c r="B783" t="s">
        <v>5</v>
      </c>
      <c r="C783">
        <v>1306860.6787</v>
      </c>
      <c r="D783" t="s">
        <v>202</v>
      </c>
      <c r="E783">
        <v>2017</v>
      </c>
      <c r="F783">
        <v>2</v>
      </c>
    </row>
    <row r="784" spans="1:6" x14ac:dyDescent="0.55000000000000004">
      <c r="A784" t="s">
        <v>76</v>
      </c>
      <c r="B784" t="s">
        <v>6</v>
      </c>
      <c r="C784">
        <v>2286042.9479999999</v>
      </c>
      <c r="D784" t="s">
        <v>202</v>
      </c>
      <c r="E784">
        <v>2017</v>
      </c>
      <c r="F784">
        <v>2</v>
      </c>
    </row>
    <row r="785" spans="1:6" x14ac:dyDescent="0.55000000000000004">
      <c r="A785" t="s">
        <v>76</v>
      </c>
      <c r="B785" t="s">
        <v>7</v>
      </c>
      <c r="C785">
        <v>2674832.6582999998</v>
      </c>
      <c r="D785" t="s">
        <v>202</v>
      </c>
      <c r="E785">
        <v>2017</v>
      </c>
      <c r="F785">
        <v>2</v>
      </c>
    </row>
    <row r="786" spans="1:6" x14ac:dyDescent="0.55000000000000004">
      <c r="A786" t="s">
        <v>76</v>
      </c>
      <c r="B786" t="s">
        <v>8</v>
      </c>
      <c r="C786">
        <v>3897288.8868999998</v>
      </c>
      <c r="D786" t="s">
        <v>202</v>
      </c>
      <c r="E786">
        <v>2017</v>
      </c>
      <c r="F786">
        <v>2</v>
      </c>
    </row>
    <row r="787" spans="1:6" x14ac:dyDescent="0.55000000000000004">
      <c r="A787" t="s">
        <v>76</v>
      </c>
      <c r="B787" t="s">
        <v>9</v>
      </c>
      <c r="C787">
        <v>1200</v>
      </c>
      <c r="D787" t="s">
        <v>202</v>
      </c>
      <c r="E787">
        <v>2017</v>
      </c>
      <c r="F787">
        <v>2</v>
      </c>
    </row>
    <row r="788" spans="1:6" x14ac:dyDescent="0.55000000000000004">
      <c r="A788" t="s">
        <v>76</v>
      </c>
      <c r="B788" t="s">
        <v>10</v>
      </c>
      <c r="C788">
        <v>3049.4416999999999</v>
      </c>
      <c r="D788" t="s">
        <v>202</v>
      </c>
      <c r="E788">
        <v>2017</v>
      </c>
      <c r="F788">
        <v>2</v>
      </c>
    </row>
    <row r="789" spans="1:6" x14ac:dyDescent="0.55000000000000004">
      <c r="A789" t="s">
        <v>76</v>
      </c>
      <c r="B789" t="s">
        <v>11</v>
      </c>
      <c r="C789">
        <v>2590825.4108000002</v>
      </c>
      <c r="D789" t="s">
        <v>202</v>
      </c>
      <c r="E789">
        <v>2017</v>
      </c>
      <c r="F789">
        <v>2</v>
      </c>
    </row>
    <row r="790" spans="1:6" x14ac:dyDescent="0.55000000000000004">
      <c r="A790" t="s">
        <v>76</v>
      </c>
      <c r="B790" t="s">
        <v>12</v>
      </c>
      <c r="C790">
        <v>7553.5667000000003</v>
      </c>
      <c r="D790" t="s">
        <v>202</v>
      </c>
      <c r="E790">
        <v>2017</v>
      </c>
      <c r="F790">
        <v>2</v>
      </c>
    </row>
    <row r="791" spans="1:6" x14ac:dyDescent="0.55000000000000004">
      <c r="A791" t="s">
        <v>76</v>
      </c>
      <c r="B791" t="s">
        <v>13</v>
      </c>
      <c r="C791">
        <v>3582</v>
      </c>
      <c r="D791" t="s">
        <v>202</v>
      </c>
      <c r="E791">
        <v>2017</v>
      </c>
      <c r="F791">
        <v>2</v>
      </c>
    </row>
    <row r="792" spans="1:6" x14ac:dyDescent="0.55000000000000004">
      <c r="A792" t="s">
        <v>76</v>
      </c>
      <c r="B792" t="s">
        <v>14</v>
      </c>
      <c r="C792">
        <v>0</v>
      </c>
      <c r="D792" t="s">
        <v>202</v>
      </c>
      <c r="E792">
        <v>2017</v>
      </c>
      <c r="F792">
        <v>2</v>
      </c>
    </row>
    <row r="793" spans="1:6" x14ac:dyDescent="0.55000000000000004">
      <c r="A793" t="s">
        <v>76</v>
      </c>
      <c r="B793" t="s">
        <v>15</v>
      </c>
      <c r="C793">
        <v>1182329.2307</v>
      </c>
      <c r="D793" t="s">
        <v>202</v>
      </c>
      <c r="E793">
        <v>2017</v>
      </c>
      <c r="F793">
        <v>2</v>
      </c>
    </row>
    <row r="794" spans="1:6" x14ac:dyDescent="0.55000000000000004">
      <c r="A794" t="s">
        <v>76</v>
      </c>
      <c r="B794" t="s">
        <v>16</v>
      </c>
      <c r="C794">
        <v>0</v>
      </c>
      <c r="D794" t="s">
        <v>202</v>
      </c>
      <c r="E794">
        <v>2017</v>
      </c>
      <c r="F794">
        <v>2</v>
      </c>
    </row>
    <row r="795" spans="1:6" x14ac:dyDescent="0.55000000000000004">
      <c r="A795" t="s">
        <v>76</v>
      </c>
      <c r="B795" t="s">
        <v>17</v>
      </c>
      <c r="C795">
        <v>103835.2288</v>
      </c>
      <c r="D795" t="s">
        <v>202</v>
      </c>
      <c r="E795">
        <v>2017</v>
      </c>
      <c r="F795">
        <v>2</v>
      </c>
    </row>
    <row r="796" spans="1:6" x14ac:dyDescent="0.55000000000000004">
      <c r="A796" t="s">
        <v>76</v>
      </c>
      <c r="B796" t="s">
        <v>18</v>
      </c>
      <c r="C796">
        <v>43404.450299999997</v>
      </c>
      <c r="D796" t="s">
        <v>202</v>
      </c>
      <c r="E796">
        <v>2017</v>
      </c>
      <c r="F796">
        <v>2</v>
      </c>
    </row>
    <row r="797" spans="1:6" x14ac:dyDescent="0.55000000000000004">
      <c r="A797" t="s">
        <v>76</v>
      </c>
      <c r="B797" t="s">
        <v>19</v>
      </c>
      <c r="C797">
        <v>3150</v>
      </c>
      <c r="D797" t="s">
        <v>202</v>
      </c>
      <c r="E797">
        <v>2017</v>
      </c>
      <c r="F797">
        <v>2</v>
      </c>
    </row>
    <row r="798" spans="1:6" x14ac:dyDescent="0.55000000000000004">
      <c r="A798" t="s">
        <v>76</v>
      </c>
      <c r="B798" t="s">
        <v>20</v>
      </c>
      <c r="C798">
        <v>4841.3500000000004</v>
      </c>
      <c r="D798" t="s">
        <v>202</v>
      </c>
      <c r="E798">
        <v>2017</v>
      </c>
      <c r="F798">
        <v>2</v>
      </c>
    </row>
    <row r="799" spans="1:6" x14ac:dyDescent="0.55000000000000004">
      <c r="A799" t="s">
        <v>76</v>
      </c>
      <c r="B799" t="s">
        <v>21</v>
      </c>
      <c r="C799">
        <v>1414.6534999999999</v>
      </c>
      <c r="D799" t="s">
        <v>202</v>
      </c>
      <c r="E799">
        <v>2017</v>
      </c>
      <c r="F799">
        <v>2</v>
      </c>
    </row>
    <row r="800" spans="1:6" x14ac:dyDescent="0.55000000000000004">
      <c r="A800" t="s">
        <v>76</v>
      </c>
      <c r="B800" t="s">
        <v>22</v>
      </c>
      <c r="C800">
        <v>64403.1878</v>
      </c>
      <c r="D800" t="s">
        <v>202</v>
      </c>
      <c r="E800">
        <v>2017</v>
      </c>
      <c r="F800">
        <v>2</v>
      </c>
    </row>
    <row r="801" spans="1:6" x14ac:dyDescent="0.55000000000000004">
      <c r="A801" t="s">
        <v>76</v>
      </c>
      <c r="B801" t="s">
        <v>23</v>
      </c>
      <c r="C801">
        <v>50641.480900000002</v>
      </c>
      <c r="D801" t="s">
        <v>202</v>
      </c>
      <c r="E801">
        <v>2017</v>
      </c>
      <c r="F801">
        <v>2</v>
      </c>
    </row>
    <row r="802" spans="1:6" x14ac:dyDescent="0.55000000000000004">
      <c r="A802" t="s">
        <v>76</v>
      </c>
      <c r="B802" t="s">
        <v>24</v>
      </c>
      <c r="C802">
        <v>0</v>
      </c>
      <c r="D802" t="s">
        <v>202</v>
      </c>
      <c r="E802">
        <v>2017</v>
      </c>
      <c r="F802">
        <v>2</v>
      </c>
    </row>
    <row r="803" spans="1:6" x14ac:dyDescent="0.55000000000000004">
      <c r="A803" t="s">
        <v>76</v>
      </c>
      <c r="B803" t="s">
        <v>25</v>
      </c>
      <c r="C803">
        <v>167536.3333</v>
      </c>
      <c r="D803" t="s">
        <v>202</v>
      </c>
      <c r="E803">
        <v>2017</v>
      </c>
      <c r="F803">
        <v>2</v>
      </c>
    </row>
    <row r="804" spans="1:6" x14ac:dyDescent="0.55000000000000004">
      <c r="A804" t="s">
        <v>76</v>
      </c>
      <c r="B804" t="s">
        <v>26</v>
      </c>
      <c r="C804">
        <v>0</v>
      </c>
      <c r="D804" t="s">
        <v>202</v>
      </c>
      <c r="E804">
        <v>2017</v>
      </c>
      <c r="F804">
        <v>2</v>
      </c>
    </row>
    <row r="805" spans="1:6" x14ac:dyDescent="0.55000000000000004">
      <c r="A805" t="s">
        <v>76</v>
      </c>
      <c r="B805" t="s">
        <v>27</v>
      </c>
      <c r="C805">
        <v>1882.3913</v>
      </c>
      <c r="D805" t="s">
        <v>202</v>
      </c>
      <c r="E805">
        <v>2017</v>
      </c>
      <c r="F805">
        <v>2</v>
      </c>
    </row>
    <row r="806" spans="1:6" x14ac:dyDescent="0.55000000000000004">
      <c r="A806" t="s">
        <v>76</v>
      </c>
      <c r="B806" t="s">
        <v>28</v>
      </c>
      <c r="C806">
        <v>278110.43310000002</v>
      </c>
      <c r="D806" t="s">
        <v>202</v>
      </c>
      <c r="E806">
        <v>2017</v>
      </c>
      <c r="F806">
        <v>2</v>
      </c>
    </row>
    <row r="807" spans="1:6" x14ac:dyDescent="0.55000000000000004">
      <c r="A807" t="s">
        <v>76</v>
      </c>
      <c r="B807" t="s">
        <v>29</v>
      </c>
      <c r="C807">
        <v>17594.089899999999</v>
      </c>
      <c r="D807" t="s">
        <v>202</v>
      </c>
      <c r="E807">
        <v>2017</v>
      </c>
      <c r="F807">
        <v>2</v>
      </c>
    </row>
    <row r="808" spans="1:6" x14ac:dyDescent="0.55000000000000004">
      <c r="A808" t="s">
        <v>76</v>
      </c>
      <c r="B808" t="s">
        <v>30</v>
      </c>
      <c r="C808">
        <v>3.0333000000000001</v>
      </c>
      <c r="D808" t="s">
        <v>202</v>
      </c>
      <c r="E808">
        <v>2017</v>
      </c>
      <c r="F808">
        <v>2</v>
      </c>
    </row>
    <row r="809" spans="1:6" x14ac:dyDescent="0.55000000000000004">
      <c r="A809" t="s">
        <v>76</v>
      </c>
      <c r="B809" t="s">
        <v>31</v>
      </c>
      <c r="C809">
        <v>66.212599999999995</v>
      </c>
      <c r="D809" t="s">
        <v>202</v>
      </c>
      <c r="E809">
        <v>2017</v>
      </c>
      <c r="F809">
        <v>2</v>
      </c>
    </row>
    <row r="810" spans="1:6" x14ac:dyDescent="0.55000000000000004">
      <c r="A810" t="s">
        <v>76</v>
      </c>
      <c r="B810" t="s">
        <v>32</v>
      </c>
      <c r="C810">
        <v>832307.13329999999</v>
      </c>
      <c r="D810" t="s">
        <v>202</v>
      </c>
      <c r="E810">
        <v>2017</v>
      </c>
      <c r="F810">
        <v>2</v>
      </c>
    </row>
    <row r="811" spans="1:6" x14ac:dyDescent="0.55000000000000004">
      <c r="A811" t="s">
        <v>76</v>
      </c>
      <c r="B811" t="s">
        <v>33</v>
      </c>
      <c r="C811">
        <v>508530.39039999997</v>
      </c>
      <c r="D811" t="s">
        <v>202</v>
      </c>
      <c r="E811">
        <v>2017</v>
      </c>
      <c r="F811">
        <v>2</v>
      </c>
    </row>
    <row r="812" spans="1:6" x14ac:dyDescent="0.55000000000000004">
      <c r="A812" t="s">
        <v>76</v>
      </c>
      <c r="B812" t="s">
        <v>34</v>
      </c>
      <c r="C812">
        <v>457131.57380000001</v>
      </c>
      <c r="D812" t="s">
        <v>202</v>
      </c>
      <c r="E812">
        <v>2017</v>
      </c>
      <c r="F812">
        <v>2</v>
      </c>
    </row>
    <row r="813" spans="1:6" x14ac:dyDescent="0.55000000000000004">
      <c r="A813" t="s">
        <v>76</v>
      </c>
      <c r="B813" t="s">
        <v>35</v>
      </c>
      <c r="C813">
        <v>505.76589999999999</v>
      </c>
      <c r="D813" t="s">
        <v>202</v>
      </c>
      <c r="E813">
        <v>2017</v>
      </c>
      <c r="F813">
        <v>2</v>
      </c>
    </row>
    <row r="814" spans="1:6" x14ac:dyDescent="0.55000000000000004">
      <c r="A814" t="s">
        <v>76</v>
      </c>
      <c r="B814" t="s">
        <v>36</v>
      </c>
      <c r="C814">
        <v>64895.639000000003</v>
      </c>
      <c r="D814" t="s">
        <v>202</v>
      </c>
      <c r="E814">
        <v>2017</v>
      </c>
      <c r="F814">
        <v>2</v>
      </c>
    </row>
    <row r="815" spans="1:6" x14ac:dyDescent="0.55000000000000004">
      <c r="A815" t="s">
        <v>76</v>
      </c>
      <c r="B815" t="s">
        <v>37</v>
      </c>
      <c r="C815">
        <v>36967.127</v>
      </c>
      <c r="D815" t="s">
        <v>202</v>
      </c>
      <c r="E815">
        <v>2017</v>
      </c>
      <c r="F815">
        <v>2</v>
      </c>
    </row>
    <row r="816" spans="1:6" x14ac:dyDescent="0.55000000000000004">
      <c r="A816" t="s">
        <v>76</v>
      </c>
      <c r="B816" t="s">
        <v>38</v>
      </c>
      <c r="C816">
        <v>0</v>
      </c>
      <c r="D816" t="s">
        <v>202</v>
      </c>
      <c r="E816">
        <v>2017</v>
      </c>
      <c r="F816">
        <v>2</v>
      </c>
    </row>
    <row r="817" spans="1:6" x14ac:dyDescent="0.55000000000000004">
      <c r="A817" t="s">
        <v>76</v>
      </c>
      <c r="B817" t="s">
        <v>39</v>
      </c>
      <c r="C817">
        <v>8451.01</v>
      </c>
      <c r="D817" t="s">
        <v>202</v>
      </c>
      <c r="E817">
        <v>2017</v>
      </c>
      <c r="F817">
        <v>2</v>
      </c>
    </row>
    <row r="818" spans="1:6" x14ac:dyDescent="0.55000000000000004">
      <c r="A818" t="s">
        <v>76</v>
      </c>
      <c r="B818" t="s">
        <v>40</v>
      </c>
      <c r="C818">
        <v>1393.7221</v>
      </c>
      <c r="D818" t="s">
        <v>202</v>
      </c>
      <c r="E818">
        <v>2017</v>
      </c>
      <c r="F818">
        <v>2</v>
      </c>
    </row>
    <row r="819" spans="1:6" x14ac:dyDescent="0.55000000000000004">
      <c r="A819" t="s">
        <v>76</v>
      </c>
      <c r="B819" t="s">
        <v>41</v>
      </c>
      <c r="C819">
        <v>187038.10740000001</v>
      </c>
      <c r="D819" t="s">
        <v>202</v>
      </c>
      <c r="E819">
        <v>2017</v>
      </c>
      <c r="F819">
        <v>2</v>
      </c>
    </row>
    <row r="820" spans="1:6" x14ac:dyDescent="0.55000000000000004">
      <c r="A820" t="s">
        <v>76</v>
      </c>
      <c r="B820" t="s">
        <v>42</v>
      </c>
      <c r="C820">
        <v>19.017800000000001</v>
      </c>
      <c r="D820" t="s">
        <v>202</v>
      </c>
      <c r="E820">
        <v>2017</v>
      </c>
      <c r="F820">
        <v>2</v>
      </c>
    </row>
    <row r="821" spans="1:6" x14ac:dyDescent="0.55000000000000004">
      <c r="A821" t="s">
        <v>76</v>
      </c>
      <c r="B821" t="s">
        <v>43</v>
      </c>
      <c r="C821">
        <v>231700.89509999999</v>
      </c>
      <c r="D821" t="s">
        <v>202</v>
      </c>
      <c r="E821">
        <v>2017</v>
      </c>
      <c r="F821">
        <v>2</v>
      </c>
    </row>
    <row r="822" spans="1:6" x14ac:dyDescent="0.55000000000000004">
      <c r="A822" t="s">
        <v>76</v>
      </c>
      <c r="B822" t="s">
        <v>44</v>
      </c>
      <c r="C822">
        <v>0</v>
      </c>
      <c r="D822" t="s">
        <v>202</v>
      </c>
      <c r="E822">
        <v>2017</v>
      </c>
      <c r="F822">
        <v>2</v>
      </c>
    </row>
    <row r="823" spans="1:6" x14ac:dyDescent="0.55000000000000004">
      <c r="A823" t="s">
        <v>76</v>
      </c>
      <c r="B823" t="s">
        <v>45</v>
      </c>
      <c r="C823">
        <v>2385.8357000000001</v>
      </c>
      <c r="D823" t="s">
        <v>202</v>
      </c>
      <c r="E823">
        <v>2017</v>
      </c>
      <c r="F823">
        <v>2</v>
      </c>
    </row>
    <row r="824" spans="1:6" x14ac:dyDescent="0.55000000000000004">
      <c r="A824" t="s">
        <v>76</v>
      </c>
      <c r="B824" t="s">
        <v>46</v>
      </c>
      <c r="C824">
        <v>60961.436399999999</v>
      </c>
      <c r="D824" t="s">
        <v>202</v>
      </c>
      <c r="E824">
        <v>2017</v>
      </c>
      <c r="F824">
        <v>2</v>
      </c>
    </row>
    <row r="825" spans="1:6" x14ac:dyDescent="0.55000000000000004">
      <c r="A825" t="s">
        <v>76</v>
      </c>
      <c r="B825" t="s">
        <v>47</v>
      </c>
      <c r="C825">
        <v>0</v>
      </c>
      <c r="D825" t="s">
        <v>202</v>
      </c>
      <c r="E825">
        <v>2017</v>
      </c>
      <c r="F825">
        <v>2</v>
      </c>
    </row>
    <row r="826" spans="1:6" x14ac:dyDescent="0.55000000000000004">
      <c r="A826" t="s">
        <v>76</v>
      </c>
      <c r="B826" t="s">
        <v>48</v>
      </c>
      <c r="C826">
        <v>103829.3</v>
      </c>
      <c r="D826" t="s">
        <v>202</v>
      </c>
      <c r="E826">
        <v>2017</v>
      </c>
      <c r="F826">
        <v>2</v>
      </c>
    </row>
    <row r="827" spans="1:6" x14ac:dyDescent="0.55000000000000004">
      <c r="A827" t="s">
        <v>76</v>
      </c>
      <c r="B827" t="s">
        <v>49</v>
      </c>
      <c r="C827">
        <v>1540.3440000000001</v>
      </c>
      <c r="D827" t="s">
        <v>202</v>
      </c>
      <c r="E827">
        <v>2017</v>
      </c>
      <c r="F827">
        <v>2</v>
      </c>
    </row>
    <row r="828" spans="1:6" x14ac:dyDescent="0.55000000000000004">
      <c r="A828" t="s">
        <v>76</v>
      </c>
      <c r="B828" t="s">
        <v>50</v>
      </c>
      <c r="C828">
        <v>13150.3783</v>
      </c>
      <c r="D828" t="s">
        <v>202</v>
      </c>
      <c r="E828">
        <v>2017</v>
      </c>
      <c r="F828">
        <v>2</v>
      </c>
    </row>
    <row r="829" spans="1:6" x14ac:dyDescent="0.55000000000000004">
      <c r="A829" t="s">
        <v>76</v>
      </c>
      <c r="B829" t="s">
        <v>51</v>
      </c>
      <c r="C829">
        <v>1733.3776</v>
      </c>
      <c r="D829" t="s">
        <v>202</v>
      </c>
      <c r="E829">
        <v>2017</v>
      </c>
      <c r="F829">
        <v>2</v>
      </c>
    </row>
    <row r="830" spans="1:6" x14ac:dyDescent="0.55000000000000004">
      <c r="A830" t="s">
        <v>76</v>
      </c>
      <c r="B830" t="s">
        <v>52</v>
      </c>
      <c r="C830">
        <v>105.78400000000001</v>
      </c>
      <c r="D830" t="s">
        <v>202</v>
      </c>
      <c r="E830">
        <v>2017</v>
      </c>
      <c r="F830">
        <v>2</v>
      </c>
    </row>
    <row r="831" spans="1:6" x14ac:dyDescent="0.55000000000000004">
      <c r="A831" t="s">
        <v>76</v>
      </c>
      <c r="B831" t="s">
        <v>53</v>
      </c>
      <c r="C831">
        <v>91184.827999999994</v>
      </c>
      <c r="D831" t="s">
        <v>202</v>
      </c>
      <c r="E831">
        <v>2017</v>
      </c>
      <c r="F831">
        <v>2</v>
      </c>
    </row>
    <row r="832" spans="1:6" x14ac:dyDescent="0.55000000000000004">
      <c r="A832" t="s">
        <v>76</v>
      </c>
      <c r="B832" t="s">
        <v>54</v>
      </c>
      <c r="C832">
        <v>11380.024600000001</v>
      </c>
      <c r="D832" t="s">
        <v>202</v>
      </c>
      <c r="E832">
        <v>2017</v>
      </c>
      <c r="F832">
        <v>2</v>
      </c>
    </row>
    <row r="833" spans="1:6" x14ac:dyDescent="0.55000000000000004">
      <c r="A833" t="s">
        <v>76</v>
      </c>
      <c r="B833" t="s">
        <v>55</v>
      </c>
      <c r="C833">
        <v>12143.2814</v>
      </c>
      <c r="D833" t="s">
        <v>202</v>
      </c>
      <c r="E833">
        <v>2017</v>
      </c>
      <c r="F833">
        <v>2</v>
      </c>
    </row>
    <row r="834" spans="1:6" x14ac:dyDescent="0.55000000000000004">
      <c r="A834" t="s">
        <v>76</v>
      </c>
      <c r="B834" t="s">
        <v>56</v>
      </c>
      <c r="C834">
        <v>2519</v>
      </c>
      <c r="D834" t="s">
        <v>202</v>
      </c>
      <c r="E834">
        <v>2017</v>
      </c>
      <c r="F834">
        <v>2</v>
      </c>
    </row>
    <row r="835" spans="1:6" x14ac:dyDescent="0.55000000000000004">
      <c r="A835" t="s">
        <v>76</v>
      </c>
      <c r="B835" t="s">
        <v>57</v>
      </c>
      <c r="C835">
        <v>55.076700000000002</v>
      </c>
      <c r="D835" t="s">
        <v>202</v>
      </c>
      <c r="E835">
        <v>2017</v>
      </c>
      <c r="F835">
        <v>2</v>
      </c>
    </row>
    <row r="836" spans="1:6" x14ac:dyDescent="0.55000000000000004">
      <c r="A836" t="s">
        <v>76</v>
      </c>
      <c r="B836" t="s">
        <v>58</v>
      </c>
      <c r="C836">
        <v>396523</v>
      </c>
      <c r="D836" t="s">
        <v>202</v>
      </c>
      <c r="E836">
        <v>2017</v>
      </c>
      <c r="F836">
        <v>2</v>
      </c>
    </row>
    <row r="837" spans="1:6" x14ac:dyDescent="0.55000000000000004">
      <c r="A837" t="s">
        <v>76</v>
      </c>
      <c r="B837" t="s">
        <v>59</v>
      </c>
      <c r="C837">
        <v>0</v>
      </c>
      <c r="D837" t="s">
        <v>202</v>
      </c>
      <c r="E837">
        <v>2017</v>
      </c>
      <c r="F837">
        <v>2</v>
      </c>
    </row>
    <row r="838" spans="1:6" x14ac:dyDescent="0.55000000000000004">
      <c r="A838" t="s">
        <v>76</v>
      </c>
      <c r="B838" t="s">
        <v>60</v>
      </c>
      <c r="C838">
        <v>2608079.1477000001</v>
      </c>
      <c r="D838" t="s">
        <v>202</v>
      </c>
      <c r="E838">
        <v>2017</v>
      </c>
      <c r="F838">
        <v>2</v>
      </c>
    </row>
    <row r="839" spans="1:6" x14ac:dyDescent="0.55000000000000004">
      <c r="A839" t="s">
        <v>76</v>
      </c>
      <c r="B839" t="s">
        <v>61</v>
      </c>
      <c r="C839">
        <v>3855.8719999999998</v>
      </c>
      <c r="D839" t="s">
        <v>202</v>
      </c>
      <c r="E839">
        <v>2017</v>
      </c>
      <c r="F839">
        <v>2</v>
      </c>
    </row>
    <row r="840" spans="1:6" x14ac:dyDescent="0.55000000000000004">
      <c r="A840" t="s">
        <v>76</v>
      </c>
      <c r="B840" t="s">
        <v>62</v>
      </c>
      <c r="C840">
        <v>1134.3389999999999</v>
      </c>
      <c r="D840" t="s">
        <v>202</v>
      </c>
      <c r="E840">
        <v>2017</v>
      </c>
      <c r="F840">
        <v>2</v>
      </c>
    </row>
    <row r="841" spans="1:6" x14ac:dyDescent="0.55000000000000004">
      <c r="A841" t="s">
        <v>76</v>
      </c>
      <c r="B841" t="s">
        <v>63</v>
      </c>
      <c r="C841">
        <v>81.27</v>
      </c>
      <c r="D841" t="s">
        <v>202</v>
      </c>
      <c r="E841">
        <v>2017</v>
      </c>
      <c r="F841">
        <v>2</v>
      </c>
    </row>
    <row r="842" spans="1:6" x14ac:dyDescent="0.55000000000000004">
      <c r="A842" t="s">
        <v>77</v>
      </c>
      <c r="B842" t="s">
        <v>4</v>
      </c>
      <c r="C842">
        <v>11268270.905300001</v>
      </c>
      <c r="D842" t="s">
        <v>203</v>
      </c>
      <c r="E842">
        <v>2017</v>
      </c>
      <c r="F842">
        <v>3</v>
      </c>
    </row>
    <row r="843" spans="1:6" x14ac:dyDescent="0.55000000000000004">
      <c r="A843" t="s">
        <v>77</v>
      </c>
      <c r="B843" t="s">
        <v>5</v>
      </c>
      <c r="C843">
        <v>1309678.0529</v>
      </c>
      <c r="D843" t="s">
        <v>203</v>
      </c>
      <c r="E843">
        <v>2017</v>
      </c>
      <c r="F843">
        <v>3</v>
      </c>
    </row>
    <row r="844" spans="1:6" x14ac:dyDescent="0.55000000000000004">
      <c r="A844" t="s">
        <v>77</v>
      </c>
      <c r="B844" t="s">
        <v>6</v>
      </c>
      <c r="C844">
        <v>2507900.5690000001</v>
      </c>
      <c r="D844" t="s">
        <v>203</v>
      </c>
      <c r="E844">
        <v>2017</v>
      </c>
      <c r="F844">
        <v>3</v>
      </c>
    </row>
    <row r="845" spans="1:6" x14ac:dyDescent="0.55000000000000004">
      <c r="A845" t="s">
        <v>77</v>
      </c>
      <c r="B845" t="s">
        <v>7</v>
      </c>
      <c r="C845">
        <v>2905579.1745000002</v>
      </c>
      <c r="D845" t="s">
        <v>203</v>
      </c>
      <c r="E845">
        <v>2017</v>
      </c>
      <c r="F845">
        <v>3</v>
      </c>
    </row>
    <row r="846" spans="1:6" x14ac:dyDescent="0.55000000000000004">
      <c r="A846" t="s">
        <v>77</v>
      </c>
      <c r="B846" t="s">
        <v>8</v>
      </c>
      <c r="C846">
        <v>4545113.1089000003</v>
      </c>
      <c r="D846" t="s">
        <v>203</v>
      </c>
      <c r="E846">
        <v>2017</v>
      </c>
      <c r="F846">
        <v>3</v>
      </c>
    </row>
    <row r="847" spans="1:6" x14ac:dyDescent="0.55000000000000004">
      <c r="A847" t="s">
        <v>77</v>
      </c>
      <c r="B847" t="s">
        <v>9</v>
      </c>
      <c r="C847">
        <v>1785</v>
      </c>
      <c r="D847" t="s">
        <v>203</v>
      </c>
      <c r="E847">
        <v>2017</v>
      </c>
      <c r="F847">
        <v>3</v>
      </c>
    </row>
    <row r="848" spans="1:6" x14ac:dyDescent="0.55000000000000004">
      <c r="A848" t="s">
        <v>77</v>
      </c>
      <c r="B848" t="s">
        <v>10</v>
      </c>
      <c r="C848">
        <v>1266.5667000000001</v>
      </c>
      <c r="D848" t="s">
        <v>203</v>
      </c>
      <c r="E848">
        <v>2017</v>
      </c>
      <c r="F848">
        <v>3</v>
      </c>
    </row>
    <row r="849" spans="1:6" x14ac:dyDescent="0.55000000000000004">
      <c r="A849" t="s">
        <v>77</v>
      </c>
      <c r="B849" t="s">
        <v>11</v>
      </c>
      <c r="C849">
        <v>2834349.1150000002</v>
      </c>
      <c r="D849" t="s">
        <v>203</v>
      </c>
      <c r="E849">
        <v>2017</v>
      </c>
      <c r="F849">
        <v>3</v>
      </c>
    </row>
    <row r="850" spans="1:6" x14ac:dyDescent="0.55000000000000004">
      <c r="A850" t="s">
        <v>77</v>
      </c>
      <c r="B850" t="s">
        <v>12</v>
      </c>
      <c r="C850">
        <v>9412</v>
      </c>
      <c r="D850" t="s">
        <v>203</v>
      </c>
      <c r="E850">
        <v>2017</v>
      </c>
      <c r="F850">
        <v>3</v>
      </c>
    </row>
    <row r="851" spans="1:6" x14ac:dyDescent="0.55000000000000004">
      <c r="A851" t="s">
        <v>77</v>
      </c>
      <c r="B851" t="s">
        <v>13</v>
      </c>
      <c r="C851">
        <v>9596.6666000000005</v>
      </c>
      <c r="D851" t="s">
        <v>203</v>
      </c>
      <c r="E851">
        <v>2017</v>
      </c>
      <c r="F851">
        <v>3</v>
      </c>
    </row>
    <row r="852" spans="1:6" x14ac:dyDescent="0.55000000000000004">
      <c r="A852" t="s">
        <v>77</v>
      </c>
      <c r="B852" t="s">
        <v>14</v>
      </c>
      <c r="C852">
        <v>2538</v>
      </c>
      <c r="D852" t="s">
        <v>203</v>
      </c>
      <c r="E852">
        <v>2017</v>
      </c>
      <c r="F852">
        <v>3</v>
      </c>
    </row>
    <row r="853" spans="1:6" x14ac:dyDescent="0.55000000000000004">
      <c r="A853" t="s">
        <v>77</v>
      </c>
      <c r="B853" t="s">
        <v>15</v>
      </c>
      <c r="C853">
        <v>1160529.7128999999</v>
      </c>
      <c r="D853" t="s">
        <v>203</v>
      </c>
      <c r="E853">
        <v>2017</v>
      </c>
      <c r="F853">
        <v>3</v>
      </c>
    </row>
    <row r="854" spans="1:6" x14ac:dyDescent="0.55000000000000004">
      <c r="A854" t="s">
        <v>77</v>
      </c>
      <c r="B854" t="s">
        <v>16</v>
      </c>
      <c r="C854">
        <v>0</v>
      </c>
      <c r="D854" t="s">
        <v>203</v>
      </c>
      <c r="E854">
        <v>2017</v>
      </c>
      <c r="F854">
        <v>3</v>
      </c>
    </row>
    <row r="855" spans="1:6" x14ac:dyDescent="0.55000000000000004">
      <c r="A855" t="s">
        <v>77</v>
      </c>
      <c r="B855" t="s">
        <v>17</v>
      </c>
      <c r="C855">
        <v>90618.567500000005</v>
      </c>
      <c r="D855" t="s">
        <v>203</v>
      </c>
      <c r="E855">
        <v>2017</v>
      </c>
      <c r="F855">
        <v>3</v>
      </c>
    </row>
    <row r="856" spans="1:6" x14ac:dyDescent="0.55000000000000004">
      <c r="A856" t="s">
        <v>77</v>
      </c>
      <c r="B856" t="s">
        <v>18</v>
      </c>
      <c r="C856">
        <v>131130.91649999999</v>
      </c>
      <c r="D856" t="s">
        <v>203</v>
      </c>
      <c r="E856">
        <v>2017</v>
      </c>
      <c r="F856">
        <v>3</v>
      </c>
    </row>
    <row r="857" spans="1:6" x14ac:dyDescent="0.55000000000000004">
      <c r="A857" t="s">
        <v>77</v>
      </c>
      <c r="B857" t="s">
        <v>19</v>
      </c>
      <c r="C857">
        <v>600</v>
      </c>
      <c r="D857" t="s">
        <v>203</v>
      </c>
      <c r="E857">
        <v>2017</v>
      </c>
      <c r="F857">
        <v>3</v>
      </c>
    </row>
    <row r="858" spans="1:6" x14ac:dyDescent="0.55000000000000004">
      <c r="A858" t="s">
        <v>77</v>
      </c>
      <c r="B858" t="s">
        <v>20</v>
      </c>
      <c r="C858">
        <v>5867.16</v>
      </c>
      <c r="D858" t="s">
        <v>203</v>
      </c>
      <c r="E858">
        <v>2017</v>
      </c>
      <c r="F858">
        <v>3</v>
      </c>
    </row>
    <row r="859" spans="1:6" x14ac:dyDescent="0.55000000000000004">
      <c r="A859" t="s">
        <v>77</v>
      </c>
      <c r="B859" t="s">
        <v>21</v>
      </c>
      <c r="C859">
        <v>1159.2358999999999</v>
      </c>
      <c r="D859" t="s">
        <v>203</v>
      </c>
      <c r="E859">
        <v>2017</v>
      </c>
      <c r="F859">
        <v>3</v>
      </c>
    </row>
    <row r="860" spans="1:6" x14ac:dyDescent="0.55000000000000004">
      <c r="A860" t="s">
        <v>77</v>
      </c>
      <c r="B860" t="s">
        <v>22</v>
      </c>
      <c r="C860">
        <v>49774.644800000002</v>
      </c>
      <c r="D860" t="s">
        <v>203</v>
      </c>
      <c r="E860">
        <v>2017</v>
      </c>
      <c r="F860">
        <v>3</v>
      </c>
    </row>
    <row r="861" spans="1:6" x14ac:dyDescent="0.55000000000000004">
      <c r="A861" t="s">
        <v>77</v>
      </c>
      <c r="B861" t="s">
        <v>23</v>
      </c>
      <c r="C861">
        <v>68911.772400000002</v>
      </c>
      <c r="D861" t="s">
        <v>203</v>
      </c>
      <c r="E861">
        <v>2017</v>
      </c>
      <c r="F861">
        <v>3</v>
      </c>
    </row>
    <row r="862" spans="1:6" x14ac:dyDescent="0.55000000000000004">
      <c r="A862" t="s">
        <v>77</v>
      </c>
      <c r="B862" t="s">
        <v>24</v>
      </c>
      <c r="C862">
        <v>0</v>
      </c>
      <c r="D862" t="s">
        <v>203</v>
      </c>
      <c r="E862">
        <v>2017</v>
      </c>
      <c r="F862">
        <v>3</v>
      </c>
    </row>
    <row r="863" spans="1:6" x14ac:dyDescent="0.55000000000000004">
      <c r="A863" t="s">
        <v>77</v>
      </c>
      <c r="B863" t="s">
        <v>25</v>
      </c>
      <c r="C863">
        <v>269788.8333</v>
      </c>
      <c r="D863" t="s">
        <v>203</v>
      </c>
      <c r="E863">
        <v>2017</v>
      </c>
      <c r="F863">
        <v>3</v>
      </c>
    </row>
    <row r="864" spans="1:6" x14ac:dyDescent="0.55000000000000004">
      <c r="A864" t="s">
        <v>77</v>
      </c>
      <c r="B864" t="s">
        <v>26</v>
      </c>
      <c r="C864">
        <v>0</v>
      </c>
      <c r="D864" t="s">
        <v>203</v>
      </c>
      <c r="E864">
        <v>2017</v>
      </c>
      <c r="F864">
        <v>3</v>
      </c>
    </row>
    <row r="865" spans="1:6" x14ac:dyDescent="0.55000000000000004">
      <c r="A865" t="s">
        <v>77</v>
      </c>
      <c r="B865" t="s">
        <v>27</v>
      </c>
      <c r="C865">
        <v>2134.2966999999999</v>
      </c>
      <c r="D865" t="s">
        <v>203</v>
      </c>
      <c r="E865">
        <v>2017</v>
      </c>
      <c r="F865">
        <v>3</v>
      </c>
    </row>
    <row r="866" spans="1:6" x14ac:dyDescent="0.55000000000000004">
      <c r="A866" t="s">
        <v>77</v>
      </c>
      <c r="B866" t="s">
        <v>28</v>
      </c>
      <c r="C866">
        <v>380935.3173</v>
      </c>
      <c r="D866" t="s">
        <v>203</v>
      </c>
      <c r="E866">
        <v>2017</v>
      </c>
      <c r="F866">
        <v>3</v>
      </c>
    </row>
    <row r="867" spans="1:6" x14ac:dyDescent="0.55000000000000004">
      <c r="A867" t="s">
        <v>77</v>
      </c>
      <c r="B867" t="s">
        <v>29</v>
      </c>
      <c r="C867">
        <v>17121.127899999999</v>
      </c>
      <c r="D867" t="s">
        <v>203</v>
      </c>
      <c r="E867">
        <v>2017</v>
      </c>
      <c r="F867">
        <v>3</v>
      </c>
    </row>
    <row r="868" spans="1:6" x14ac:dyDescent="0.55000000000000004">
      <c r="A868" t="s">
        <v>77</v>
      </c>
      <c r="B868" t="s">
        <v>30</v>
      </c>
      <c r="C868">
        <v>20.756699999999999</v>
      </c>
      <c r="D868" t="s">
        <v>203</v>
      </c>
      <c r="E868">
        <v>2017</v>
      </c>
      <c r="F868">
        <v>3</v>
      </c>
    </row>
    <row r="869" spans="1:6" x14ac:dyDescent="0.55000000000000004">
      <c r="A869" t="s">
        <v>77</v>
      </c>
      <c r="B869" t="s">
        <v>31</v>
      </c>
      <c r="C869">
        <v>17.555299999999999</v>
      </c>
      <c r="D869" t="s">
        <v>203</v>
      </c>
      <c r="E869">
        <v>2017</v>
      </c>
      <c r="F869">
        <v>3</v>
      </c>
    </row>
    <row r="870" spans="1:6" x14ac:dyDescent="0.55000000000000004">
      <c r="A870" t="s">
        <v>77</v>
      </c>
      <c r="B870" t="s">
        <v>32</v>
      </c>
      <c r="C870">
        <v>800968.951</v>
      </c>
      <c r="D870" t="s">
        <v>203</v>
      </c>
      <c r="E870">
        <v>2017</v>
      </c>
      <c r="F870">
        <v>3</v>
      </c>
    </row>
    <row r="871" spans="1:6" x14ac:dyDescent="0.55000000000000004">
      <c r="A871" t="s">
        <v>77</v>
      </c>
      <c r="B871" t="s">
        <v>33</v>
      </c>
      <c r="C871">
        <v>682543.9031</v>
      </c>
      <c r="D871" t="s">
        <v>203</v>
      </c>
      <c r="E871">
        <v>2017</v>
      </c>
      <c r="F871">
        <v>3</v>
      </c>
    </row>
    <row r="872" spans="1:6" x14ac:dyDescent="0.55000000000000004">
      <c r="A872" t="s">
        <v>77</v>
      </c>
      <c r="B872" t="s">
        <v>34</v>
      </c>
      <c r="C872">
        <v>580848.22199999995</v>
      </c>
      <c r="D872" t="s">
        <v>203</v>
      </c>
      <c r="E872">
        <v>2017</v>
      </c>
      <c r="F872">
        <v>3</v>
      </c>
    </row>
    <row r="873" spans="1:6" x14ac:dyDescent="0.55000000000000004">
      <c r="A873" t="s">
        <v>77</v>
      </c>
      <c r="B873" t="s">
        <v>35</v>
      </c>
      <c r="C873">
        <v>342.78910000000002</v>
      </c>
      <c r="D873" t="s">
        <v>203</v>
      </c>
      <c r="E873">
        <v>2017</v>
      </c>
      <c r="F873">
        <v>3</v>
      </c>
    </row>
    <row r="874" spans="1:6" x14ac:dyDescent="0.55000000000000004">
      <c r="A874" t="s">
        <v>77</v>
      </c>
      <c r="B874" t="s">
        <v>36</v>
      </c>
      <c r="C874">
        <v>71923.990000000005</v>
      </c>
      <c r="D874" t="s">
        <v>203</v>
      </c>
      <c r="E874">
        <v>2017</v>
      </c>
      <c r="F874">
        <v>3</v>
      </c>
    </row>
    <row r="875" spans="1:6" x14ac:dyDescent="0.55000000000000004">
      <c r="A875" t="s">
        <v>77</v>
      </c>
      <c r="B875" t="s">
        <v>37</v>
      </c>
      <c r="C875">
        <v>26521.275099999999</v>
      </c>
      <c r="D875" t="s">
        <v>203</v>
      </c>
      <c r="E875">
        <v>2017</v>
      </c>
      <c r="F875">
        <v>3</v>
      </c>
    </row>
    <row r="876" spans="1:6" x14ac:dyDescent="0.55000000000000004">
      <c r="A876" t="s">
        <v>77</v>
      </c>
      <c r="B876" t="s">
        <v>38</v>
      </c>
      <c r="C876">
        <v>0</v>
      </c>
      <c r="D876" t="s">
        <v>203</v>
      </c>
      <c r="E876">
        <v>2017</v>
      </c>
      <c r="F876">
        <v>3</v>
      </c>
    </row>
    <row r="877" spans="1:6" x14ac:dyDescent="0.55000000000000004">
      <c r="A877" t="s">
        <v>77</v>
      </c>
      <c r="B877" t="s">
        <v>39</v>
      </c>
      <c r="C877">
        <v>7886.02</v>
      </c>
      <c r="D877" t="s">
        <v>203</v>
      </c>
      <c r="E877">
        <v>2017</v>
      </c>
      <c r="F877">
        <v>3</v>
      </c>
    </row>
    <row r="878" spans="1:6" x14ac:dyDescent="0.55000000000000004">
      <c r="A878" t="s">
        <v>77</v>
      </c>
      <c r="B878" t="s">
        <v>40</v>
      </c>
      <c r="C878">
        <v>1871.2201</v>
      </c>
      <c r="D878" t="s">
        <v>203</v>
      </c>
      <c r="E878">
        <v>2017</v>
      </c>
      <c r="F878">
        <v>3</v>
      </c>
    </row>
    <row r="879" spans="1:6" x14ac:dyDescent="0.55000000000000004">
      <c r="A879" t="s">
        <v>77</v>
      </c>
      <c r="B879" t="s">
        <v>41</v>
      </c>
      <c r="C879">
        <v>240855.41440000001</v>
      </c>
      <c r="D879" t="s">
        <v>203</v>
      </c>
      <c r="E879">
        <v>2017</v>
      </c>
      <c r="F879">
        <v>3</v>
      </c>
    </row>
    <row r="880" spans="1:6" x14ac:dyDescent="0.55000000000000004">
      <c r="A880" t="s">
        <v>77</v>
      </c>
      <c r="B880" t="s">
        <v>42</v>
      </c>
      <c r="C880">
        <v>92.517799999999994</v>
      </c>
      <c r="D880" t="s">
        <v>203</v>
      </c>
      <c r="E880">
        <v>2017</v>
      </c>
      <c r="F880">
        <v>3</v>
      </c>
    </row>
    <row r="881" spans="1:6" x14ac:dyDescent="0.55000000000000004">
      <c r="A881" t="s">
        <v>77</v>
      </c>
      <c r="B881" t="s">
        <v>43</v>
      </c>
      <c r="C881">
        <v>292485.50520000001</v>
      </c>
      <c r="D881" t="s">
        <v>203</v>
      </c>
      <c r="E881">
        <v>2017</v>
      </c>
      <c r="F881">
        <v>3</v>
      </c>
    </row>
    <row r="882" spans="1:6" x14ac:dyDescent="0.55000000000000004">
      <c r="A882" t="s">
        <v>77</v>
      </c>
      <c r="B882" t="s">
        <v>44</v>
      </c>
      <c r="C882">
        <v>0</v>
      </c>
      <c r="D882" t="s">
        <v>203</v>
      </c>
      <c r="E882">
        <v>2017</v>
      </c>
      <c r="F882">
        <v>3</v>
      </c>
    </row>
    <row r="883" spans="1:6" x14ac:dyDescent="0.55000000000000004">
      <c r="A883" t="s">
        <v>77</v>
      </c>
      <c r="B883" t="s">
        <v>45</v>
      </c>
      <c r="C883">
        <v>3233.4902000000002</v>
      </c>
      <c r="D883" t="s">
        <v>203</v>
      </c>
      <c r="E883">
        <v>2017</v>
      </c>
      <c r="F883">
        <v>3</v>
      </c>
    </row>
    <row r="884" spans="1:6" x14ac:dyDescent="0.55000000000000004">
      <c r="A884" t="s">
        <v>77</v>
      </c>
      <c r="B884" t="s">
        <v>46</v>
      </c>
      <c r="C884">
        <v>36234.089999999997</v>
      </c>
      <c r="D884" t="s">
        <v>203</v>
      </c>
      <c r="E884">
        <v>2017</v>
      </c>
      <c r="F884">
        <v>3</v>
      </c>
    </row>
    <row r="885" spans="1:6" x14ac:dyDescent="0.55000000000000004">
      <c r="A885" t="s">
        <v>77</v>
      </c>
      <c r="B885" t="s">
        <v>47</v>
      </c>
      <c r="C885">
        <v>0</v>
      </c>
      <c r="D885" t="s">
        <v>203</v>
      </c>
      <c r="E885">
        <v>2017</v>
      </c>
      <c r="F885">
        <v>3</v>
      </c>
    </row>
    <row r="886" spans="1:6" x14ac:dyDescent="0.55000000000000004">
      <c r="A886" t="s">
        <v>77</v>
      </c>
      <c r="B886" t="s">
        <v>48</v>
      </c>
      <c r="C886">
        <v>80362.509999999995</v>
      </c>
      <c r="D886" t="s">
        <v>203</v>
      </c>
      <c r="E886">
        <v>2017</v>
      </c>
      <c r="F886">
        <v>3</v>
      </c>
    </row>
    <row r="887" spans="1:6" x14ac:dyDescent="0.55000000000000004">
      <c r="A887" t="s">
        <v>77</v>
      </c>
      <c r="B887" t="s">
        <v>49</v>
      </c>
      <c r="C887">
        <v>1247.558</v>
      </c>
      <c r="D887" t="s">
        <v>203</v>
      </c>
      <c r="E887">
        <v>2017</v>
      </c>
      <c r="F887">
        <v>3</v>
      </c>
    </row>
    <row r="888" spans="1:6" x14ac:dyDescent="0.55000000000000004">
      <c r="A888" t="s">
        <v>77</v>
      </c>
      <c r="B888" t="s">
        <v>50</v>
      </c>
      <c r="C888">
        <v>12585.833199999999</v>
      </c>
      <c r="D888" t="s">
        <v>203</v>
      </c>
      <c r="E888">
        <v>2017</v>
      </c>
      <c r="F888">
        <v>3</v>
      </c>
    </row>
    <row r="889" spans="1:6" x14ac:dyDescent="0.55000000000000004">
      <c r="A889" t="s">
        <v>77</v>
      </c>
      <c r="B889" t="s">
        <v>51</v>
      </c>
      <c r="C889">
        <v>1030.0476000000001</v>
      </c>
      <c r="D889" t="s">
        <v>203</v>
      </c>
      <c r="E889">
        <v>2017</v>
      </c>
      <c r="F889">
        <v>3</v>
      </c>
    </row>
    <row r="890" spans="1:6" x14ac:dyDescent="0.55000000000000004">
      <c r="A890" t="s">
        <v>77</v>
      </c>
      <c r="B890" t="s">
        <v>52</v>
      </c>
      <c r="C890">
        <v>107.7713</v>
      </c>
      <c r="D890" t="s">
        <v>203</v>
      </c>
      <c r="E890">
        <v>2017</v>
      </c>
      <c r="F890">
        <v>3</v>
      </c>
    </row>
    <row r="891" spans="1:6" x14ac:dyDescent="0.55000000000000004">
      <c r="A891" t="s">
        <v>77</v>
      </c>
      <c r="B891" t="s">
        <v>53</v>
      </c>
      <c r="C891">
        <v>93295.72</v>
      </c>
      <c r="D891" t="s">
        <v>203</v>
      </c>
      <c r="E891">
        <v>2017</v>
      </c>
      <c r="F891">
        <v>3</v>
      </c>
    </row>
    <row r="892" spans="1:6" x14ac:dyDescent="0.55000000000000004">
      <c r="A892" t="s">
        <v>77</v>
      </c>
      <c r="B892" t="s">
        <v>54</v>
      </c>
      <c r="C892">
        <v>11573.407999999999</v>
      </c>
      <c r="D892" t="s">
        <v>203</v>
      </c>
      <c r="E892">
        <v>2017</v>
      </c>
      <c r="F892">
        <v>3</v>
      </c>
    </row>
    <row r="893" spans="1:6" x14ac:dyDescent="0.55000000000000004">
      <c r="A893" t="s">
        <v>77</v>
      </c>
      <c r="B893" t="s">
        <v>55</v>
      </c>
      <c r="C893">
        <v>6193.1013999999996</v>
      </c>
      <c r="D893" t="s">
        <v>203</v>
      </c>
      <c r="E893">
        <v>2017</v>
      </c>
      <c r="F893">
        <v>3</v>
      </c>
    </row>
    <row r="894" spans="1:6" x14ac:dyDescent="0.55000000000000004">
      <c r="A894" t="s">
        <v>77</v>
      </c>
      <c r="B894" t="s">
        <v>56</v>
      </c>
      <c r="C894">
        <v>2858.6</v>
      </c>
      <c r="D894" t="s">
        <v>203</v>
      </c>
      <c r="E894">
        <v>2017</v>
      </c>
      <c r="F894">
        <v>3</v>
      </c>
    </row>
    <row r="895" spans="1:6" x14ac:dyDescent="0.55000000000000004">
      <c r="A895" t="s">
        <v>77</v>
      </c>
      <c r="B895" t="s">
        <v>57</v>
      </c>
      <c r="C895">
        <v>152.7355</v>
      </c>
      <c r="D895" t="s">
        <v>203</v>
      </c>
      <c r="E895">
        <v>2017</v>
      </c>
      <c r="F895">
        <v>3</v>
      </c>
    </row>
    <row r="896" spans="1:6" x14ac:dyDescent="0.55000000000000004">
      <c r="A896" t="s">
        <v>77</v>
      </c>
      <c r="B896" t="s">
        <v>58</v>
      </c>
      <c r="C896">
        <v>409915.99</v>
      </c>
      <c r="D896" t="s">
        <v>203</v>
      </c>
      <c r="E896">
        <v>2017</v>
      </c>
      <c r="F896">
        <v>3</v>
      </c>
    </row>
    <row r="897" spans="1:6" x14ac:dyDescent="0.55000000000000004">
      <c r="A897" t="s">
        <v>77</v>
      </c>
      <c r="B897" t="s">
        <v>59</v>
      </c>
      <c r="C897">
        <v>0</v>
      </c>
      <c r="D897" t="s">
        <v>203</v>
      </c>
      <c r="E897">
        <v>2017</v>
      </c>
      <c r="F897">
        <v>3</v>
      </c>
    </row>
    <row r="898" spans="1:6" x14ac:dyDescent="0.55000000000000004">
      <c r="A898" t="s">
        <v>77</v>
      </c>
      <c r="B898" t="s">
        <v>60</v>
      </c>
      <c r="C898">
        <v>2860209.0658</v>
      </c>
      <c r="D898" t="s">
        <v>203</v>
      </c>
      <c r="E898">
        <v>2017</v>
      </c>
      <c r="F898">
        <v>3</v>
      </c>
    </row>
    <row r="899" spans="1:6" x14ac:dyDescent="0.55000000000000004">
      <c r="A899" t="s">
        <v>77</v>
      </c>
      <c r="B899" t="s">
        <v>61</v>
      </c>
      <c r="C899">
        <v>3606.652</v>
      </c>
      <c r="D899" t="s">
        <v>203</v>
      </c>
      <c r="E899">
        <v>2017</v>
      </c>
      <c r="F899">
        <v>3</v>
      </c>
    </row>
    <row r="900" spans="1:6" x14ac:dyDescent="0.55000000000000004">
      <c r="A900" t="s">
        <v>77</v>
      </c>
      <c r="B900" t="s">
        <v>62</v>
      </c>
      <c r="C900">
        <v>1366.009</v>
      </c>
      <c r="D900" t="s">
        <v>203</v>
      </c>
      <c r="E900">
        <v>2017</v>
      </c>
      <c r="F900">
        <v>3</v>
      </c>
    </row>
    <row r="901" spans="1:6" x14ac:dyDescent="0.55000000000000004">
      <c r="A901" t="s">
        <v>77</v>
      </c>
      <c r="B901" t="s">
        <v>63</v>
      </c>
      <c r="C901">
        <v>401.27</v>
      </c>
      <c r="D901" t="s">
        <v>203</v>
      </c>
      <c r="E901">
        <v>2017</v>
      </c>
      <c r="F901">
        <v>3</v>
      </c>
    </row>
    <row r="902" spans="1:6" x14ac:dyDescent="0.55000000000000004">
      <c r="A902" t="s">
        <v>78</v>
      </c>
      <c r="B902" t="s">
        <v>4</v>
      </c>
      <c r="C902">
        <v>9751715.2518000007</v>
      </c>
      <c r="D902" t="s">
        <v>204</v>
      </c>
      <c r="E902">
        <v>2017</v>
      </c>
      <c r="F902">
        <v>4</v>
      </c>
    </row>
    <row r="903" spans="1:6" x14ac:dyDescent="0.55000000000000004">
      <c r="A903" t="s">
        <v>78</v>
      </c>
      <c r="B903" t="s">
        <v>5</v>
      </c>
      <c r="C903">
        <v>1007984.4322</v>
      </c>
      <c r="D903" t="s">
        <v>204</v>
      </c>
      <c r="E903">
        <v>2017</v>
      </c>
      <c r="F903">
        <v>4</v>
      </c>
    </row>
    <row r="904" spans="1:6" x14ac:dyDescent="0.55000000000000004">
      <c r="A904" t="s">
        <v>78</v>
      </c>
      <c r="B904" t="s">
        <v>6</v>
      </c>
      <c r="C904">
        <v>2560685.3714000001</v>
      </c>
      <c r="D904" t="s">
        <v>204</v>
      </c>
      <c r="E904">
        <v>2017</v>
      </c>
      <c r="F904">
        <v>4</v>
      </c>
    </row>
    <row r="905" spans="1:6" x14ac:dyDescent="0.55000000000000004">
      <c r="A905" t="s">
        <v>78</v>
      </c>
      <c r="B905" t="s">
        <v>7</v>
      </c>
      <c r="C905">
        <v>2485437.1529000001</v>
      </c>
      <c r="D905" t="s">
        <v>204</v>
      </c>
      <c r="E905">
        <v>2017</v>
      </c>
      <c r="F905">
        <v>4</v>
      </c>
    </row>
    <row r="906" spans="1:6" x14ac:dyDescent="0.55000000000000004">
      <c r="A906" t="s">
        <v>78</v>
      </c>
      <c r="B906" t="s">
        <v>8</v>
      </c>
      <c r="C906">
        <v>3697608.2952999999</v>
      </c>
      <c r="D906" t="s">
        <v>204</v>
      </c>
      <c r="E906">
        <v>2017</v>
      </c>
      <c r="F906">
        <v>4</v>
      </c>
    </row>
    <row r="907" spans="1:6" x14ac:dyDescent="0.55000000000000004">
      <c r="A907" t="s">
        <v>78</v>
      </c>
      <c r="B907" t="s">
        <v>9</v>
      </c>
      <c r="C907">
        <v>1800</v>
      </c>
      <c r="D907" t="s">
        <v>204</v>
      </c>
      <c r="E907">
        <v>2017</v>
      </c>
      <c r="F907">
        <v>4</v>
      </c>
    </row>
    <row r="908" spans="1:6" x14ac:dyDescent="0.55000000000000004">
      <c r="A908" t="s">
        <v>78</v>
      </c>
      <c r="B908" t="s">
        <v>10</v>
      </c>
      <c r="C908">
        <v>621.65</v>
      </c>
      <c r="D908" t="s">
        <v>204</v>
      </c>
      <c r="E908">
        <v>2017</v>
      </c>
      <c r="F908">
        <v>4</v>
      </c>
    </row>
    <row r="909" spans="1:6" x14ac:dyDescent="0.55000000000000004">
      <c r="A909" t="s">
        <v>78</v>
      </c>
      <c r="B909" t="s">
        <v>11</v>
      </c>
      <c r="C909">
        <v>2240098.304</v>
      </c>
      <c r="D909" t="s">
        <v>204</v>
      </c>
      <c r="E909">
        <v>2017</v>
      </c>
      <c r="F909">
        <v>4</v>
      </c>
    </row>
    <row r="910" spans="1:6" x14ac:dyDescent="0.55000000000000004">
      <c r="A910" t="s">
        <v>78</v>
      </c>
      <c r="B910" t="s">
        <v>12</v>
      </c>
      <c r="C910">
        <v>0</v>
      </c>
      <c r="D910" t="s">
        <v>204</v>
      </c>
      <c r="E910">
        <v>2017</v>
      </c>
      <c r="F910">
        <v>4</v>
      </c>
    </row>
    <row r="911" spans="1:6" x14ac:dyDescent="0.55000000000000004">
      <c r="A911" t="s">
        <v>78</v>
      </c>
      <c r="B911" t="s">
        <v>13</v>
      </c>
      <c r="C911">
        <v>29415.666700000002</v>
      </c>
      <c r="D911" t="s">
        <v>204</v>
      </c>
      <c r="E911">
        <v>2017</v>
      </c>
      <c r="F911">
        <v>4</v>
      </c>
    </row>
    <row r="912" spans="1:6" x14ac:dyDescent="0.55000000000000004">
      <c r="A912" t="s">
        <v>78</v>
      </c>
      <c r="B912" t="s">
        <v>14</v>
      </c>
      <c r="C912">
        <v>6543</v>
      </c>
      <c r="D912" t="s">
        <v>204</v>
      </c>
      <c r="E912">
        <v>2017</v>
      </c>
      <c r="F912">
        <v>4</v>
      </c>
    </row>
    <row r="913" spans="1:6" x14ac:dyDescent="0.55000000000000004">
      <c r="A913" t="s">
        <v>78</v>
      </c>
      <c r="B913" t="s">
        <v>15</v>
      </c>
      <c r="C913">
        <v>898407.24419999996</v>
      </c>
      <c r="D913" t="s">
        <v>204</v>
      </c>
      <c r="E913">
        <v>2017</v>
      </c>
      <c r="F913">
        <v>4</v>
      </c>
    </row>
    <row r="914" spans="1:6" x14ac:dyDescent="0.55000000000000004">
      <c r="A914" t="s">
        <v>78</v>
      </c>
      <c r="B914" t="s">
        <v>16</v>
      </c>
      <c r="C914">
        <v>0</v>
      </c>
      <c r="D914" t="s">
        <v>204</v>
      </c>
      <c r="E914">
        <v>2017</v>
      </c>
      <c r="F914">
        <v>4</v>
      </c>
    </row>
    <row r="915" spans="1:6" x14ac:dyDescent="0.55000000000000004">
      <c r="A915" t="s">
        <v>78</v>
      </c>
      <c r="B915" t="s">
        <v>17</v>
      </c>
      <c r="C915">
        <v>128490.0995</v>
      </c>
      <c r="D915" t="s">
        <v>204</v>
      </c>
      <c r="E915">
        <v>2017</v>
      </c>
      <c r="F915">
        <v>4</v>
      </c>
    </row>
    <row r="916" spans="1:6" x14ac:dyDescent="0.55000000000000004">
      <c r="A916" t="s">
        <v>78</v>
      </c>
      <c r="B916" t="s">
        <v>18</v>
      </c>
      <c r="C916">
        <v>41826.433499999999</v>
      </c>
      <c r="D916" t="s">
        <v>204</v>
      </c>
      <c r="E916">
        <v>2017</v>
      </c>
      <c r="F916">
        <v>4</v>
      </c>
    </row>
    <row r="917" spans="1:6" x14ac:dyDescent="0.55000000000000004">
      <c r="A917" t="s">
        <v>78</v>
      </c>
      <c r="B917" t="s">
        <v>19</v>
      </c>
      <c r="C917">
        <v>1350</v>
      </c>
      <c r="D917" t="s">
        <v>204</v>
      </c>
      <c r="E917">
        <v>2017</v>
      </c>
      <c r="F917">
        <v>4</v>
      </c>
    </row>
    <row r="918" spans="1:6" x14ac:dyDescent="0.55000000000000004">
      <c r="A918" t="s">
        <v>78</v>
      </c>
      <c r="B918" t="s">
        <v>20</v>
      </c>
      <c r="C918">
        <v>5041.29</v>
      </c>
      <c r="D918" t="s">
        <v>204</v>
      </c>
      <c r="E918">
        <v>2017</v>
      </c>
      <c r="F918">
        <v>4</v>
      </c>
    </row>
    <row r="919" spans="1:6" x14ac:dyDescent="0.55000000000000004">
      <c r="A919" t="s">
        <v>78</v>
      </c>
      <c r="B919" t="s">
        <v>21</v>
      </c>
      <c r="C919">
        <v>2391.4092000000001</v>
      </c>
      <c r="D919" t="s">
        <v>204</v>
      </c>
      <c r="E919">
        <v>2017</v>
      </c>
      <c r="F919">
        <v>4</v>
      </c>
    </row>
    <row r="920" spans="1:6" x14ac:dyDescent="0.55000000000000004">
      <c r="A920" t="s">
        <v>78</v>
      </c>
      <c r="B920" t="s">
        <v>22</v>
      </c>
      <c r="C920">
        <v>52309.724000000002</v>
      </c>
      <c r="D920" t="s">
        <v>204</v>
      </c>
      <c r="E920">
        <v>2017</v>
      </c>
      <c r="F920">
        <v>4</v>
      </c>
    </row>
    <row r="921" spans="1:6" x14ac:dyDescent="0.55000000000000004">
      <c r="A921" t="s">
        <v>78</v>
      </c>
      <c r="B921" t="s">
        <v>23</v>
      </c>
      <c r="C921">
        <v>62637.15</v>
      </c>
      <c r="D921" t="s">
        <v>204</v>
      </c>
      <c r="E921">
        <v>2017</v>
      </c>
      <c r="F921">
        <v>4</v>
      </c>
    </row>
    <row r="922" spans="1:6" x14ac:dyDescent="0.55000000000000004">
      <c r="A922" t="s">
        <v>78</v>
      </c>
      <c r="B922" t="s">
        <v>24</v>
      </c>
      <c r="C922">
        <v>0</v>
      </c>
      <c r="D922" t="s">
        <v>204</v>
      </c>
      <c r="E922">
        <v>2017</v>
      </c>
      <c r="F922">
        <v>4</v>
      </c>
    </row>
    <row r="923" spans="1:6" x14ac:dyDescent="0.55000000000000004">
      <c r="A923" t="s">
        <v>78</v>
      </c>
      <c r="B923" t="s">
        <v>25</v>
      </c>
      <c r="C923">
        <v>337880</v>
      </c>
      <c r="D923" t="s">
        <v>204</v>
      </c>
      <c r="E923">
        <v>2017</v>
      </c>
      <c r="F923">
        <v>4</v>
      </c>
    </row>
    <row r="924" spans="1:6" x14ac:dyDescent="0.55000000000000004">
      <c r="A924" t="s">
        <v>78</v>
      </c>
      <c r="B924" t="s">
        <v>26</v>
      </c>
      <c r="C924">
        <v>0</v>
      </c>
      <c r="D924" t="s">
        <v>204</v>
      </c>
      <c r="E924">
        <v>2017</v>
      </c>
      <c r="F924">
        <v>4</v>
      </c>
    </row>
    <row r="925" spans="1:6" x14ac:dyDescent="0.55000000000000004">
      <c r="A925" t="s">
        <v>78</v>
      </c>
      <c r="B925" t="s">
        <v>27</v>
      </c>
      <c r="C925">
        <v>1666.366</v>
      </c>
      <c r="D925" t="s">
        <v>204</v>
      </c>
      <c r="E925">
        <v>2017</v>
      </c>
      <c r="F925">
        <v>4</v>
      </c>
    </row>
    <row r="926" spans="1:6" x14ac:dyDescent="0.55000000000000004">
      <c r="A926" t="s">
        <v>78</v>
      </c>
      <c r="B926" t="s">
        <v>28</v>
      </c>
      <c r="C926">
        <v>407744.3235</v>
      </c>
      <c r="D926" t="s">
        <v>204</v>
      </c>
      <c r="E926">
        <v>2017</v>
      </c>
      <c r="F926">
        <v>4</v>
      </c>
    </row>
    <row r="927" spans="1:6" x14ac:dyDescent="0.55000000000000004">
      <c r="A927" t="s">
        <v>78</v>
      </c>
      <c r="B927" t="s">
        <v>29</v>
      </c>
      <c r="C927">
        <v>18665.759900000001</v>
      </c>
      <c r="D927" t="s">
        <v>204</v>
      </c>
      <c r="E927">
        <v>2017</v>
      </c>
      <c r="F927">
        <v>4</v>
      </c>
    </row>
    <row r="928" spans="1:6" x14ac:dyDescent="0.55000000000000004">
      <c r="A928" t="s">
        <v>78</v>
      </c>
      <c r="B928" t="s">
        <v>30</v>
      </c>
      <c r="C928">
        <v>150.54</v>
      </c>
      <c r="D928" t="s">
        <v>204</v>
      </c>
      <c r="E928">
        <v>2017</v>
      </c>
      <c r="F928">
        <v>4</v>
      </c>
    </row>
    <row r="929" spans="1:6" x14ac:dyDescent="0.55000000000000004">
      <c r="A929" t="s">
        <v>78</v>
      </c>
      <c r="B929" t="s">
        <v>31</v>
      </c>
      <c r="C929">
        <v>17.555299999999999</v>
      </c>
      <c r="D929" t="s">
        <v>204</v>
      </c>
      <c r="E929">
        <v>2017</v>
      </c>
      <c r="F929">
        <v>4</v>
      </c>
    </row>
    <row r="930" spans="1:6" x14ac:dyDescent="0.55000000000000004">
      <c r="A930" t="s">
        <v>78</v>
      </c>
      <c r="B930" t="s">
        <v>32</v>
      </c>
      <c r="C930">
        <v>934165.7</v>
      </c>
      <c r="D930" t="s">
        <v>204</v>
      </c>
      <c r="E930">
        <v>2017</v>
      </c>
      <c r="F930">
        <v>4</v>
      </c>
    </row>
    <row r="931" spans="1:6" x14ac:dyDescent="0.55000000000000004">
      <c r="A931" t="s">
        <v>78</v>
      </c>
      <c r="B931" t="s">
        <v>33</v>
      </c>
      <c r="C931">
        <v>582787.66170000006</v>
      </c>
      <c r="D931" t="s">
        <v>204</v>
      </c>
      <c r="E931">
        <v>2017</v>
      </c>
      <c r="F931">
        <v>4</v>
      </c>
    </row>
    <row r="932" spans="1:6" x14ac:dyDescent="0.55000000000000004">
      <c r="A932" t="s">
        <v>78</v>
      </c>
      <c r="B932" t="s">
        <v>34</v>
      </c>
      <c r="C932">
        <v>593320.55960000004</v>
      </c>
      <c r="D932" t="s">
        <v>204</v>
      </c>
      <c r="E932">
        <v>2017</v>
      </c>
      <c r="F932">
        <v>4</v>
      </c>
    </row>
    <row r="933" spans="1:6" x14ac:dyDescent="0.55000000000000004">
      <c r="A933" t="s">
        <v>78</v>
      </c>
      <c r="B933" t="s">
        <v>35</v>
      </c>
      <c r="C933">
        <v>1021.5971</v>
      </c>
      <c r="D933" t="s">
        <v>204</v>
      </c>
      <c r="E933">
        <v>2017</v>
      </c>
      <c r="F933">
        <v>4</v>
      </c>
    </row>
    <row r="934" spans="1:6" x14ac:dyDescent="0.55000000000000004">
      <c r="A934" t="s">
        <v>78</v>
      </c>
      <c r="B934" t="s">
        <v>36</v>
      </c>
      <c r="C934">
        <v>68736.98</v>
      </c>
      <c r="D934" t="s">
        <v>204</v>
      </c>
      <c r="E934">
        <v>2017</v>
      </c>
      <c r="F934">
        <v>4</v>
      </c>
    </row>
    <row r="935" spans="1:6" x14ac:dyDescent="0.55000000000000004">
      <c r="A935" t="s">
        <v>78</v>
      </c>
      <c r="B935" t="s">
        <v>37</v>
      </c>
      <c r="C935">
        <v>42658.191700000003</v>
      </c>
      <c r="D935" t="s">
        <v>204</v>
      </c>
      <c r="E935">
        <v>2017</v>
      </c>
      <c r="F935">
        <v>4</v>
      </c>
    </row>
    <row r="936" spans="1:6" x14ac:dyDescent="0.55000000000000004">
      <c r="A936" t="s">
        <v>78</v>
      </c>
      <c r="B936" t="s">
        <v>38</v>
      </c>
      <c r="C936">
        <v>0</v>
      </c>
      <c r="D936" t="s">
        <v>204</v>
      </c>
      <c r="E936">
        <v>2017</v>
      </c>
      <c r="F936">
        <v>4</v>
      </c>
    </row>
    <row r="937" spans="1:6" x14ac:dyDescent="0.55000000000000004">
      <c r="A937" t="s">
        <v>78</v>
      </c>
      <c r="B937" t="s">
        <v>39</v>
      </c>
      <c r="C937">
        <v>9411.02</v>
      </c>
      <c r="D937" t="s">
        <v>204</v>
      </c>
      <c r="E937">
        <v>2017</v>
      </c>
      <c r="F937">
        <v>4</v>
      </c>
    </row>
    <row r="938" spans="1:6" x14ac:dyDescent="0.55000000000000004">
      <c r="A938" t="s">
        <v>78</v>
      </c>
      <c r="B938" t="s">
        <v>40</v>
      </c>
      <c r="C938">
        <v>2984.3901000000001</v>
      </c>
      <c r="D938" t="s">
        <v>204</v>
      </c>
      <c r="E938">
        <v>2017</v>
      </c>
      <c r="F938">
        <v>4</v>
      </c>
    </row>
    <row r="939" spans="1:6" x14ac:dyDescent="0.55000000000000004">
      <c r="A939" t="s">
        <v>78</v>
      </c>
      <c r="B939" t="s">
        <v>41</v>
      </c>
      <c r="C939">
        <v>221865.29180000001</v>
      </c>
      <c r="D939" t="s">
        <v>204</v>
      </c>
      <c r="E939">
        <v>2017</v>
      </c>
      <c r="F939">
        <v>4</v>
      </c>
    </row>
    <row r="940" spans="1:6" x14ac:dyDescent="0.55000000000000004">
      <c r="A940" t="s">
        <v>78</v>
      </c>
      <c r="B940" t="s">
        <v>42</v>
      </c>
      <c r="C940">
        <v>70.280500000000004</v>
      </c>
      <c r="D940" t="s">
        <v>204</v>
      </c>
      <c r="E940">
        <v>2017</v>
      </c>
      <c r="F940">
        <v>4</v>
      </c>
    </row>
    <row r="941" spans="1:6" x14ac:dyDescent="0.55000000000000004">
      <c r="A941" t="s">
        <v>78</v>
      </c>
      <c r="B941" t="s">
        <v>43</v>
      </c>
      <c r="C941">
        <v>314814.43349999998</v>
      </c>
      <c r="D941" t="s">
        <v>204</v>
      </c>
      <c r="E941">
        <v>2017</v>
      </c>
      <c r="F941">
        <v>4</v>
      </c>
    </row>
    <row r="942" spans="1:6" x14ac:dyDescent="0.55000000000000004">
      <c r="A942" t="s">
        <v>78</v>
      </c>
      <c r="B942" t="s">
        <v>44</v>
      </c>
      <c r="C942">
        <v>0</v>
      </c>
      <c r="D942" t="s">
        <v>204</v>
      </c>
      <c r="E942">
        <v>2017</v>
      </c>
      <c r="F942">
        <v>4</v>
      </c>
    </row>
    <row r="943" spans="1:6" x14ac:dyDescent="0.55000000000000004">
      <c r="A943" t="s">
        <v>78</v>
      </c>
      <c r="B943" t="s">
        <v>45</v>
      </c>
      <c r="C943">
        <v>5984.8514999999998</v>
      </c>
      <c r="D943" t="s">
        <v>204</v>
      </c>
      <c r="E943">
        <v>2017</v>
      </c>
      <c r="F943">
        <v>4</v>
      </c>
    </row>
    <row r="944" spans="1:6" x14ac:dyDescent="0.55000000000000004">
      <c r="A944" t="s">
        <v>78</v>
      </c>
      <c r="B944" t="s">
        <v>46</v>
      </c>
      <c r="C944">
        <v>47218</v>
      </c>
      <c r="D944" t="s">
        <v>204</v>
      </c>
      <c r="E944">
        <v>2017</v>
      </c>
      <c r="F944">
        <v>4</v>
      </c>
    </row>
    <row r="945" spans="1:6" x14ac:dyDescent="0.55000000000000004">
      <c r="A945" t="s">
        <v>78</v>
      </c>
      <c r="B945" t="s">
        <v>47</v>
      </c>
      <c r="C945">
        <v>0</v>
      </c>
      <c r="D945" t="s">
        <v>204</v>
      </c>
      <c r="E945">
        <v>2017</v>
      </c>
      <c r="F945">
        <v>4</v>
      </c>
    </row>
    <row r="946" spans="1:6" x14ac:dyDescent="0.55000000000000004">
      <c r="A946" t="s">
        <v>78</v>
      </c>
      <c r="B946" t="s">
        <v>48</v>
      </c>
      <c r="C946">
        <v>43626.78</v>
      </c>
      <c r="D946" t="s">
        <v>204</v>
      </c>
      <c r="E946">
        <v>2017</v>
      </c>
      <c r="F946">
        <v>4</v>
      </c>
    </row>
    <row r="947" spans="1:6" x14ac:dyDescent="0.55000000000000004">
      <c r="A947" t="s">
        <v>78</v>
      </c>
      <c r="B947" t="s">
        <v>49</v>
      </c>
      <c r="C947">
        <v>913.30200000000002</v>
      </c>
      <c r="D947" t="s">
        <v>204</v>
      </c>
      <c r="E947">
        <v>2017</v>
      </c>
      <c r="F947">
        <v>4</v>
      </c>
    </row>
    <row r="948" spans="1:6" x14ac:dyDescent="0.55000000000000004">
      <c r="A948" t="s">
        <v>78</v>
      </c>
      <c r="B948" t="s">
        <v>50</v>
      </c>
      <c r="C948">
        <v>10558.385899999999</v>
      </c>
      <c r="D948" t="s">
        <v>204</v>
      </c>
      <c r="E948">
        <v>2017</v>
      </c>
      <c r="F948">
        <v>4</v>
      </c>
    </row>
    <row r="949" spans="1:6" x14ac:dyDescent="0.55000000000000004">
      <c r="A949" t="s">
        <v>78</v>
      </c>
      <c r="B949" t="s">
        <v>51</v>
      </c>
      <c r="C949">
        <v>150.04759999999999</v>
      </c>
      <c r="D949" t="s">
        <v>204</v>
      </c>
      <c r="E949">
        <v>2017</v>
      </c>
      <c r="F949">
        <v>4</v>
      </c>
    </row>
    <row r="950" spans="1:6" x14ac:dyDescent="0.55000000000000004">
      <c r="A950" t="s">
        <v>78</v>
      </c>
      <c r="B950" t="s">
        <v>52</v>
      </c>
      <c r="C950">
        <v>112.1571</v>
      </c>
      <c r="D950" t="s">
        <v>204</v>
      </c>
      <c r="E950">
        <v>2017</v>
      </c>
      <c r="F950">
        <v>4</v>
      </c>
    </row>
    <row r="951" spans="1:6" x14ac:dyDescent="0.55000000000000004">
      <c r="A951" t="s">
        <v>78</v>
      </c>
      <c r="B951" t="s">
        <v>53</v>
      </c>
      <c r="C951">
        <v>56975.036</v>
      </c>
      <c r="D951" t="s">
        <v>204</v>
      </c>
      <c r="E951">
        <v>2017</v>
      </c>
      <c r="F951">
        <v>4</v>
      </c>
    </row>
    <row r="952" spans="1:6" x14ac:dyDescent="0.55000000000000004">
      <c r="A952" t="s">
        <v>78</v>
      </c>
      <c r="B952" t="s">
        <v>54</v>
      </c>
      <c r="C952">
        <v>12184.8007</v>
      </c>
      <c r="D952" t="s">
        <v>204</v>
      </c>
      <c r="E952">
        <v>2017</v>
      </c>
      <c r="F952">
        <v>4</v>
      </c>
    </row>
    <row r="953" spans="1:6" x14ac:dyDescent="0.55000000000000004">
      <c r="A953" t="s">
        <v>78</v>
      </c>
      <c r="B953" t="s">
        <v>55</v>
      </c>
      <c r="C953">
        <v>8493.2914000000001</v>
      </c>
      <c r="D953" t="s">
        <v>204</v>
      </c>
      <c r="E953">
        <v>2017</v>
      </c>
      <c r="F953">
        <v>4</v>
      </c>
    </row>
    <row r="954" spans="1:6" x14ac:dyDescent="0.55000000000000004">
      <c r="A954" t="s">
        <v>78</v>
      </c>
      <c r="B954" t="s">
        <v>56</v>
      </c>
      <c r="C954">
        <v>1284</v>
      </c>
      <c r="D954" t="s">
        <v>204</v>
      </c>
      <c r="E954">
        <v>2017</v>
      </c>
      <c r="F954">
        <v>4</v>
      </c>
    </row>
    <row r="955" spans="1:6" x14ac:dyDescent="0.55000000000000004">
      <c r="A955" t="s">
        <v>78</v>
      </c>
      <c r="B955" t="s">
        <v>57</v>
      </c>
      <c r="C955">
        <v>52.618000000000002</v>
      </c>
      <c r="D955" t="s">
        <v>204</v>
      </c>
      <c r="E955">
        <v>2017</v>
      </c>
      <c r="F955">
        <v>4</v>
      </c>
    </row>
    <row r="956" spans="1:6" x14ac:dyDescent="0.55000000000000004">
      <c r="A956" t="s">
        <v>78</v>
      </c>
      <c r="B956" t="s">
        <v>58</v>
      </c>
      <c r="C956">
        <v>325565.99</v>
      </c>
      <c r="D956" t="s">
        <v>204</v>
      </c>
      <c r="E956">
        <v>2017</v>
      </c>
      <c r="F956">
        <v>4</v>
      </c>
    </row>
    <row r="957" spans="1:6" x14ac:dyDescent="0.55000000000000004">
      <c r="A957" t="s">
        <v>78</v>
      </c>
      <c r="B957" t="s">
        <v>59</v>
      </c>
      <c r="C957">
        <v>0</v>
      </c>
      <c r="D957" t="s">
        <v>204</v>
      </c>
      <c r="E957">
        <v>2017</v>
      </c>
      <c r="F957">
        <v>4</v>
      </c>
    </row>
    <row r="958" spans="1:6" x14ac:dyDescent="0.55000000000000004">
      <c r="A958" t="s">
        <v>78</v>
      </c>
      <c r="B958" t="s">
        <v>60</v>
      </c>
      <c r="C958">
        <v>2224942.0588000002</v>
      </c>
      <c r="D958" t="s">
        <v>204</v>
      </c>
      <c r="E958">
        <v>2017</v>
      </c>
      <c r="F958">
        <v>4</v>
      </c>
    </row>
    <row r="959" spans="1:6" x14ac:dyDescent="0.55000000000000004">
      <c r="A959" t="s">
        <v>78</v>
      </c>
      <c r="B959" t="s">
        <v>61</v>
      </c>
      <c r="C959">
        <v>3831.2820000000002</v>
      </c>
      <c r="D959" t="s">
        <v>204</v>
      </c>
      <c r="E959">
        <v>2017</v>
      </c>
      <c r="F959">
        <v>4</v>
      </c>
    </row>
    <row r="960" spans="1:6" x14ac:dyDescent="0.55000000000000004">
      <c r="A960" t="s">
        <v>78</v>
      </c>
      <c r="B960" t="s">
        <v>62</v>
      </c>
      <c r="C960">
        <v>848.75900000000001</v>
      </c>
      <c r="D960" t="s">
        <v>204</v>
      </c>
      <c r="E960">
        <v>2017</v>
      </c>
      <c r="F960">
        <v>4</v>
      </c>
    </row>
    <row r="961" spans="1:6" x14ac:dyDescent="0.55000000000000004">
      <c r="A961" t="s">
        <v>78</v>
      </c>
      <c r="B961" t="s">
        <v>63</v>
      </c>
      <c r="C961">
        <v>81.27</v>
      </c>
      <c r="D961" t="s">
        <v>204</v>
      </c>
      <c r="E961">
        <v>2017</v>
      </c>
      <c r="F961">
        <v>4</v>
      </c>
    </row>
    <row r="962" spans="1:6" x14ac:dyDescent="0.55000000000000004">
      <c r="A962" t="s">
        <v>79</v>
      </c>
      <c r="B962" t="s">
        <v>4</v>
      </c>
      <c r="C962">
        <v>10742828.356699999</v>
      </c>
      <c r="D962" t="s">
        <v>205</v>
      </c>
      <c r="E962">
        <v>2017</v>
      </c>
      <c r="F962">
        <v>5</v>
      </c>
    </row>
    <row r="963" spans="1:6" x14ac:dyDescent="0.55000000000000004">
      <c r="A963" t="s">
        <v>79</v>
      </c>
      <c r="B963" t="s">
        <v>5</v>
      </c>
      <c r="C963">
        <v>966484.50249999994</v>
      </c>
      <c r="D963" t="s">
        <v>205</v>
      </c>
      <c r="E963">
        <v>2017</v>
      </c>
      <c r="F963">
        <v>5</v>
      </c>
    </row>
    <row r="964" spans="1:6" x14ac:dyDescent="0.55000000000000004">
      <c r="A964" t="s">
        <v>79</v>
      </c>
      <c r="B964" t="s">
        <v>6</v>
      </c>
      <c r="C964">
        <v>2866355.2719999999</v>
      </c>
      <c r="D964" t="s">
        <v>205</v>
      </c>
      <c r="E964">
        <v>2017</v>
      </c>
      <c r="F964">
        <v>5</v>
      </c>
    </row>
    <row r="965" spans="1:6" x14ac:dyDescent="0.55000000000000004">
      <c r="A965" t="s">
        <v>79</v>
      </c>
      <c r="B965" t="s">
        <v>7</v>
      </c>
      <c r="C965">
        <v>2954047.4731999999</v>
      </c>
      <c r="D965" t="s">
        <v>205</v>
      </c>
      <c r="E965">
        <v>2017</v>
      </c>
      <c r="F965">
        <v>5</v>
      </c>
    </row>
    <row r="966" spans="1:6" x14ac:dyDescent="0.55000000000000004">
      <c r="A966" t="s">
        <v>79</v>
      </c>
      <c r="B966" t="s">
        <v>8</v>
      </c>
      <c r="C966">
        <v>3955941.1090000002</v>
      </c>
      <c r="D966" t="s">
        <v>205</v>
      </c>
      <c r="E966">
        <v>2017</v>
      </c>
      <c r="F966">
        <v>5</v>
      </c>
    </row>
    <row r="967" spans="1:6" x14ac:dyDescent="0.55000000000000004">
      <c r="A967" t="s">
        <v>79</v>
      </c>
      <c r="B967" t="s">
        <v>9</v>
      </c>
      <c r="C967">
        <v>1140</v>
      </c>
      <c r="D967" t="s">
        <v>205</v>
      </c>
      <c r="E967">
        <v>2017</v>
      </c>
      <c r="F967">
        <v>5</v>
      </c>
    </row>
    <row r="968" spans="1:6" x14ac:dyDescent="0.55000000000000004">
      <c r="A968" t="s">
        <v>79</v>
      </c>
      <c r="B968" t="s">
        <v>10</v>
      </c>
      <c r="C968">
        <v>603.33330000000001</v>
      </c>
      <c r="D968" t="s">
        <v>205</v>
      </c>
      <c r="E968">
        <v>2017</v>
      </c>
      <c r="F968">
        <v>5</v>
      </c>
    </row>
    <row r="969" spans="1:6" x14ac:dyDescent="0.55000000000000004">
      <c r="A969" t="s">
        <v>79</v>
      </c>
      <c r="B969" t="s">
        <v>11</v>
      </c>
      <c r="C969">
        <v>2602453.3553999998</v>
      </c>
      <c r="D969" t="s">
        <v>205</v>
      </c>
      <c r="E969">
        <v>2017</v>
      </c>
      <c r="F969">
        <v>5</v>
      </c>
    </row>
    <row r="970" spans="1:6" x14ac:dyDescent="0.55000000000000004">
      <c r="A970" t="s">
        <v>79</v>
      </c>
      <c r="B970" t="s">
        <v>12</v>
      </c>
      <c r="C970">
        <v>2039</v>
      </c>
      <c r="D970" t="s">
        <v>205</v>
      </c>
      <c r="E970">
        <v>2017</v>
      </c>
      <c r="F970">
        <v>5</v>
      </c>
    </row>
    <row r="971" spans="1:6" x14ac:dyDescent="0.55000000000000004">
      <c r="A971" t="s">
        <v>79</v>
      </c>
      <c r="B971" t="s">
        <v>13</v>
      </c>
      <c r="C971">
        <v>54474.383300000001</v>
      </c>
      <c r="D971" t="s">
        <v>205</v>
      </c>
      <c r="E971">
        <v>2017</v>
      </c>
      <c r="F971">
        <v>5</v>
      </c>
    </row>
    <row r="972" spans="1:6" x14ac:dyDescent="0.55000000000000004">
      <c r="A972" t="s">
        <v>79</v>
      </c>
      <c r="B972" t="s">
        <v>14</v>
      </c>
      <c r="C972">
        <v>6309.67</v>
      </c>
      <c r="D972" t="s">
        <v>205</v>
      </c>
      <c r="E972">
        <v>2017</v>
      </c>
      <c r="F972">
        <v>5</v>
      </c>
    </row>
    <row r="973" spans="1:6" x14ac:dyDescent="0.55000000000000004">
      <c r="A973" t="s">
        <v>79</v>
      </c>
      <c r="B973" t="s">
        <v>15</v>
      </c>
      <c r="C973">
        <v>834026.15249999997</v>
      </c>
      <c r="D973" t="s">
        <v>205</v>
      </c>
      <c r="E973">
        <v>2017</v>
      </c>
      <c r="F973">
        <v>5</v>
      </c>
    </row>
    <row r="974" spans="1:6" x14ac:dyDescent="0.55000000000000004">
      <c r="A974" t="s">
        <v>79</v>
      </c>
      <c r="B974" t="s">
        <v>16</v>
      </c>
      <c r="C974">
        <v>0</v>
      </c>
      <c r="D974" t="s">
        <v>205</v>
      </c>
      <c r="E974">
        <v>2017</v>
      </c>
      <c r="F974">
        <v>5</v>
      </c>
    </row>
    <row r="975" spans="1:6" x14ac:dyDescent="0.55000000000000004">
      <c r="A975" t="s">
        <v>79</v>
      </c>
      <c r="B975" t="s">
        <v>17</v>
      </c>
      <c r="C975">
        <v>178984.73050000001</v>
      </c>
      <c r="D975" t="s">
        <v>205</v>
      </c>
      <c r="E975">
        <v>2017</v>
      </c>
      <c r="F975">
        <v>5</v>
      </c>
    </row>
    <row r="976" spans="1:6" x14ac:dyDescent="0.55000000000000004">
      <c r="A976" t="s">
        <v>79</v>
      </c>
      <c r="B976" t="s">
        <v>18</v>
      </c>
      <c r="C976">
        <v>108029.25019999999</v>
      </c>
      <c r="D976" t="s">
        <v>205</v>
      </c>
      <c r="E976">
        <v>2017</v>
      </c>
      <c r="F976">
        <v>5</v>
      </c>
    </row>
    <row r="977" spans="1:6" x14ac:dyDescent="0.55000000000000004">
      <c r="A977" t="s">
        <v>79</v>
      </c>
      <c r="B977" t="s">
        <v>19</v>
      </c>
      <c r="C977">
        <v>300</v>
      </c>
      <c r="D977" t="s">
        <v>205</v>
      </c>
      <c r="E977">
        <v>2017</v>
      </c>
      <c r="F977">
        <v>5</v>
      </c>
    </row>
    <row r="978" spans="1:6" x14ac:dyDescent="0.55000000000000004">
      <c r="A978" t="s">
        <v>79</v>
      </c>
      <c r="B978" t="s">
        <v>20</v>
      </c>
      <c r="C978">
        <v>6661.39</v>
      </c>
      <c r="D978" t="s">
        <v>205</v>
      </c>
      <c r="E978">
        <v>2017</v>
      </c>
      <c r="F978">
        <v>5</v>
      </c>
    </row>
    <row r="979" spans="1:6" x14ac:dyDescent="0.55000000000000004">
      <c r="A979" t="s">
        <v>79</v>
      </c>
      <c r="B979" t="s">
        <v>21</v>
      </c>
      <c r="C979">
        <v>2705.5585000000001</v>
      </c>
      <c r="D979" t="s">
        <v>205</v>
      </c>
      <c r="E979">
        <v>2017</v>
      </c>
      <c r="F979">
        <v>5</v>
      </c>
    </row>
    <row r="980" spans="1:6" x14ac:dyDescent="0.55000000000000004">
      <c r="A980" t="s">
        <v>79</v>
      </c>
      <c r="B980" t="s">
        <v>22</v>
      </c>
      <c r="C980">
        <v>51559.75</v>
      </c>
      <c r="D980" t="s">
        <v>205</v>
      </c>
      <c r="E980">
        <v>2017</v>
      </c>
      <c r="F980">
        <v>5</v>
      </c>
    </row>
    <row r="981" spans="1:6" x14ac:dyDescent="0.55000000000000004">
      <c r="A981" t="s">
        <v>79</v>
      </c>
      <c r="B981" t="s">
        <v>23</v>
      </c>
      <c r="C981">
        <v>64023.767999999996</v>
      </c>
      <c r="D981" t="s">
        <v>205</v>
      </c>
      <c r="E981">
        <v>2017</v>
      </c>
      <c r="F981">
        <v>5</v>
      </c>
    </row>
    <row r="982" spans="1:6" x14ac:dyDescent="0.55000000000000004">
      <c r="A982" t="s">
        <v>79</v>
      </c>
      <c r="B982" t="s">
        <v>24</v>
      </c>
      <c r="C982">
        <v>0</v>
      </c>
      <c r="D982" t="s">
        <v>205</v>
      </c>
      <c r="E982">
        <v>2017</v>
      </c>
      <c r="F982">
        <v>5</v>
      </c>
    </row>
    <row r="983" spans="1:6" x14ac:dyDescent="0.55000000000000004">
      <c r="A983" t="s">
        <v>79</v>
      </c>
      <c r="B983" t="s">
        <v>25</v>
      </c>
      <c r="C983">
        <v>448212.5</v>
      </c>
      <c r="D983" t="s">
        <v>205</v>
      </c>
      <c r="E983">
        <v>2017</v>
      </c>
      <c r="F983">
        <v>5</v>
      </c>
    </row>
    <row r="984" spans="1:6" x14ac:dyDescent="0.55000000000000004">
      <c r="A984" t="s">
        <v>79</v>
      </c>
      <c r="B984" t="s">
        <v>26</v>
      </c>
      <c r="C984">
        <v>0</v>
      </c>
      <c r="D984" t="s">
        <v>205</v>
      </c>
      <c r="E984">
        <v>2017</v>
      </c>
      <c r="F984">
        <v>5</v>
      </c>
    </row>
    <row r="985" spans="1:6" x14ac:dyDescent="0.55000000000000004">
      <c r="A985" t="s">
        <v>79</v>
      </c>
      <c r="B985" t="s">
        <v>27</v>
      </c>
      <c r="C985">
        <v>1655.5977</v>
      </c>
      <c r="D985" t="s">
        <v>205</v>
      </c>
      <c r="E985">
        <v>2017</v>
      </c>
      <c r="F985">
        <v>5</v>
      </c>
    </row>
    <row r="986" spans="1:6" x14ac:dyDescent="0.55000000000000004">
      <c r="A986" t="s">
        <v>79</v>
      </c>
      <c r="B986" t="s">
        <v>28</v>
      </c>
      <c r="C986">
        <v>418765.63030000002</v>
      </c>
      <c r="D986" t="s">
        <v>205</v>
      </c>
      <c r="E986">
        <v>2017</v>
      </c>
      <c r="F986">
        <v>5</v>
      </c>
    </row>
    <row r="987" spans="1:6" x14ac:dyDescent="0.55000000000000004">
      <c r="A987" t="s">
        <v>79</v>
      </c>
      <c r="B987" t="s">
        <v>29</v>
      </c>
      <c r="C987">
        <v>17344.749899999999</v>
      </c>
      <c r="D987" t="s">
        <v>205</v>
      </c>
      <c r="E987">
        <v>2017</v>
      </c>
      <c r="F987">
        <v>5</v>
      </c>
    </row>
    <row r="988" spans="1:6" x14ac:dyDescent="0.55000000000000004">
      <c r="A988" t="s">
        <v>79</v>
      </c>
      <c r="B988" t="s">
        <v>30</v>
      </c>
      <c r="C988">
        <v>44.3733</v>
      </c>
      <c r="D988" t="s">
        <v>205</v>
      </c>
      <c r="E988">
        <v>2017</v>
      </c>
      <c r="F988">
        <v>5</v>
      </c>
    </row>
    <row r="989" spans="1:6" x14ac:dyDescent="0.55000000000000004">
      <c r="A989" t="s">
        <v>79</v>
      </c>
      <c r="B989" t="s">
        <v>31</v>
      </c>
      <c r="C989">
        <v>326.5643</v>
      </c>
      <c r="D989" t="s">
        <v>205</v>
      </c>
      <c r="E989">
        <v>2017</v>
      </c>
      <c r="F989">
        <v>5</v>
      </c>
    </row>
    <row r="990" spans="1:6" x14ac:dyDescent="0.55000000000000004">
      <c r="A990" t="s">
        <v>79</v>
      </c>
      <c r="B990" t="s">
        <v>32</v>
      </c>
      <c r="C990">
        <v>1006365.9507</v>
      </c>
      <c r="D990" t="s">
        <v>205</v>
      </c>
      <c r="E990">
        <v>2017</v>
      </c>
      <c r="F990">
        <v>5</v>
      </c>
    </row>
    <row r="991" spans="1:6" x14ac:dyDescent="0.55000000000000004">
      <c r="A991" t="s">
        <v>79</v>
      </c>
      <c r="B991" t="s">
        <v>33</v>
      </c>
      <c r="C991">
        <v>632445.37899999996</v>
      </c>
      <c r="D991" t="s">
        <v>205</v>
      </c>
      <c r="E991">
        <v>2017</v>
      </c>
      <c r="F991">
        <v>5</v>
      </c>
    </row>
    <row r="992" spans="1:6" x14ac:dyDescent="0.55000000000000004">
      <c r="A992" t="s">
        <v>79</v>
      </c>
      <c r="B992" t="s">
        <v>34</v>
      </c>
      <c r="C992">
        <v>781003.62300000002</v>
      </c>
      <c r="D992" t="s">
        <v>205</v>
      </c>
      <c r="E992">
        <v>2017</v>
      </c>
      <c r="F992">
        <v>5</v>
      </c>
    </row>
    <row r="993" spans="1:6" x14ac:dyDescent="0.55000000000000004">
      <c r="A993" t="s">
        <v>79</v>
      </c>
      <c r="B993" t="s">
        <v>35</v>
      </c>
      <c r="C993">
        <v>735.52049999999997</v>
      </c>
      <c r="D993" t="s">
        <v>205</v>
      </c>
      <c r="E993">
        <v>2017</v>
      </c>
      <c r="F993">
        <v>5</v>
      </c>
    </row>
    <row r="994" spans="1:6" x14ac:dyDescent="0.55000000000000004">
      <c r="A994" t="s">
        <v>79</v>
      </c>
      <c r="B994" t="s">
        <v>36</v>
      </c>
      <c r="C994">
        <v>91042.850999999995</v>
      </c>
      <c r="D994" t="s">
        <v>205</v>
      </c>
      <c r="E994">
        <v>2017</v>
      </c>
      <c r="F994">
        <v>5</v>
      </c>
    </row>
    <row r="995" spans="1:6" x14ac:dyDescent="0.55000000000000004">
      <c r="A995" t="s">
        <v>79</v>
      </c>
      <c r="B995" t="s">
        <v>37</v>
      </c>
      <c r="C995">
        <v>41563.362399999998</v>
      </c>
      <c r="D995" t="s">
        <v>205</v>
      </c>
      <c r="E995">
        <v>2017</v>
      </c>
      <c r="F995">
        <v>5</v>
      </c>
    </row>
    <row r="996" spans="1:6" x14ac:dyDescent="0.55000000000000004">
      <c r="A996" t="s">
        <v>79</v>
      </c>
      <c r="B996" t="s">
        <v>38</v>
      </c>
      <c r="C996">
        <v>0</v>
      </c>
      <c r="D996" t="s">
        <v>205</v>
      </c>
      <c r="E996">
        <v>2017</v>
      </c>
      <c r="F996">
        <v>5</v>
      </c>
    </row>
    <row r="997" spans="1:6" x14ac:dyDescent="0.55000000000000004">
      <c r="A997" t="s">
        <v>79</v>
      </c>
      <c r="B997" t="s">
        <v>39</v>
      </c>
      <c r="C997">
        <v>4107.6899999999996</v>
      </c>
      <c r="D997" t="s">
        <v>205</v>
      </c>
      <c r="E997">
        <v>2017</v>
      </c>
      <c r="F997">
        <v>5</v>
      </c>
    </row>
    <row r="998" spans="1:6" x14ac:dyDescent="0.55000000000000004">
      <c r="A998" t="s">
        <v>79</v>
      </c>
      <c r="B998" t="s">
        <v>40</v>
      </c>
      <c r="C998">
        <v>789.05010000000004</v>
      </c>
      <c r="D998" t="s">
        <v>205</v>
      </c>
      <c r="E998">
        <v>2017</v>
      </c>
      <c r="F998">
        <v>5</v>
      </c>
    </row>
    <row r="999" spans="1:6" x14ac:dyDescent="0.55000000000000004">
      <c r="A999" t="s">
        <v>79</v>
      </c>
      <c r="B999" t="s">
        <v>41</v>
      </c>
      <c r="C999">
        <v>303529.35639999999</v>
      </c>
      <c r="D999" t="s">
        <v>205</v>
      </c>
      <c r="E999">
        <v>2017</v>
      </c>
      <c r="F999">
        <v>5</v>
      </c>
    </row>
    <row r="1000" spans="1:6" x14ac:dyDescent="0.55000000000000004">
      <c r="A1000" t="s">
        <v>79</v>
      </c>
      <c r="B1000" t="s">
        <v>42</v>
      </c>
      <c r="C1000">
        <v>57.120699999999999</v>
      </c>
      <c r="D1000" t="s">
        <v>205</v>
      </c>
      <c r="E1000">
        <v>2017</v>
      </c>
      <c r="F1000">
        <v>5</v>
      </c>
    </row>
    <row r="1001" spans="1:6" x14ac:dyDescent="0.55000000000000004">
      <c r="A1001" t="s">
        <v>79</v>
      </c>
      <c r="B1001" t="s">
        <v>43</v>
      </c>
      <c r="C1001">
        <v>274343.15169999999</v>
      </c>
      <c r="D1001" t="s">
        <v>205</v>
      </c>
      <c r="E1001">
        <v>2017</v>
      </c>
      <c r="F1001">
        <v>5</v>
      </c>
    </row>
    <row r="1002" spans="1:6" x14ac:dyDescent="0.55000000000000004">
      <c r="A1002" t="s">
        <v>79</v>
      </c>
      <c r="B1002" t="s">
        <v>44</v>
      </c>
      <c r="C1002">
        <v>0</v>
      </c>
      <c r="D1002" t="s">
        <v>205</v>
      </c>
      <c r="E1002">
        <v>2017</v>
      </c>
      <c r="F1002">
        <v>5</v>
      </c>
    </row>
    <row r="1003" spans="1:6" x14ac:dyDescent="0.55000000000000004">
      <c r="A1003" t="s">
        <v>79</v>
      </c>
      <c r="B1003" t="s">
        <v>45</v>
      </c>
      <c r="C1003">
        <v>7220.9481999999998</v>
      </c>
      <c r="D1003" t="s">
        <v>205</v>
      </c>
      <c r="E1003">
        <v>2017</v>
      </c>
      <c r="F1003">
        <v>5</v>
      </c>
    </row>
    <row r="1004" spans="1:6" x14ac:dyDescent="0.55000000000000004">
      <c r="A1004" t="s">
        <v>79</v>
      </c>
      <c r="B1004" t="s">
        <v>46</v>
      </c>
      <c r="C1004">
        <v>60422.34</v>
      </c>
      <c r="D1004" t="s">
        <v>205</v>
      </c>
      <c r="E1004">
        <v>2017</v>
      </c>
      <c r="F1004">
        <v>5</v>
      </c>
    </row>
    <row r="1005" spans="1:6" x14ac:dyDescent="0.55000000000000004">
      <c r="A1005" t="s">
        <v>79</v>
      </c>
      <c r="B1005" t="s">
        <v>47</v>
      </c>
      <c r="C1005">
        <v>0</v>
      </c>
      <c r="D1005" t="s">
        <v>205</v>
      </c>
      <c r="E1005">
        <v>2017</v>
      </c>
      <c r="F1005">
        <v>5</v>
      </c>
    </row>
    <row r="1006" spans="1:6" x14ac:dyDescent="0.55000000000000004">
      <c r="A1006" t="s">
        <v>79</v>
      </c>
      <c r="B1006" t="s">
        <v>48</v>
      </c>
      <c r="C1006">
        <v>144971.48000000001</v>
      </c>
      <c r="D1006" t="s">
        <v>205</v>
      </c>
      <c r="E1006">
        <v>2017</v>
      </c>
      <c r="F1006">
        <v>5</v>
      </c>
    </row>
    <row r="1007" spans="1:6" x14ac:dyDescent="0.55000000000000004">
      <c r="A1007" t="s">
        <v>79</v>
      </c>
      <c r="B1007" t="s">
        <v>49</v>
      </c>
      <c r="C1007">
        <v>287.08229999999998</v>
      </c>
      <c r="D1007" t="s">
        <v>205</v>
      </c>
      <c r="E1007">
        <v>2017</v>
      </c>
      <c r="F1007">
        <v>5</v>
      </c>
    </row>
    <row r="1008" spans="1:6" x14ac:dyDescent="0.55000000000000004">
      <c r="A1008" t="s">
        <v>79</v>
      </c>
      <c r="B1008" t="s">
        <v>50</v>
      </c>
      <c r="C1008">
        <v>9693.3783000000003</v>
      </c>
      <c r="D1008" t="s">
        <v>205</v>
      </c>
      <c r="E1008">
        <v>2017</v>
      </c>
      <c r="F1008">
        <v>5</v>
      </c>
    </row>
    <row r="1009" spans="1:6" x14ac:dyDescent="0.55000000000000004">
      <c r="A1009" t="s">
        <v>79</v>
      </c>
      <c r="B1009" t="s">
        <v>51</v>
      </c>
      <c r="C1009">
        <v>8583.3775999999998</v>
      </c>
      <c r="D1009" t="s">
        <v>205</v>
      </c>
      <c r="E1009">
        <v>2017</v>
      </c>
      <c r="F1009">
        <v>5</v>
      </c>
    </row>
    <row r="1010" spans="1:6" x14ac:dyDescent="0.55000000000000004">
      <c r="A1010" t="s">
        <v>79</v>
      </c>
      <c r="B1010" t="s">
        <v>52</v>
      </c>
      <c r="C1010">
        <v>105.78400000000001</v>
      </c>
      <c r="D1010" t="s">
        <v>205</v>
      </c>
      <c r="E1010">
        <v>2017</v>
      </c>
      <c r="F1010">
        <v>5</v>
      </c>
    </row>
    <row r="1011" spans="1:6" x14ac:dyDescent="0.55000000000000004">
      <c r="A1011" t="s">
        <v>79</v>
      </c>
      <c r="B1011" t="s">
        <v>53</v>
      </c>
      <c r="C1011">
        <v>65854.778000000006</v>
      </c>
      <c r="D1011" t="s">
        <v>205</v>
      </c>
      <c r="E1011">
        <v>2017</v>
      </c>
      <c r="F1011">
        <v>5</v>
      </c>
    </row>
    <row r="1012" spans="1:6" x14ac:dyDescent="0.55000000000000004">
      <c r="A1012" t="s">
        <v>79</v>
      </c>
      <c r="B1012" t="s">
        <v>54</v>
      </c>
      <c r="C1012">
        <v>12411.5291</v>
      </c>
      <c r="D1012" t="s">
        <v>205</v>
      </c>
      <c r="E1012">
        <v>2017</v>
      </c>
      <c r="F1012">
        <v>5</v>
      </c>
    </row>
    <row r="1013" spans="1:6" x14ac:dyDescent="0.55000000000000004">
      <c r="A1013" t="s">
        <v>79</v>
      </c>
      <c r="B1013" t="s">
        <v>55</v>
      </c>
      <c r="C1013">
        <v>8629.1913999999997</v>
      </c>
      <c r="D1013" t="s">
        <v>205</v>
      </c>
      <c r="E1013">
        <v>2017</v>
      </c>
      <c r="F1013">
        <v>5</v>
      </c>
    </row>
    <row r="1014" spans="1:6" x14ac:dyDescent="0.55000000000000004">
      <c r="A1014" t="s">
        <v>79</v>
      </c>
      <c r="B1014" t="s">
        <v>56</v>
      </c>
      <c r="C1014">
        <v>2154.7667000000001</v>
      </c>
      <c r="D1014" t="s">
        <v>205</v>
      </c>
      <c r="E1014">
        <v>2017</v>
      </c>
      <c r="F1014">
        <v>5</v>
      </c>
    </row>
    <row r="1015" spans="1:6" x14ac:dyDescent="0.55000000000000004">
      <c r="A1015" t="s">
        <v>79</v>
      </c>
      <c r="B1015" t="s">
        <v>57</v>
      </c>
      <c r="C1015">
        <v>120.0518</v>
      </c>
      <c r="D1015" t="s">
        <v>205</v>
      </c>
      <c r="E1015">
        <v>2017</v>
      </c>
      <c r="F1015">
        <v>5</v>
      </c>
    </row>
    <row r="1016" spans="1:6" x14ac:dyDescent="0.55000000000000004">
      <c r="A1016" t="s">
        <v>79</v>
      </c>
      <c r="B1016" t="s">
        <v>58</v>
      </c>
      <c r="C1016">
        <v>408454</v>
      </c>
      <c r="D1016" t="s">
        <v>205</v>
      </c>
      <c r="E1016">
        <v>2017</v>
      </c>
      <c r="F1016">
        <v>5</v>
      </c>
    </row>
    <row r="1017" spans="1:6" x14ac:dyDescent="0.55000000000000004">
      <c r="A1017" t="s">
        <v>79</v>
      </c>
      <c r="B1017" t="s">
        <v>59</v>
      </c>
      <c r="C1017">
        <v>0</v>
      </c>
      <c r="D1017" t="s">
        <v>205</v>
      </c>
      <c r="E1017">
        <v>2017</v>
      </c>
      <c r="F1017">
        <v>5</v>
      </c>
    </row>
    <row r="1018" spans="1:6" x14ac:dyDescent="0.55000000000000004">
      <c r="A1018" t="s">
        <v>79</v>
      </c>
      <c r="B1018" t="s">
        <v>60</v>
      </c>
      <c r="C1018">
        <v>2073297.9055999999</v>
      </c>
      <c r="D1018" t="s">
        <v>205</v>
      </c>
      <c r="E1018">
        <v>2017</v>
      </c>
      <c r="F1018">
        <v>5</v>
      </c>
    </row>
    <row r="1019" spans="1:6" x14ac:dyDescent="0.55000000000000004">
      <c r="A1019" t="s">
        <v>79</v>
      </c>
      <c r="B1019" t="s">
        <v>61</v>
      </c>
      <c r="C1019">
        <v>4006.252</v>
      </c>
      <c r="D1019" t="s">
        <v>205</v>
      </c>
      <c r="E1019">
        <v>2017</v>
      </c>
      <c r="F1019">
        <v>5</v>
      </c>
    </row>
    <row r="1020" spans="1:6" x14ac:dyDescent="0.55000000000000004">
      <c r="A1020" t="s">
        <v>79</v>
      </c>
      <c r="B1020" t="s">
        <v>62</v>
      </c>
      <c r="C1020">
        <v>889.73900000000003</v>
      </c>
      <c r="D1020" t="s">
        <v>205</v>
      </c>
      <c r="E1020">
        <v>2017</v>
      </c>
      <c r="F1020">
        <v>5</v>
      </c>
    </row>
    <row r="1021" spans="1:6" x14ac:dyDescent="0.55000000000000004">
      <c r="A1021" t="s">
        <v>79</v>
      </c>
      <c r="B1021" t="s">
        <v>63</v>
      </c>
      <c r="C1021">
        <v>82.94</v>
      </c>
      <c r="D1021" t="s">
        <v>205</v>
      </c>
      <c r="E1021">
        <v>2017</v>
      </c>
      <c r="F1021">
        <v>5</v>
      </c>
    </row>
    <row r="1022" spans="1:6" x14ac:dyDescent="0.55000000000000004">
      <c r="A1022" t="s">
        <v>80</v>
      </c>
      <c r="B1022" t="s">
        <v>4</v>
      </c>
      <c r="C1022">
        <v>10297802.748199999</v>
      </c>
      <c r="D1022" t="s">
        <v>206</v>
      </c>
      <c r="E1022">
        <v>2017</v>
      </c>
      <c r="F1022">
        <v>6</v>
      </c>
    </row>
    <row r="1023" spans="1:6" x14ac:dyDescent="0.55000000000000004">
      <c r="A1023" t="s">
        <v>80</v>
      </c>
      <c r="B1023" t="s">
        <v>5</v>
      </c>
      <c r="C1023">
        <v>1016749.2936</v>
      </c>
      <c r="D1023" t="s">
        <v>206</v>
      </c>
      <c r="E1023">
        <v>2017</v>
      </c>
      <c r="F1023">
        <v>6</v>
      </c>
    </row>
    <row r="1024" spans="1:6" x14ac:dyDescent="0.55000000000000004">
      <c r="A1024" t="s">
        <v>80</v>
      </c>
      <c r="B1024" t="s">
        <v>6</v>
      </c>
      <c r="C1024">
        <v>2913559.5636999998</v>
      </c>
      <c r="D1024" t="s">
        <v>206</v>
      </c>
      <c r="E1024">
        <v>2017</v>
      </c>
      <c r="F1024">
        <v>6</v>
      </c>
    </row>
    <row r="1025" spans="1:6" x14ac:dyDescent="0.55000000000000004">
      <c r="A1025" t="s">
        <v>80</v>
      </c>
      <c r="B1025" t="s">
        <v>7</v>
      </c>
      <c r="C1025">
        <v>2556612.1450999998</v>
      </c>
      <c r="D1025" t="s">
        <v>206</v>
      </c>
      <c r="E1025">
        <v>2017</v>
      </c>
      <c r="F1025">
        <v>6</v>
      </c>
    </row>
    <row r="1026" spans="1:6" x14ac:dyDescent="0.55000000000000004">
      <c r="A1026" t="s">
        <v>80</v>
      </c>
      <c r="B1026" t="s">
        <v>8</v>
      </c>
      <c r="C1026">
        <v>3810881.7458000001</v>
      </c>
      <c r="D1026" t="s">
        <v>206</v>
      </c>
      <c r="E1026">
        <v>2017</v>
      </c>
      <c r="F1026">
        <v>6</v>
      </c>
    </row>
    <row r="1027" spans="1:6" x14ac:dyDescent="0.55000000000000004">
      <c r="A1027" t="s">
        <v>80</v>
      </c>
      <c r="B1027" t="s">
        <v>9</v>
      </c>
      <c r="C1027">
        <v>300</v>
      </c>
      <c r="D1027" t="s">
        <v>206</v>
      </c>
      <c r="E1027">
        <v>2017</v>
      </c>
      <c r="F1027">
        <v>6</v>
      </c>
    </row>
    <row r="1028" spans="1:6" x14ac:dyDescent="0.55000000000000004">
      <c r="A1028" t="s">
        <v>80</v>
      </c>
      <c r="B1028" t="s">
        <v>10</v>
      </c>
      <c r="C1028">
        <v>293.33330000000001</v>
      </c>
      <c r="D1028" t="s">
        <v>206</v>
      </c>
      <c r="E1028">
        <v>2017</v>
      </c>
      <c r="F1028">
        <v>6</v>
      </c>
    </row>
    <row r="1029" spans="1:6" x14ac:dyDescent="0.55000000000000004">
      <c r="A1029" t="s">
        <v>80</v>
      </c>
      <c r="B1029" t="s">
        <v>11</v>
      </c>
      <c r="C1029">
        <v>2191499.2459999998</v>
      </c>
      <c r="D1029" t="s">
        <v>206</v>
      </c>
      <c r="E1029">
        <v>2017</v>
      </c>
      <c r="F1029">
        <v>6</v>
      </c>
    </row>
    <row r="1030" spans="1:6" x14ac:dyDescent="0.55000000000000004">
      <c r="A1030" t="s">
        <v>80</v>
      </c>
      <c r="B1030" t="s">
        <v>12</v>
      </c>
      <c r="C1030">
        <v>1407</v>
      </c>
      <c r="D1030" t="s">
        <v>206</v>
      </c>
      <c r="E1030">
        <v>2017</v>
      </c>
      <c r="F1030">
        <v>6</v>
      </c>
    </row>
    <row r="1031" spans="1:6" x14ac:dyDescent="0.55000000000000004">
      <c r="A1031" t="s">
        <v>80</v>
      </c>
      <c r="B1031" t="s">
        <v>13</v>
      </c>
      <c r="C1031">
        <v>39395.7333</v>
      </c>
      <c r="D1031" t="s">
        <v>206</v>
      </c>
      <c r="E1031">
        <v>2017</v>
      </c>
      <c r="F1031">
        <v>6</v>
      </c>
    </row>
    <row r="1032" spans="1:6" x14ac:dyDescent="0.55000000000000004">
      <c r="A1032" t="s">
        <v>80</v>
      </c>
      <c r="B1032" t="s">
        <v>14</v>
      </c>
      <c r="C1032">
        <v>1336</v>
      </c>
      <c r="D1032" t="s">
        <v>206</v>
      </c>
      <c r="E1032">
        <v>2017</v>
      </c>
      <c r="F1032">
        <v>6</v>
      </c>
    </row>
    <row r="1033" spans="1:6" x14ac:dyDescent="0.55000000000000004">
      <c r="A1033" t="s">
        <v>80</v>
      </c>
      <c r="B1033" t="s">
        <v>15</v>
      </c>
      <c r="C1033">
        <v>946822.9608</v>
      </c>
      <c r="D1033" t="s">
        <v>206</v>
      </c>
      <c r="E1033">
        <v>2017</v>
      </c>
      <c r="F1033">
        <v>6</v>
      </c>
    </row>
    <row r="1034" spans="1:6" x14ac:dyDescent="0.55000000000000004">
      <c r="A1034" t="s">
        <v>80</v>
      </c>
      <c r="B1034" t="s">
        <v>16</v>
      </c>
      <c r="C1034">
        <v>0</v>
      </c>
      <c r="D1034" t="s">
        <v>206</v>
      </c>
      <c r="E1034">
        <v>2017</v>
      </c>
      <c r="F1034">
        <v>6</v>
      </c>
    </row>
    <row r="1035" spans="1:6" x14ac:dyDescent="0.55000000000000004">
      <c r="A1035" t="s">
        <v>80</v>
      </c>
      <c r="B1035" t="s">
        <v>17</v>
      </c>
      <c r="C1035">
        <v>123082.5865</v>
      </c>
      <c r="D1035" t="s">
        <v>206</v>
      </c>
      <c r="E1035">
        <v>2017</v>
      </c>
      <c r="F1035">
        <v>6</v>
      </c>
    </row>
    <row r="1036" spans="1:6" x14ac:dyDescent="0.55000000000000004">
      <c r="A1036" t="s">
        <v>80</v>
      </c>
      <c r="B1036" t="s">
        <v>18</v>
      </c>
      <c r="C1036">
        <v>73929.250199999995</v>
      </c>
      <c r="D1036" t="s">
        <v>206</v>
      </c>
      <c r="E1036">
        <v>2017</v>
      </c>
      <c r="F1036">
        <v>6</v>
      </c>
    </row>
    <row r="1037" spans="1:6" x14ac:dyDescent="0.55000000000000004">
      <c r="A1037" t="s">
        <v>80</v>
      </c>
      <c r="B1037" t="s">
        <v>19</v>
      </c>
      <c r="C1037">
        <v>500</v>
      </c>
      <c r="D1037" t="s">
        <v>206</v>
      </c>
      <c r="E1037">
        <v>2017</v>
      </c>
      <c r="F1037">
        <v>6</v>
      </c>
    </row>
    <row r="1038" spans="1:6" x14ac:dyDescent="0.55000000000000004">
      <c r="A1038" t="s">
        <v>80</v>
      </c>
      <c r="B1038" t="s">
        <v>20</v>
      </c>
      <c r="C1038">
        <v>15935.1885</v>
      </c>
      <c r="D1038" t="s">
        <v>206</v>
      </c>
      <c r="E1038">
        <v>2017</v>
      </c>
      <c r="F1038">
        <v>6</v>
      </c>
    </row>
    <row r="1039" spans="1:6" x14ac:dyDescent="0.55000000000000004">
      <c r="A1039" t="s">
        <v>80</v>
      </c>
      <c r="B1039" t="s">
        <v>21</v>
      </c>
      <c r="C1039">
        <v>7527.8716000000004</v>
      </c>
      <c r="D1039" t="s">
        <v>206</v>
      </c>
      <c r="E1039">
        <v>2017</v>
      </c>
      <c r="F1039">
        <v>6</v>
      </c>
    </row>
    <row r="1040" spans="1:6" x14ac:dyDescent="0.55000000000000004">
      <c r="A1040" t="s">
        <v>80</v>
      </c>
      <c r="B1040" t="s">
        <v>22</v>
      </c>
      <c r="C1040">
        <v>51515.053999999996</v>
      </c>
      <c r="D1040" t="s">
        <v>206</v>
      </c>
      <c r="E1040">
        <v>2017</v>
      </c>
      <c r="F1040">
        <v>6</v>
      </c>
    </row>
    <row r="1041" spans="1:6" x14ac:dyDescent="0.55000000000000004">
      <c r="A1041" t="s">
        <v>80</v>
      </c>
      <c r="B1041" t="s">
        <v>23</v>
      </c>
      <c r="C1041">
        <v>60203.548000000003</v>
      </c>
      <c r="D1041" t="s">
        <v>206</v>
      </c>
      <c r="E1041">
        <v>2017</v>
      </c>
      <c r="F1041">
        <v>6</v>
      </c>
    </row>
    <row r="1042" spans="1:6" x14ac:dyDescent="0.55000000000000004">
      <c r="A1042" t="s">
        <v>80</v>
      </c>
      <c r="B1042" t="s">
        <v>24</v>
      </c>
      <c r="C1042">
        <v>0</v>
      </c>
      <c r="D1042" t="s">
        <v>206</v>
      </c>
      <c r="E1042">
        <v>2017</v>
      </c>
      <c r="F1042">
        <v>6</v>
      </c>
    </row>
    <row r="1043" spans="1:6" x14ac:dyDescent="0.55000000000000004">
      <c r="A1043" t="s">
        <v>80</v>
      </c>
      <c r="B1043" t="s">
        <v>25</v>
      </c>
      <c r="C1043">
        <v>468618.11670000001</v>
      </c>
      <c r="D1043" t="s">
        <v>206</v>
      </c>
      <c r="E1043">
        <v>2017</v>
      </c>
      <c r="F1043">
        <v>6</v>
      </c>
    </row>
    <row r="1044" spans="1:6" x14ac:dyDescent="0.55000000000000004">
      <c r="A1044" t="s">
        <v>80</v>
      </c>
      <c r="B1044" t="s">
        <v>26</v>
      </c>
      <c r="C1044">
        <v>0</v>
      </c>
      <c r="D1044" t="s">
        <v>206</v>
      </c>
      <c r="E1044">
        <v>2017</v>
      </c>
      <c r="F1044">
        <v>6</v>
      </c>
    </row>
    <row r="1045" spans="1:6" x14ac:dyDescent="0.55000000000000004">
      <c r="A1045" t="s">
        <v>80</v>
      </c>
      <c r="B1045" t="s">
        <v>27</v>
      </c>
      <c r="C1045">
        <v>1221.9480000000001</v>
      </c>
      <c r="D1045" t="s">
        <v>206</v>
      </c>
      <c r="E1045">
        <v>2017</v>
      </c>
      <c r="F1045">
        <v>6</v>
      </c>
    </row>
    <row r="1046" spans="1:6" x14ac:dyDescent="0.55000000000000004">
      <c r="A1046" t="s">
        <v>80</v>
      </c>
      <c r="B1046" t="s">
        <v>28</v>
      </c>
      <c r="C1046">
        <v>446308.04690000002</v>
      </c>
      <c r="D1046" t="s">
        <v>206</v>
      </c>
      <c r="E1046">
        <v>2017</v>
      </c>
      <c r="F1046">
        <v>6</v>
      </c>
    </row>
    <row r="1047" spans="1:6" x14ac:dyDescent="0.55000000000000004">
      <c r="A1047" t="s">
        <v>80</v>
      </c>
      <c r="B1047" t="s">
        <v>29</v>
      </c>
      <c r="C1047">
        <v>19929.089899999999</v>
      </c>
      <c r="D1047" t="s">
        <v>206</v>
      </c>
      <c r="E1047">
        <v>2017</v>
      </c>
      <c r="F1047">
        <v>6</v>
      </c>
    </row>
    <row r="1048" spans="1:6" x14ac:dyDescent="0.55000000000000004">
      <c r="A1048" t="s">
        <v>80</v>
      </c>
      <c r="B1048" t="s">
        <v>30</v>
      </c>
      <c r="C1048">
        <v>243.49</v>
      </c>
      <c r="D1048" t="s">
        <v>206</v>
      </c>
      <c r="E1048">
        <v>2017</v>
      </c>
      <c r="F1048">
        <v>6</v>
      </c>
    </row>
    <row r="1049" spans="1:6" x14ac:dyDescent="0.55000000000000004">
      <c r="A1049" t="s">
        <v>80</v>
      </c>
      <c r="B1049" t="s">
        <v>31</v>
      </c>
      <c r="C1049">
        <v>17.555299999999999</v>
      </c>
      <c r="D1049" t="s">
        <v>206</v>
      </c>
      <c r="E1049">
        <v>2017</v>
      </c>
      <c r="F1049">
        <v>6</v>
      </c>
    </row>
    <row r="1050" spans="1:6" x14ac:dyDescent="0.55000000000000004">
      <c r="A1050" t="s">
        <v>80</v>
      </c>
      <c r="B1050" t="s">
        <v>32</v>
      </c>
      <c r="C1050">
        <v>915440.41099999996</v>
      </c>
      <c r="D1050" t="s">
        <v>206</v>
      </c>
      <c r="E1050">
        <v>2017</v>
      </c>
      <c r="F1050">
        <v>6</v>
      </c>
    </row>
    <row r="1051" spans="1:6" x14ac:dyDescent="0.55000000000000004">
      <c r="A1051" t="s">
        <v>80</v>
      </c>
      <c r="B1051" t="s">
        <v>33</v>
      </c>
      <c r="C1051">
        <v>591338.2219</v>
      </c>
      <c r="D1051" t="s">
        <v>206</v>
      </c>
      <c r="E1051">
        <v>2017</v>
      </c>
      <c r="F1051">
        <v>6</v>
      </c>
    </row>
    <row r="1052" spans="1:6" x14ac:dyDescent="0.55000000000000004">
      <c r="A1052" t="s">
        <v>80</v>
      </c>
      <c r="B1052" t="s">
        <v>34</v>
      </c>
      <c r="C1052">
        <v>722711.40819999995</v>
      </c>
      <c r="D1052" t="s">
        <v>206</v>
      </c>
      <c r="E1052">
        <v>2017</v>
      </c>
      <c r="F1052">
        <v>6</v>
      </c>
    </row>
    <row r="1053" spans="1:6" x14ac:dyDescent="0.55000000000000004">
      <c r="A1053" t="s">
        <v>80</v>
      </c>
      <c r="B1053" t="s">
        <v>35</v>
      </c>
      <c r="C1053">
        <v>1087.8067000000001</v>
      </c>
      <c r="D1053" t="s">
        <v>206</v>
      </c>
      <c r="E1053">
        <v>2017</v>
      </c>
      <c r="F1053">
        <v>6</v>
      </c>
    </row>
    <row r="1054" spans="1:6" x14ac:dyDescent="0.55000000000000004">
      <c r="A1054" t="s">
        <v>80</v>
      </c>
      <c r="B1054" t="s">
        <v>36</v>
      </c>
      <c r="C1054">
        <v>59506.442799999997</v>
      </c>
      <c r="D1054" t="s">
        <v>206</v>
      </c>
      <c r="E1054">
        <v>2017</v>
      </c>
      <c r="F1054">
        <v>6</v>
      </c>
    </row>
    <row r="1055" spans="1:6" x14ac:dyDescent="0.55000000000000004">
      <c r="A1055" t="s">
        <v>80</v>
      </c>
      <c r="B1055" t="s">
        <v>37</v>
      </c>
      <c r="C1055">
        <v>42299.770499999999</v>
      </c>
      <c r="D1055" t="s">
        <v>206</v>
      </c>
      <c r="E1055">
        <v>2017</v>
      </c>
      <c r="F1055">
        <v>6</v>
      </c>
    </row>
    <row r="1056" spans="1:6" x14ac:dyDescent="0.55000000000000004">
      <c r="A1056" t="s">
        <v>80</v>
      </c>
      <c r="B1056" t="s">
        <v>38</v>
      </c>
      <c r="C1056">
        <v>0</v>
      </c>
      <c r="D1056" t="s">
        <v>206</v>
      </c>
      <c r="E1056">
        <v>2017</v>
      </c>
      <c r="F1056">
        <v>6</v>
      </c>
    </row>
    <row r="1057" spans="1:6" x14ac:dyDescent="0.55000000000000004">
      <c r="A1057" t="s">
        <v>80</v>
      </c>
      <c r="B1057" t="s">
        <v>39</v>
      </c>
      <c r="C1057">
        <v>6179.35</v>
      </c>
      <c r="D1057" t="s">
        <v>206</v>
      </c>
      <c r="E1057">
        <v>2017</v>
      </c>
      <c r="F1057">
        <v>6</v>
      </c>
    </row>
    <row r="1058" spans="1:6" x14ac:dyDescent="0.55000000000000004">
      <c r="A1058" t="s">
        <v>80</v>
      </c>
      <c r="B1058" t="s">
        <v>40</v>
      </c>
      <c r="C1058">
        <v>699.38009999999997</v>
      </c>
      <c r="D1058" t="s">
        <v>206</v>
      </c>
      <c r="E1058">
        <v>2017</v>
      </c>
      <c r="F1058">
        <v>6</v>
      </c>
    </row>
    <row r="1059" spans="1:6" x14ac:dyDescent="0.55000000000000004">
      <c r="A1059" t="s">
        <v>80</v>
      </c>
      <c r="B1059" t="s">
        <v>41</v>
      </c>
      <c r="C1059">
        <v>324807.47200000001</v>
      </c>
      <c r="D1059" t="s">
        <v>206</v>
      </c>
      <c r="E1059">
        <v>2017</v>
      </c>
      <c r="F1059">
        <v>6</v>
      </c>
    </row>
    <row r="1060" spans="1:6" x14ac:dyDescent="0.55000000000000004">
      <c r="A1060" t="s">
        <v>80</v>
      </c>
      <c r="B1060" t="s">
        <v>42</v>
      </c>
      <c r="C1060">
        <v>207.3527</v>
      </c>
      <c r="D1060" t="s">
        <v>206</v>
      </c>
      <c r="E1060">
        <v>2017</v>
      </c>
      <c r="F1060">
        <v>6</v>
      </c>
    </row>
    <row r="1061" spans="1:6" x14ac:dyDescent="0.55000000000000004">
      <c r="A1061" t="s">
        <v>80</v>
      </c>
      <c r="B1061" t="s">
        <v>43</v>
      </c>
      <c r="C1061">
        <v>351212.78889999999</v>
      </c>
      <c r="D1061" t="s">
        <v>206</v>
      </c>
      <c r="E1061">
        <v>2017</v>
      </c>
      <c r="F1061">
        <v>6</v>
      </c>
    </row>
    <row r="1062" spans="1:6" x14ac:dyDescent="0.55000000000000004">
      <c r="A1062" t="s">
        <v>80</v>
      </c>
      <c r="B1062" t="s">
        <v>44</v>
      </c>
      <c r="C1062">
        <v>0</v>
      </c>
      <c r="D1062" t="s">
        <v>206</v>
      </c>
      <c r="E1062">
        <v>2017</v>
      </c>
      <c r="F1062">
        <v>6</v>
      </c>
    </row>
    <row r="1063" spans="1:6" x14ac:dyDescent="0.55000000000000004">
      <c r="A1063" t="s">
        <v>80</v>
      </c>
      <c r="B1063" t="s">
        <v>45</v>
      </c>
      <c r="C1063">
        <v>5595.5634</v>
      </c>
      <c r="D1063" t="s">
        <v>206</v>
      </c>
      <c r="E1063">
        <v>2017</v>
      </c>
      <c r="F1063">
        <v>6</v>
      </c>
    </row>
    <row r="1064" spans="1:6" x14ac:dyDescent="0.55000000000000004">
      <c r="A1064" t="s">
        <v>80</v>
      </c>
      <c r="B1064" t="s">
        <v>46</v>
      </c>
      <c r="C1064">
        <v>70467.754000000001</v>
      </c>
      <c r="D1064" t="s">
        <v>206</v>
      </c>
      <c r="E1064">
        <v>2017</v>
      </c>
      <c r="F1064">
        <v>6</v>
      </c>
    </row>
    <row r="1065" spans="1:6" x14ac:dyDescent="0.55000000000000004">
      <c r="A1065" t="s">
        <v>80</v>
      </c>
      <c r="B1065" t="s">
        <v>47</v>
      </c>
      <c r="C1065">
        <v>0</v>
      </c>
      <c r="D1065" t="s">
        <v>206</v>
      </c>
      <c r="E1065">
        <v>2017</v>
      </c>
      <c r="F1065">
        <v>6</v>
      </c>
    </row>
    <row r="1066" spans="1:6" x14ac:dyDescent="0.55000000000000004">
      <c r="A1066" t="s">
        <v>80</v>
      </c>
      <c r="B1066" t="s">
        <v>48</v>
      </c>
      <c r="C1066">
        <v>219265.6</v>
      </c>
      <c r="D1066" t="s">
        <v>206</v>
      </c>
      <c r="E1066">
        <v>2017</v>
      </c>
      <c r="F1066">
        <v>6</v>
      </c>
    </row>
    <row r="1067" spans="1:6" x14ac:dyDescent="0.55000000000000004">
      <c r="A1067" t="s">
        <v>80</v>
      </c>
      <c r="B1067" t="s">
        <v>49</v>
      </c>
      <c r="C1067">
        <v>1245.5340000000001</v>
      </c>
      <c r="D1067" t="s">
        <v>206</v>
      </c>
      <c r="E1067">
        <v>2017</v>
      </c>
      <c r="F1067">
        <v>6</v>
      </c>
    </row>
    <row r="1068" spans="1:6" x14ac:dyDescent="0.55000000000000004">
      <c r="A1068" t="s">
        <v>80</v>
      </c>
      <c r="B1068" t="s">
        <v>50</v>
      </c>
      <c r="C1068">
        <v>13290.954900000001</v>
      </c>
      <c r="D1068" t="s">
        <v>206</v>
      </c>
      <c r="E1068">
        <v>2017</v>
      </c>
      <c r="F1068">
        <v>6</v>
      </c>
    </row>
    <row r="1069" spans="1:6" x14ac:dyDescent="0.55000000000000004">
      <c r="A1069" t="s">
        <v>80</v>
      </c>
      <c r="B1069" t="s">
        <v>51</v>
      </c>
      <c r="C1069">
        <v>3468.3775999999998</v>
      </c>
      <c r="D1069" t="s">
        <v>206</v>
      </c>
      <c r="E1069">
        <v>2017</v>
      </c>
      <c r="F1069">
        <v>6</v>
      </c>
    </row>
    <row r="1070" spans="1:6" x14ac:dyDescent="0.55000000000000004">
      <c r="A1070" t="s">
        <v>80</v>
      </c>
      <c r="B1070" t="s">
        <v>52</v>
      </c>
      <c r="C1070">
        <v>107.8493</v>
      </c>
      <c r="D1070" t="s">
        <v>206</v>
      </c>
      <c r="E1070">
        <v>2017</v>
      </c>
      <c r="F1070">
        <v>6</v>
      </c>
    </row>
    <row r="1071" spans="1:6" x14ac:dyDescent="0.55000000000000004">
      <c r="A1071" t="s">
        <v>80</v>
      </c>
      <c r="B1071" t="s">
        <v>53</v>
      </c>
      <c r="C1071">
        <v>16235.11</v>
      </c>
      <c r="D1071" t="s">
        <v>206</v>
      </c>
      <c r="E1071">
        <v>2017</v>
      </c>
      <c r="F1071">
        <v>6</v>
      </c>
    </row>
    <row r="1072" spans="1:6" x14ac:dyDescent="0.55000000000000004">
      <c r="A1072" t="s">
        <v>80</v>
      </c>
      <c r="B1072" t="s">
        <v>54</v>
      </c>
      <c r="C1072">
        <v>11762.969800000001</v>
      </c>
      <c r="D1072" t="s">
        <v>206</v>
      </c>
      <c r="E1072">
        <v>2017</v>
      </c>
      <c r="F1072">
        <v>6</v>
      </c>
    </row>
    <row r="1073" spans="1:6" x14ac:dyDescent="0.55000000000000004">
      <c r="A1073" t="s">
        <v>80</v>
      </c>
      <c r="B1073" t="s">
        <v>55</v>
      </c>
      <c r="C1073">
        <v>2475.6714000000002</v>
      </c>
      <c r="D1073" t="s">
        <v>206</v>
      </c>
      <c r="E1073">
        <v>2017</v>
      </c>
      <c r="F1073">
        <v>6</v>
      </c>
    </row>
    <row r="1074" spans="1:6" x14ac:dyDescent="0.55000000000000004">
      <c r="A1074" t="s">
        <v>80</v>
      </c>
      <c r="B1074" t="s">
        <v>56</v>
      </c>
      <c r="C1074">
        <v>5114.9332999999997</v>
      </c>
      <c r="D1074" t="s">
        <v>206</v>
      </c>
      <c r="E1074">
        <v>2017</v>
      </c>
      <c r="F1074">
        <v>6</v>
      </c>
    </row>
    <row r="1075" spans="1:6" x14ac:dyDescent="0.55000000000000004">
      <c r="A1075" t="s">
        <v>80</v>
      </c>
      <c r="B1075" t="s">
        <v>57</v>
      </c>
      <c r="C1075">
        <v>74.549899999999994</v>
      </c>
      <c r="D1075" t="s">
        <v>206</v>
      </c>
      <c r="E1075">
        <v>2017</v>
      </c>
      <c r="F1075">
        <v>6</v>
      </c>
    </row>
    <row r="1076" spans="1:6" x14ac:dyDescent="0.55000000000000004">
      <c r="A1076" t="s">
        <v>80</v>
      </c>
      <c r="B1076" t="s">
        <v>58</v>
      </c>
      <c r="C1076">
        <v>430565</v>
      </c>
      <c r="D1076" t="s">
        <v>206</v>
      </c>
      <c r="E1076">
        <v>2017</v>
      </c>
      <c r="F1076">
        <v>6</v>
      </c>
    </row>
    <row r="1077" spans="1:6" x14ac:dyDescent="0.55000000000000004">
      <c r="A1077" t="s">
        <v>80</v>
      </c>
      <c r="B1077" t="s">
        <v>59</v>
      </c>
      <c r="C1077">
        <v>0</v>
      </c>
      <c r="D1077" t="s">
        <v>206</v>
      </c>
      <c r="E1077">
        <v>2017</v>
      </c>
      <c r="F1077">
        <v>6</v>
      </c>
    </row>
    <row r="1078" spans="1:6" x14ac:dyDescent="0.55000000000000004">
      <c r="A1078" t="s">
        <v>80</v>
      </c>
      <c r="B1078" t="s">
        <v>60</v>
      </c>
      <c r="C1078">
        <v>2047214.0338000001</v>
      </c>
      <c r="D1078" t="s">
        <v>206</v>
      </c>
      <c r="E1078">
        <v>2017</v>
      </c>
      <c r="F1078">
        <v>6</v>
      </c>
    </row>
    <row r="1079" spans="1:6" x14ac:dyDescent="0.55000000000000004">
      <c r="A1079" t="s">
        <v>80</v>
      </c>
      <c r="B1079" t="s">
        <v>61</v>
      </c>
      <c r="C1079">
        <v>3896.924</v>
      </c>
      <c r="D1079" t="s">
        <v>206</v>
      </c>
      <c r="E1079">
        <v>2017</v>
      </c>
      <c r="F1079">
        <v>6</v>
      </c>
    </row>
    <row r="1080" spans="1:6" x14ac:dyDescent="0.55000000000000004">
      <c r="A1080" t="s">
        <v>80</v>
      </c>
      <c r="B1080" t="s">
        <v>62</v>
      </c>
      <c r="C1080">
        <v>1044.229</v>
      </c>
      <c r="D1080" t="s">
        <v>206</v>
      </c>
      <c r="E1080">
        <v>2017</v>
      </c>
      <c r="F1080">
        <v>6</v>
      </c>
    </row>
    <row r="1081" spans="1:6" x14ac:dyDescent="0.55000000000000004">
      <c r="A1081" t="s">
        <v>80</v>
      </c>
      <c r="B1081" t="s">
        <v>63</v>
      </c>
      <c r="C1081">
        <v>401.27</v>
      </c>
      <c r="D1081" t="s">
        <v>206</v>
      </c>
      <c r="E1081">
        <v>2017</v>
      </c>
      <c r="F1081">
        <v>6</v>
      </c>
    </row>
    <row r="1082" spans="1:6" x14ac:dyDescent="0.55000000000000004">
      <c r="A1082" t="s">
        <v>81</v>
      </c>
      <c r="B1082" t="s">
        <v>4</v>
      </c>
      <c r="C1082">
        <v>9662206.1380000003</v>
      </c>
      <c r="D1082" t="s">
        <v>207</v>
      </c>
      <c r="E1082">
        <v>2017</v>
      </c>
      <c r="F1082">
        <v>7</v>
      </c>
    </row>
    <row r="1083" spans="1:6" x14ac:dyDescent="0.55000000000000004">
      <c r="A1083" t="s">
        <v>81</v>
      </c>
      <c r="B1083" t="s">
        <v>5</v>
      </c>
      <c r="C1083">
        <v>1090051.7516999999</v>
      </c>
      <c r="D1083" t="s">
        <v>207</v>
      </c>
      <c r="E1083">
        <v>2017</v>
      </c>
      <c r="F1083">
        <v>7</v>
      </c>
    </row>
    <row r="1084" spans="1:6" x14ac:dyDescent="0.55000000000000004">
      <c r="A1084" t="s">
        <v>81</v>
      </c>
      <c r="B1084" t="s">
        <v>6</v>
      </c>
      <c r="C1084">
        <v>2624124.1041000001</v>
      </c>
      <c r="D1084" t="s">
        <v>207</v>
      </c>
      <c r="E1084">
        <v>2017</v>
      </c>
      <c r="F1084">
        <v>7</v>
      </c>
    </row>
    <row r="1085" spans="1:6" x14ac:dyDescent="0.55000000000000004">
      <c r="A1085" t="s">
        <v>81</v>
      </c>
      <c r="B1085" t="s">
        <v>7</v>
      </c>
      <c r="C1085">
        <v>2130922.8657</v>
      </c>
      <c r="D1085" t="s">
        <v>207</v>
      </c>
      <c r="E1085">
        <v>2017</v>
      </c>
      <c r="F1085">
        <v>7</v>
      </c>
    </row>
    <row r="1086" spans="1:6" x14ac:dyDescent="0.55000000000000004">
      <c r="A1086" t="s">
        <v>81</v>
      </c>
      <c r="B1086" t="s">
        <v>8</v>
      </c>
      <c r="C1086">
        <v>3817107.4164999998</v>
      </c>
      <c r="D1086" t="s">
        <v>207</v>
      </c>
      <c r="E1086">
        <v>2017</v>
      </c>
      <c r="F1086">
        <v>7</v>
      </c>
    </row>
    <row r="1087" spans="1:6" x14ac:dyDescent="0.55000000000000004">
      <c r="A1087" t="s">
        <v>81</v>
      </c>
      <c r="B1087" t="s">
        <v>9</v>
      </c>
      <c r="C1087">
        <v>800</v>
      </c>
      <c r="D1087" t="s">
        <v>207</v>
      </c>
      <c r="E1087">
        <v>2017</v>
      </c>
      <c r="F1087">
        <v>7</v>
      </c>
    </row>
    <row r="1088" spans="1:6" x14ac:dyDescent="0.55000000000000004">
      <c r="A1088" t="s">
        <v>81</v>
      </c>
      <c r="B1088" t="s">
        <v>10</v>
      </c>
      <c r="C1088">
        <v>116.66670000000001</v>
      </c>
      <c r="D1088" t="s">
        <v>207</v>
      </c>
      <c r="E1088">
        <v>2017</v>
      </c>
      <c r="F1088">
        <v>7</v>
      </c>
    </row>
    <row r="1089" spans="1:6" x14ac:dyDescent="0.55000000000000004">
      <c r="A1089" t="s">
        <v>81</v>
      </c>
      <c r="B1089" t="s">
        <v>11</v>
      </c>
      <c r="C1089">
        <v>1873670.733</v>
      </c>
      <c r="D1089" t="s">
        <v>207</v>
      </c>
      <c r="E1089">
        <v>2017</v>
      </c>
      <c r="F1089">
        <v>7</v>
      </c>
    </row>
    <row r="1090" spans="1:6" x14ac:dyDescent="0.55000000000000004">
      <c r="A1090" t="s">
        <v>81</v>
      </c>
      <c r="B1090" t="s">
        <v>12</v>
      </c>
      <c r="C1090">
        <v>18346.650000000001</v>
      </c>
      <c r="D1090" t="s">
        <v>207</v>
      </c>
      <c r="E1090">
        <v>2017</v>
      </c>
      <c r="F1090">
        <v>7</v>
      </c>
    </row>
    <row r="1091" spans="1:6" x14ac:dyDescent="0.55000000000000004">
      <c r="A1091" t="s">
        <v>81</v>
      </c>
      <c r="B1091" t="s">
        <v>13</v>
      </c>
      <c r="C1091">
        <v>21610</v>
      </c>
      <c r="D1091" t="s">
        <v>207</v>
      </c>
      <c r="E1091">
        <v>2017</v>
      </c>
      <c r="F1091">
        <v>7</v>
      </c>
    </row>
    <row r="1092" spans="1:6" x14ac:dyDescent="0.55000000000000004">
      <c r="A1092" t="s">
        <v>81</v>
      </c>
      <c r="B1092" t="s">
        <v>14</v>
      </c>
      <c r="C1092">
        <v>0</v>
      </c>
      <c r="D1092" t="s">
        <v>207</v>
      </c>
      <c r="E1092">
        <v>2017</v>
      </c>
      <c r="F1092">
        <v>7</v>
      </c>
    </row>
    <row r="1093" spans="1:6" x14ac:dyDescent="0.55000000000000004">
      <c r="A1093" t="s">
        <v>81</v>
      </c>
      <c r="B1093" t="s">
        <v>15</v>
      </c>
      <c r="C1093">
        <v>1000909.1024</v>
      </c>
      <c r="D1093" t="s">
        <v>207</v>
      </c>
      <c r="E1093">
        <v>2017</v>
      </c>
      <c r="F1093">
        <v>7</v>
      </c>
    </row>
    <row r="1094" spans="1:6" x14ac:dyDescent="0.55000000000000004">
      <c r="A1094" t="s">
        <v>81</v>
      </c>
      <c r="B1094" t="s">
        <v>16</v>
      </c>
      <c r="C1094">
        <v>0</v>
      </c>
      <c r="D1094" t="s">
        <v>207</v>
      </c>
      <c r="E1094">
        <v>2017</v>
      </c>
      <c r="F1094">
        <v>7</v>
      </c>
    </row>
    <row r="1095" spans="1:6" x14ac:dyDescent="0.55000000000000004">
      <c r="A1095" t="s">
        <v>81</v>
      </c>
      <c r="B1095" t="s">
        <v>17</v>
      </c>
      <c r="C1095">
        <v>106484.3836</v>
      </c>
      <c r="D1095" t="s">
        <v>207</v>
      </c>
      <c r="E1095">
        <v>2017</v>
      </c>
      <c r="F1095">
        <v>7</v>
      </c>
    </row>
    <row r="1096" spans="1:6" x14ac:dyDescent="0.55000000000000004">
      <c r="A1096" t="s">
        <v>81</v>
      </c>
      <c r="B1096" t="s">
        <v>18</v>
      </c>
      <c r="C1096">
        <v>118442.0833</v>
      </c>
      <c r="D1096" t="s">
        <v>207</v>
      </c>
      <c r="E1096">
        <v>2017</v>
      </c>
      <c r="F1096">
        <v>7</v>
      </c>
    </row>
    <row r="1097" spans="1:6" x14ac:dyDescent="0.55000000000000004">
      <c r="A1097" t="s">
        <v>81</v>
      </c>
      <c r="B1097" t="s">
        <v>19</v>
      </c>
      <c r="C1097">
        <v>1082.8879999999999</v>
      </c>
      <c r="D1097" t="s">
        <v>207</v>
      </c>
      <c r="E1097">
        <v>2017</v>
      </c>
      <c r="F1097">
        <v>7</v>
      </c>
    </row>
    <row r="1098" spans="1:6" x14ac:dyDescent="0.55000000000000004">
      <c r="A1098" t="s">
        <v>81</v>
      </c>
      <c r="B1098" t="s">
        <v>20</v>
      </c>
      <c r="C1098">
        <v>5306.73</v>
      </c>
      <c r="D1098" t="s">
        <v>207</v>
      </c>
      <c r="E1098">
        <v>2017</v>
      </c>
      <c r="F1098">
        <v>7</v>
      </c>
    </row>
    <row r="1099" spans="1:6" x14ac:dyDescent="0.55000000000000004">
      <c r="A1099" t="s">
        <v>81</v>
      </c>
      <c r="B1099" t="s">
        <v>21</v>
      </c>
      <c r="C1099">
        <v>1374.6002000000001</v>
      </c>
      <c r="D1099" t="s">
        <v>207</v>
      </c>
      <c r="E1099">
        <v>2017</v>
      </c>
      <c r="F1099">
        <v>7</v>
      </c>
    </row>
    <row r="1100" spans="1:6" x14ac:dyDescent="0.55000000000000004">
      <c r="A1100" t="s">
        <v>81</v>
      </c>
      <c r="B1100" t="s">
        <v>22</v>
      </c>
      <c r="C1100">
        <v>68688.668799999999</v>
      </c>
      <c r="D1100" t="s">
        <v>207</v>
      </c>
      <c r="E1100">
        <v>2017</v>
      </c>
      <c r="F1100">
        <v>7</v>
      </c>
    </row>
    <row r="1101" spans="1:6" x14ac:dyDescent="0.55000000000000004">
      <c r="A1101" t="s">
        <v>81</v>
      </c>
      <c r="B1101" t="s">
        <v>23</v>
      </c>
      <c r="C1101">
        <v>66582.712700000004</v>
      </c>
      <c r="D1101" t="s">
        <v>207</v>
      </c>
      <c r="E1101">
        <v>2017</v>
      </c>
      <c r="F1101">
        <v>7</v>
      </c>
    </row>
    <row r="1102" spans="1:6" x14ac:dyDescent="0.55000000000000004">
      <c r="A1102" t="s">
        <v>81</v>
      </c>
      <c r="B1102" t="s">
        <v>24</v>
      </c>
      <c r="C1102">
        <v>0</v>
      </c>
      <c r="D1102" t="s">
        <v>207</v>
      </c>
      <c r="E1102">
        <v>2017</v>
      </c>
      <c r="F1102">
        <v>7</v>
      </c>
    </row>
    <row r="1103" spans="1:6" x14ac:dyDescent="0.55000000000000004">
      <c r="A1103" t="s">
        <v>81</v>
      </c>
      <c r="B1103" t="s">
        <v>25</v>
      </c>
      <c r="C1103">
        <v>364983.63329999999</v>
      </c>
      <c r="D1103" t="s">
        <v>207</v>
      </c>
      <c r="E1103">
        <v>2017</v>
      </c>
      <c r="F1103">
        <v>7</v>
      </c>
    </row>
    <row r="1104" spans="1:6" x14ac:dyDescent="0.55000000000000004">
      <c r="A1104" t="s">
        <v>81</v>
      </c>
      <c r="B1104" t="s">
        <v>26</v>
      </c>
      <c r="C1104">
        <v>0</v>
      </c>
      <c r="D1104" t="s">
        <v>207</v>
      </c>
      <c r="E1104">
        <v>2017</v>
      </c>
      <c r="F1104">
        <v>7</v>
      </c>
    </row>
    <row r="1105" spans="1:6" x14ac:dyDescent="0.55000000000000004">
      <c r="A1105" t="s">
        <v>81</v>
      </c>
      <c r="B1105" t="s">
        <v>27</v>
      </c>
      <c r="C1105">
        <v>1294.8813</v>
      </c>
      <c r="D1105" t="s">
        <v>207</v>
      </c>
      <c r="E1105">
        <v>2017</v>
      </c>
      <c r="F1105">
        <v>7</v>
      </c>
    </row>
    <row r="1106" spans="1:6" x14ac:dyDescent="0.55000000000000004">
      <c r="A1106" t="s">
        <v>81</v>
      </c>
      <c r="B1106" t="s">
        <v>28</v>
      </c>
      <c r="C1106">
        <v>373745.18099999998</v>
      </c>
      <c r="D1106" t="s">
        <v>207</v>
      </c>
      <c r="E1106">
        <v>2017</v>
      </c>
      <c r="F1106">
        <v>7</v>
      </c>
    </row>
    <row r="1107" spans="1:6" x14ac:dyDescent="0.55000000000000004">
      <c r="A1107" t="s">
        <v>81</v>
      </c>
      <c r="B1107" t="s">
        <v>29</v>
      </c>
      <c r="C1107">
        <v>18148.759900000001</v>
      </c>
      <c r="D1107" t="s">
        <v>207</v>
      </c>
      <c r="E1107">
        <v>2017</v>
      </c>
      <c r="F1107">
        <v>7</v>
      </c>
    </row>
    <row r="1108" spans="1:6" x14ac:dyDescent="0.55000000000000004">
      <c r="A1108" t="s">
        <v>81</v>
      </c>
      <c r="B1108" t="s">
        <v>30</v>
      </c>
      <c r="C1108">
        <v>28.08</v>
      </c>
      <c r="D1108" t="s">
        <v>207</v>
      </c>
      <c r="E1108">
        <v>2017</v>
      </c>
      <c r="F1108">
        <v>7</v>
      </c>
    </row>
    <row r="1109" spans="1:6" x14ac:dyDescent="0.55000000000000004">
      <c r="A1109" t="s">
        <v>81</v>
      </c>
      <c r="B1109" t="s">
        <v>31</v>
      </c>
      <c r="C1109">
        <v>225.90530000000001</v>
      </c>
      <c r="D1109" t="s">
        <v>207</v>
      </c>
      <c r="E1109">
        <v>2017</v>
      </c>
      <c r="F1109">
        <v>7</v>
      </c>
    </row>
    <row r="1110" spans="1:6" x14ac:dyDescent="0.55000000000000004">
      <c r="A1110" t="s">
        <v>81</v>
      </c>
      <c r="B1110" t="s">
        <v>32</v>
      </c>
      <c r="C1110">
        <v>771454.57669999998</v>
      </c>
      <c r="D1110" t="s">
        <v>207</v>
      </c>
      <c r="E1110">
        <v>2017</v>
      </c>
      <c r="F1110">
        <v>7</v>
      </c>
    </row>
    <row r="1111" spans="1:6" x14ac:dyDescent="0.55000000000000004">
      <c r="A1111" t="s">
        <v>81</v>
      </c>
      <c r="B1111" t="s">
        <v>33</v>
      </c>
      <c r="C1111">
        <v>545593.66650000005</v>
      </c>
      <c r="D1111" t="s">
        <v>207</v>
      </c>
      <c r="E1111">
        <v>2017</v>
      </c>
      <c r="F1111">
        <v>7</v>
      </c>
    </row>
    <row r="1112" spans="1:6" x14ac:dyDescent="0.55000000000000004">
      <c r="A1112" t="s">
        <v>81</v>
      </c>
      <c r="B1112" t="s">
        <v>34</v>
      </c>
      <c r="C1112">
        <v>915891.99860000005</v>
      </c>
      <c r="D1112" t="s">
        <v>207</v>
      </c>
      <c r="E1112">
        <v>2017</v>
      </c>
      <c r="F1112">
        <v>7</v>
      </c>
    </row>
    <row r="1113" spans="1:6" x14ac:dyDescent="0.55000000000000004">
      <c r="A1113" t="s">
        <v>81</v>
      </c>
      <c r="B1113" t="s">
        <v>35</v>
      </c>
      <c r="C1113">
        <v>2214.8851</v>
      </c>
      <c r="D1113" t="s">
        <v>207</v>
      </c>
      <c r="E1113">
        <v>2017</v>
      </c>
      <c r="F1113">
        <v>7</v>
      </c>
    </row>
    <row r="1114" spans="1:6" x14ac:dyDescent="0.55000000000000004">
      <c r="A1114" t="s">
        <v>81</v>
      </c>
      <c r="B1114" t="s">
        <v>36</v>
      </c>
      <c r="C1114">
        <v>75139.5003</v>
      </c>
      <c r="D1114" t="s">
        <v>207</v>
      </c>
      <c r="E1114">
        <v>2017</v>
      </c>
      <c r="F1114">
        <v>7</v>
      </c>
    </row>
    <row r="1115" spans="1:6" x14ac:dyDescent="0.55000000000000004">
      <c r="A1115" t="s">
        <v>81</v>
      </c>
      <c r="B1115" t="s">
        <v>37</v>
      </c>
      <c r="C1115">
        <v>44360.8269</v>
      </c>
      <c r="D1115" t="s">
        <v>207</v>
      </c>
      <c r="E1115">
        <v>2017</v>
      </c>
      <c r="F1115">
        <v>7</v>
      </c>
    </row>
    <row r="1116" spans="1:6" x14ac:dyDescent="0.55000000000000004">
      <c r="A1116" t="s">
        <v>81</v>
      </c>
      <c r="B1116" t="s">
        <v>38</v>
      </c>
      <c r="C1116">
        <v>720</v>
      </c>
      <c r="D1116" t="s">
        <v>207</v>
      </c>
      <c r="E1116">
        <v>2017</v>
      </c>
      <c r="F1116">
        <v>7</v>
      </c>
    </row>
    <row r="1117" spans="1:6" x14ac:dyDescent="0.55000000000000004">
      <c r="A1117" t="s">
        <v>81</v>
      </c>
      <c r="B1117" t="s">
        <v>39</v>
      </c>
      <c r="C1117">
        <v>3513.1898000000001</v>
      </c>
      <c r="D1117" t="s">
        <v>207</v>
      </c>
      <c r="E1117">
        <v>2017</v>
      </c>
      <c r="F1117">
        <v>7</v>
      </c>
    </row>
    <row r="1118" spans="1:6" x14ac:dyDescent="0.55000000000000004">
      <c r="A1118" t="s">
        <v>81</v>
      </c>
      <c r="B1118" t="s">
        <v>40</v>
      </c>
      <c r="C1118">
        <v>665.95010000000002</v>
      </c>
      <c r="D1118" t="s">
        <v>207</v>
      </c>
      <c r="E1118">
        <v>2017</v>
      </c>
      <c r="F1118">
        <v>7</v>
      </c>
    </row>
    <row r="1119" spans="1:6" x14ac:dyDescent="0.55000000000000004">
      <c r="A1119" t="s">
        <v>81</v>
      </c>
      <c r="B1119" t="s">
        <v>41</v>
      </c>
      <c r="C1119">
        <v>239327.85029999999</v>
      </c>
      <c r="D1119" t="s">
        <v>207</v>
      </c>
      <c r="E1119">
        <v>2017</v>
      </c>
      <c r="F1119">
        <v>7</v>
      </c>
    </row>
    <row r="1120" spans="1:6" x14ac:dyDescent="0.55000000000000004">
      <c r="A1120" t="s">
        <v>81</v>
      </c>
      <c r="B1120" t="s">
        <v>42</v>
      </c>
      <c r="C1120">
        <v>62.017800000000001</v>
      </c>
      <c r="D1120" t="s">
        <v>207</v>
      </c>
      <c r="E1120">
        <v>2017</v>
      </c>
      <c r="F1120">
        <v>7</v>
      </c>
    </row>
    <row r="1121" spans="1:6" x14ac:dyDescent="0.55000000000000004">
      <c r="A1121" t="s">
        <v>81</v>
      </c>
      <c r="B1121" t="s">
        <v>43</v>
      </c>
      <c r="C1121">
        <v>243084.31219999999</v>
      </c>
      <c r="D1121" t="s">
        <v>207</v>
      </c>
      <c r="E1121">
        <v>2017</v>
      </c>
      <c r="F1121">
        <v>7</v>
      </c>
    </row>
    <row r="1122" spans="1:6" x14ac:dyDescent="0.55000000000000004">
      <c r="A1122" t="s">
        <v>81</v>
      </c>
      <c r="B1122" t="s">
        <v>44</v>
      </c>
      <c r="C1122">
        <v>0</v>
      </c>
      <c r="D1122" t="s">
        <v>207</v>
      </c>
      <c r="E1122">
        <v>2017</v>
      </c>
      <c r="F1122">
        <v>7</v>
      </c>
    </row>
    <row r="1123" spans="1:6" x14ac:dyDescent="0.55000000000000004">
      <c r="A1123" t="s">
        <v>81</v>
      </c>
      <c r="B1123" t="s">
        <v>45</v>
      </c>
      <c r="C1123">
        <v>7154.9069</v>
      </c>
      <c r="D1123" t="s">
        <v>207</v>
      </c>
      <c r="E1123">
        <v>2017</v>
      </c>
      <c r="F1123">
        <v>7</v>
      </c>
    </row>
    <row r="1124" spans="1:6" x14ac:dyDescent="0.55000000000000004">
      <c r="A1124" t="s">
        <v>81</v>
      </c>
      <c r="B1124" t="s">
        <v>46</v>
      </c>
      <c r="C1124">
        <v>87418.315400000007</v>
      </c>
      <c r="D1124" t="s">
        <v>207</v>
      </c>
      <c r="E1124">
        <v>2017</v>
      </c>
      <c r="F1124">
        <v>7</v>
      </c>
    </row>
    <row r="1125" spans="1:6" x14ac:dyDescent="0.55000000000000004">
      <c r="A1125" t="s">
        <v>81</v>
      </c>
      <c r="B1125" t="s">
        <v>47</v>
      </c>
      <c r="C1125">
        <v>0</v>
      </c>
      <c r="D1125" t="s">
        <v>207</v>
      </c>
      <c r="E1125">
        <v>2017</v>
      </c>
      <c r="F1125">
        <v>7</v>
      </c>
    </row>
    <row r="1126" spans="1:6" x14ac:dyDescent="0.55000000000000004">
      <c r="A1126" t="s">
        <v>81</v>
      </c>
      <c r="B1126" t="s">
        <v>48</v>
      </c>
      <c r="C1126">
        <v>360154.41</v>
      </c>
      <c r="D1126" t="s">
        <v>207</v>
      </c>
      <c r="E1126">
        <v>2017</v>
      </c>
      <c r="F1126">
        <v>7</v>
      </c>
    </row>
    <row r="1127" spans="1:6" x14ac:dyDescent="0.55000000000000004">
      <c r="A1127" t="s">
        <v>81</v>
      </c>
      <c r="B1127" t="s">
        <v>49</v>
      </c>
      <c r="C1127">
        <v>821.11569999999995</v>
      </c>
      <c r="D1127" t="s">
        <v>207</v>
      </c>
      <c r="E1127">
        <v>2017</v>
      </c>
      <c r="F1127">
        <v>7</v>
      </c>
    </row>
    <row r="1128" spans="1:6" x14ac:dyDescent="0.55000000000000004">
      <c r="A1128" t="s">
        <v>81</v>
      </c>
      <c r="B1128" t="s">
        <v>50</v>
      </c>
      <c r="C1128">
        <v>16878.620500000001</v>
      </c>
      <c r="D1128" t="s">
        <v>207</v>
      </c>
      <c r="E1128">
        <v>2017</v>
      </c>
      <c r="F1128">
        <v>7</v>
      </c>
    </row>
    <row r="1129" spans="1:6" x14ac:dyDescent="0.55000000000000004">
      <c r="A1129" t="s">
        <v>81</v>
      </c>
      <c r="B1129" t="s">
        <v>51</v>
      </c>
      <c r="C1129">
        <v>4911.7175999999999</v>
      </c>
      <c r="D1129" t="s">
        <v>207</v>
      </c>
      <c r="E1129">
        <v>2017</v>
      </c>
      <c r="F1129">
        <v>7</v>
      </c>
    </row>
    <row r="1130" spans="1:6" x14ac:dyDescent="0.55000000000000004">
      <c r="A1130" t="s">
        <v>81</v>
      </c>
      <c r="B1130" t="s">
        <v>52</v>
      </c>
      <c r="C1130">
        <v>115.05410000000001</v>
      </c>
      <c r="D1130" t="s">
        <v>207</v>
      </c>
      <c r="E1130">
        <v>2017</v>
      </c>
      <c r="F1130">
        <v>7</v>
      </c>
    </row>
    <row r="1131" spans="1:6" x14ac:dyDescent="0.55000000000000004">
      <c r="A1131" t="s">
        <v>81</v>
      </c>
      <c r="B1131" t="s">
        <v>53</v>
      </c>
      <c r="C1131">
        <v>16060.628000000001</v>
      </c>
      <c r="D1131" t="s">
        <v>207</v>
      </c>
      <c r="E1131">
        <v>2017</v>
      </c>
      <c r="F1131">
        <v>7</v>
      </c>
    </row>
    <row r="1132" spans="1:6" x14ac:dyDescent="0.55000000000000004">
      <c r="A1132" t="s">
        <v>81</v>
      </c>
      <c r="B1132" t="s">
        <v>54</v>
      </c>
      <c r="C1132">
        <v>11519.0519</v>
      </c>
      <c r="D1132" t="s">
        <v>207</v>
      </c>
      <c r="E1132">
        <v>2017</v>
      </c>
      <c r="F1132">
        <v>7</v>
      </c>
    </row>
    <row r="1133" spans="1:6" x14ac:dyDescent="0.55000000000000004">
      <c r="A1133" t="s">
        <v>81</v>
      </c>
      <c r="B1133" t="s">
        <v>55</v>
      </c>
      <c r="C1133">
        <v>3019.1637999999998</v>
      </c>
      <c r="D1133" t="s">
        <v>207</v>
      </c>
      <c r="E1133">
        <v>2017</v>
      </c>
      <c r="F1133">
        <v>7</v>
      </c>
    </row>
    <row r="1134" spans="1:6" x14ac:dyDescent="0.55000000000000004">
      <c r="A1134" t="s">
        <v>81</v>
      </c>
      <c r="B1134" t="s">
        <v>56</v>
      </c>
      <c r="C1134">
        <v>1279.8667</v>
      </c>
      <c r="D1134" t="s">
        <v>207</v>
      </c>
      <c r="E1134">
        <v>2017</v>
      </c>
      <c r="F1134">
        <v>7</v>
      </c>
    </row>
    <row r="1135" spans="1:6" x14ac:dyDescent="0.55000000000000004">
      <c r="A1135" t="s">
        <v>81</v>
      </c>
      <c r="B1135" t="s">
        <v>57</v>
      </c>
      <c r="C1135">
        <v>61.566299999999998</v>
      </c>
      <c r="D1135" t="s">
        <v>207</v>
      </c>
      <c r="E1135">
        <v>2017</v>
      </c>
      <c r="F1135">
        <v>7</v>
      </c>
    </row>
    <row r="1136" spans="1:6" x14ac:dyDescent="0.55000000000000004">
      <c r="A1136" t="s">
        <v>81</v>
      </c>
      <c r="B1136" t="s">
        <v>58</v>
      </c>
      <c r="C1136">
        <v>427204</v>
      </c>
      <c r="D1136" t="s">
        <v>207</v>
      </c>
      <c r="E1136">
        <v>2017</v>
      </c>
      <c r="F1136">
        <v>7</v>
      </c>
    </row>
    <row r="1137" spans="1:6" x14ac:dyDescent="0.55000000000000004">
      <c r="A1137" t="s">
        <v>81</v>
      </c>
      <c r="B1137" t="s">
        <v>59</v>
      </c>
      <c r="C1137">
        <v>0</v>
      </c>
      <c r="D1137" t="s">
        <v>207</v>
      </c>
      <c r="E1137">
        <v>2017</v>
      </c>
      <c r="F1137">
        <v>7</v>
      </c>
    </row>
    <row r="1138" spans="1:6" x14ac:dyDescent="0.55000000000000004">
      <c r="A1138" t="s">
        <v>81</v>
      </c>
      <c r="B1138" t="s">
        <v>60</v>
      </c>
      <c r="C1138">
        <v>1837200.8326000001</v>
      </c>
      <c r="D1138" t="s">
        <v>207</v>
      </c>
      <c r="E1138">
        <v>2017</v>
      </c>
      <c r="F1138">
        <v>7</v>
      </c>
    </row>
    <row r="1139" spans="1:6" x14ac:dyDescent="0.55000000000000004">
      <c r="A1139" t="s">
        <v>81</v>
      </c>
      <c r="B1139" t="s">
        <v>61</v>
      </c>
      <c r="C1139">
        <v>3758.0347000000002</v>
      </c>
      <c r="D1139" t="s">
        <v>207</v>
      </c>
      <c r="E1139">
        <v>2017</v>
      </c>
      <c r="F1139">
        <v>7</v>
      </c>
    </row>
    <row r="1140" spans="1:6" x14ac:dyDescent="0.55000000000000004">
      <c r="A1140" t="s">
        <v>81</v>
      </c>
      <c r="B1140" t="s">
        <v>62</v>
      </c>
      <c r="C1140">
        <v>696.07899999999995</v>
      </c>
      <c r="D1140" t="s">
        <v>207</v>
      </c>
      <c r="E1140">
        <v>2017</v>
      </c>
      <c r="F1140">
        <v>7</v>
      </c>
    </row>
    <row r="1141" spans="1:6" x14ac:dyDescent="0.55000000000000004">
      <c r="A1141" t="s">
        <v>81</v>
      </c>
      <c r="B1141" t="s">
        <v>63</v>
      </c>
      <c r="C1141">
        <v>82.340999999999994</v>
      </c>
      <c r="D1141" t="s">
        <v>207</v>
      </c>
      <c r="E1141">
        <v>2017</v>
      </c>
      <c r="F1141">
        <v>7</v>
      </c>
    </row>
    <row r="1142" spans="1:6" x14ac:dyDescent="0.55000000000000004">
      <c r="A1142" t="s">
        <v>82</v>
      </c>
      <c r="B1142" t="s">
        <v>4</v>
      </c>
      <c r="C1142">
        <v>10426869.929300001</v>
      </c>
      <c r="D1142" t="s">
        <v>208</v>
      </c>
      <c r="E1142">
        <v>2017</v>
      </c>
      <c r="F1142">
        <v>8</v>
      </c>
    </row>
    <row r="1143" spans="1:6" x14ac:dyDescent="0.55000000000000004">
      <c r="A1143" t="s">
        <v>82</v>
      </c>
      <c r="B1143" t="s">
        <v>5</v>
      </c>
      <c r="C1143">
        <v>1254950.7478</v>
      </c>
      <c r="D1143" t="s">
        <v>208</v>
      </c>
      <c r="E1143">
        <v>2017</v>
      </c>
      <c r="F1143">
        <v>8</v>
      </c>
    </row>
    <row r="1144" spans="1:6" x14ac:dyDescent="0.55000000000000004">
      <c r="A1144" t="s">
        <v>82</v>
      </c>
      <c r="B1144" t="s">
        <v>6</v>
      </c>
      <c r="C1144">
        <v>2366265.4275000002</v>
      </c>
      <c r="D1144" t="s">
        <v>208</v>
      </c>
      <c r="E1144">
        <v>2017</v>
      </c>
      <c r="F1144">
        <v>8</v>
      </c>
    </row>
    <row r="1145" spans="1:6" x14ac:dyDescent="0.55000000000000004">
      <c r="A1145" t="s">
        <v>82</v>
      </c>
      <c r="B1145" t="s">
        <v>7</v>
      </c>
      <c r="C1145">
        <v>2875682.2593</v>
      </c>
      <c r="D1145" t="s">
        <v>208</v>
      </c>
      <c r="E1145">
        <v>2017</v>
      </c>
      <c r="F1145">
        <v>8</v>
      </c>
    </row>
    <row r="1146" spans="1:6" x14ac:dyDescent="0.55000000000000004">
      <c r="A1146" t="s">
        <v>82</v>
      </c>
      <c r="B1146" t="s">
        <v>8</v>
      </c>
      <c r="C1146">
        <v>3929971.4947000002</v>
      </c>
      <c r="D1146" t="s">
        <v>208</v>
      </c>
      <c r="E1146">
        <v>2017</v>
      </c>
      <c r="F1146">
        <v>8</v>
      </c>
    </row>
    <row r="1147" spans="1:6" x14ac:dyDescent="0.55000000000000004">
      <c r="A1147" t="s">
        <v>82</v>
      </c>
      <c r="B1147" t="s">
        <v>9</v>
      </c>
      <c r="C1147">
        <v>0</v>
      </c>
      <c r="D1147" t="s">
        <v>208</v>
      </c>
      <c r="E1147">
        <v>2017</v>
      </c>
      <c r="F1147">
        <v>8</v>
      </c>
    </row>
    <row r="1148" spans="1:6" x14ac:dyDescent="0.55000000000000004">
      <c r="A1148" t="s">
        <v>82</v>
      </c>
      <c r="B1148" t="s">
        <v>10</v>
      </c>
      <c r="C1148">
        <v>2558.5</v>
      </c>
      <c r="D1148" t="s">
        <v>208</v>
      </c>
      <c r="E1148">
        <v>2017</v>
      </c>
      <c r="F1148">
        <v>8</v>
      </c>
    </row>
    <row r="1149" spans="1:6" x14ac:dyDescent="0.55000000000000004">
      <c r="A1149" t="s">
        <v>82</v>
      </c>
      <c r="B1149" t="s">
        <v>11</v>
      </c>
      <c r="C1149">
        <v>2610143.5789999999</v>
      </c>
      <c r="D1149" t="s">
        <v>208</v>
      </c>
      <c r="E1149">
        <v>2017</v>
      </c>
      <c r="F1149">
        <v>8</v>
      </c>
    </row>
    <row r="1150" spans="1:6" x14ac:dyDescent="0.55000000000000004">
      <c r="A1150" t="s">
        <v>82</v>
      </c>
      <c r="B1150" t="s">
        <v>12</v>
      </c>
      <c r="C1150">
        <v>16630</v>
      </c>
      <c r="D1150" t="s">
        <v>208</v>
      </c>
      <c r="E1150">
        <v>2017</v>
      </c>
      <c r="F1150">
        <v>8</v>
      </c>
    </row>
    <row r="1151" spans="1:6" x14ac:dyDescent="0.55000000000000004">
      <c r="A1151" t="s">
        <v>82</v>
      </c>
      <c r="B1151" t="s">
        <v>13</v>
      </c>
      <c r="C1151">
        <v>31783.333299999998</v>
      </c>
      <c r="D1151" t="s">
        <v>208</v>
      </c>
      <c r="E1151">
        <v>2017</v>
      </c>
      <c r="F1151">
        <v>8</v>
      </c>
    </row>
    <row r="1152" spans="1:6" x14ac:dyDescent="0.55000000000000004">
      <c r="A1152" t="s">
        <v>82</v>
      </c>
      <c r="B1152" t="s">
        <v>14</v>
      </c>
      <c r="C1152">
        <v>0</v>
      </c>
      <c r="D1152" t="s">
        <v>208</v>
      </c>
      <c r="E1152">
        <v>2017</v>
      </c>
      <c r="F1152">
        <v>8</v>
      </c>
    </row>
    <row r="1153" spans="1:6" x14ac:dyDescent="0.55000000000000004">
      <c r="A1153" t="s">
        <v>82</v>
      </c>
      <c r="B1153" t="s">
        <v>15</v>
      </c>
      <c r="C1153">
        <v>1204211.7357999999</v>
      </c>
      <c r="D1153" t="s">
        <v>208</v>
      </c>
      <c r="E1153">
        <v>2017</v>
      </c>
      <c r="F1153">
        <v>8</v>
      </c>
    </row>
    <row r="1154" spans="1:6" x14ac:dyDescent="0.55000000000000004">
      <c r="A1154" t="s">
        <v>82</v>
      </c>
      <c r="B1154" t="s">
        <v>16</v>
      </c>
      <c r="C1154">
        <v>0</v>
      </c>
      <c r="D1154" t="s">
        <v>208</v>
      </c>
      <c r="E1154">
        <v>2017</v>
      </c>
      <c r="F1154">
        <v>8</v>
      </c>
    </row>
    <row r="1155" spans="1:6" x14ac:dyDescent="0.55000000000000004">
      <c r="A1155" t="s">
        <v>82</v>
      </c>
      <c r="B1155" t="s">
        <v>17</v>
      </c>
      <c r="C1155">
        <v>74798.776299999998</v>
      </c>
      <c r="D1155" t="s">
        <v>208</v>
      </c>
      <c r="E1155">
        <v>2017</v>
      </c>
      <c r="F1155">
        <v>8</v>
      </c>
    </row>
    <row r="1156" spans="1:6" x14ac:dyDescent="0.55000000000000004">
      <c r="A1156" t="s">
        <v>82</v>
      </c>
      <c r="B1156" t="s">
        <v>18</v>
      </c>
      <c r="C1156">
        <v>43341.083200000001</v>
      </c>
      <c r="D1156" t="s">
        <v>208</v>
      </c>
      <c r="E1156">
        <v>2017</v>
      </c>
      <c r="F1156">
        <v>8</v>
      </c>
    </row>
    <row r="1157" spans="1:6" x14ac:dyDescent="0.55000000000000004">
      <c r="A1157" t="s">
        <v>82</v>
      </c>
      <c r="B1157" t="s">
        <v>19</v>
      </c>
      <c r="C1157">
        <v>485.0795</v>
      </c>
      <c r="D1157" t="s">
        <v>208</v>
      </c>
      <c r="E1157">
        <v>2017</v>
      </c>
      <c r="F1157">
        <v>8</v>
      </c>
    </row>
    <row r="1158" spans="1:6" x14ac:dyDescent="0.55000000000000004">
      <c r="A1158" t="s">
        <v>82</v>
      </c>
      <c r="B1158" t="s">
        <v>20</v>
      </c>
      <c r="C1158">
        <v>3117.39</v>
      </c>
      <c r="D1158" t="s">
        <v>208</v>
      </c>
      <c r="E1158">
        <v>2017</v>
      </c>
      <c r="F1158">
        <v>8</v>
      </c>
    </row>
    <row r="1159" spans="1:6" x14ac:dyDescent="0.55000000000000004">
      <c r="A1159" t="s">
        <v>82</v>
      </c>
      <c r="B1159" t="s">
        <v>21</v>
      </c>
      <c r="C1159">
        <v>876.14340000000004</v>
      </c>
      <c r="D1159" t="s">
        <v>208</v>
      </c>
      <c r="E1159">
        <v>2017</v>
      </c>
      <c r="F1159">
        <v>8</v>
      </c>
    </row>
    <row r="1160" spans="1:6" x14ac:dyDescent="0.55000000000000004">
      <c r="A1160" t="s">
        <v>82</v>
      </c>
      <c r="B1160" t="s">
        <v>22</v>
      </c>
      <c r="C1160">
        <v>52807.960800000001</v>
      </c>
      <c r="D1160" t="s">
        <v>208</v>
      </c>
      <c r="E1160">
        <v>2017</v>
      </c>
      <c r="F1160">
        <v>8</v>
      </c>
    </row>
    <row r="1161" spans="1:6" x14ac:dyDescent="0.55000000000000004">
      <c r="A1161" t="s">
        <v>82</v>
      </c>
      <c r="B1161" t="s">
        <v>23</v>
      </c>
      <c r="C1161">
        <v>43322.79</v>
      </c>
      <c r="D1161" t="s">
        <v>208</v>
      </c>
      <c r="E1161">
        <v>2017</v>
      </c>
      <c r="F1161">
        <v>8</v>
      </c>
    </row>
    <row r="1162" spans="1:6" x14ac:dyDescent="0.55000000000000004">
      <c r="A1162" t="s">
        <v>82</v>
      </c>
      <c r="B1162" t="s">
        <v>24</v>
      </c>
      <c r="C1162">
        <v>0</v>
      </c>
      <c r="D1162" t="s">
        <v>208</v>
      </c>
      <c r="E1162">
        <v>2017</v>
      </c>
      <c r="F1162">
        <v>8</v>
      </c>
    </row>
    <row r="1163" spans="1:6" x14ac:dyDescent="0.55000000000000004">
      <c r="A1163" t="s">
        <v>82</v>
      </c>
      <c r="B1163" t="s">
        <v>25</v>
      </c>
      <c r="C1163">
        <v>393654.53340000001</v>
      </c>
      <c r="D1163" t="s">
        <v>208</v>
      </c>
      <c r="E1163">
        <v>2017</v>
      </c>
      <c r="F1163">
        <v>8</v>
      </c>
    </row>
    <row r="1164" spans="1:6" x14ac:dyDescent="0.55000000000000004">
      <c r="A1164" t="s">
        <v>82</v>
      </c>
      <c r="B1164" t="s">
        <v>26</v>
      </c>
      <c r="C1164">
        <v>0</v>
      </c>
      <c r="D1164" t="s">
        <v>208</v>
      </c>
      <c r="E1164">
        <v>2017</v>
      </c>
      <c r="F1164">
        <v>8</v>
      </c>
    </row>
    <row r="1165" spans="1:6" x14ac:dyDescent="0.55000000000000004">
      <c r="A1165" t="s">
        <v>82</v>
      </c>
      <c r="B1165" t="s">
        <v>27</v>
      </c>
      <c r="C1165">
        <v>2151.201</v>
      </c>
      <c r="D1165" t="s">
        <v>208</v>
      </c>
      <c r="E1165">
        <v>2017</v>
      </c>
      <c r="F1165">
        <v>8</v>
      </c>
    </row>
    <row r="1166" spans="1:6" x14ac:dyDescent="0.55000000000000004">
      <c r="A1166" t="s">
        <v>82</v>
      </c>
      <c r="B1166" t="s">
        <v>28</v>
      </c>
      <c r="C1166">
        <v>338549.26980000001</v>
      </c>
      <c r="D1166" t="s">
        <v>208</v>
      </c>
      <c r="E1166">
        <v>2017</v>
      </c>
      <c r="F1166">
        <v>8</v>
      </c>
    </row>
    <row r="1167" spans="1:6" x14ac:dyDescent="0.55000000000000004">
      <c r="A1167" t="s">
        <v>82</v>
      </c>
      <c r="B1167" t="s">
        <v>29</v>
      </c>
      <c r="C1167">
        <v>18982.419900000001</v>
      </c>
      <c r="D1167" t="s">
        <v>208</v>
      </c>
      <c r="E1167">
        <v>2017</v>
      </c>
      <c r="F1167">
        <v>8</v>
      </c>
    </row>
    <row r="1168" spans="1:6" x14ac:dyDescent="0.55000000000000004">
      <c r="A1168" t="s">
        <v>82</v>
      </c>
      <c r="B1168" t="s">
        <v>30</v>
      </c>
      <c r="C1168">
        <v>4.9400000000000004</v>
      </c>
      <c r="D1168" t="s">
        <v>208</v>
      </c>
      <c r="E1168">
        <v>2017</v>
      </c>
      <c r="F1168">
        <v>8</v>
      </c>
    </row>
    <row r="1169" spans="1:6" x14ac:dyDescent="0.55000000000000004">
      <c r="A1169" t="s">
        <v>82</v>
      </c>
      <c r="B1169" t="s">
        <v>31</v>
      </c>
      <c r="C1169">
        <v>597.70529999999997</v>
      </c>
      <c r="D1169" t="s">
        <v>208</v>
      </c>
      <c r="E1169">
        <v>2017</v>
      </c>
      <c r="F1169">
        <v>8</v>
      </c>
    </row>
    <row r="1170" spans="1:6" x14ac:dyDescent="0.55000000000000004">
      <c r="A1170" t="s">
        <v>82</v>
      </c>
      <c r="B1170" t="s">
        <v>32</v>
      </c>
      <c r="C1170">
        <v>432206.57770000002</v>
      </c>
      <c r="D1170" t="s">
        <v>208</v>
      </c>
      <c r="E1170">
        <v>2017</v>
      </c>
      <c r="F1170">
        <v>8</v>
      </c>
    </row>
    <row r="1171" spans="1:6" x14ac:dyDescent="0.55000000000000004">
      <c r="A1171" t="s">
        <v>82</v>
      </c>
      <c r="B1171" t="s">
        <v>33</v>
      </c>
      <c r="C1171">
        <v>617651.69259999995</v>
      </c>
      <c r="D1171" t="s">
        <v>208</v>
      </c>
      <c r="E1171">
        <v>2017</v>
      </c>
      <c r="F1171">
        <v>8</v>
      </c>
    </row>
    <row r="1172" spans="1:6" x14ac:dyDescent="0.55000000000000004">
      <c r="A1172" t="s">
        <v>82</v>
      </c>
      <c r="B1172" t="s">
        <v>34</v>
      </c>
      <c r="C1172">
        <v>1081019.7974</v>
      </c>
      <c r="D1172" t="s">
        <v>208</v>
      </c>
      <c r="E1172">
        <v>2017</v>
      </c>
      <c r="F1172">
        <v>8</v>
      </c>
    </row>
    <row r="1173" spans="1:6" x14ac:dyDescent="0.55000000000000004">
      <c r="A1173" t="s">
        <v>82</v>
      </c>
      <c r="B1173" t="s">
        <v>35</v>
      </c>
      <c r="C1173">
        <v>836.82399999999996</v>
      </c>
      <c r="D1173" t="s">
        <v>208</v>
      </c>
      <c r="E1173">
        <v>2017</v>
      </c>
      <c r="F1173">
        <v>8</v>
      </c>
    </row>
    <row r="1174" spans="1:6" x14ac:dyDescent="0.55000000000000004">
      <c r="A1174" t="s">
        <v>82</v>
      </c>
      <c r="B1174" t="s">
        <v>36</v>
      </c>
      <c r="C1174">
        <v>36113.67</v>
      </c>
      <c r="D1174" t="s">
        <v>208</v>
      </c>
      <c r="E1174">
        <v>2017</v>
      </c>
      <c r="F1174">
        <v>8</v>
      </c>
    </row>
    <row r="1175" spans="1:6" x14ac:dyDescent="0.55000000000000004">
      <c r="A1175" t="s">
        <v>82</v>
      </c>
      <c r="B1175" t="s">
        <v>37</v>
      </c>
      <c r="C1175">
        <v>31644.439600000002</v>
      </c>
      <c r="D1175" t="s">
        <v>208</v>
      </c>
      <c r="E1175">
        <v>2017</v>
      </c>
      <c r="F1175">
        <v>8</v>
      </c>
    </row>
    <row r="1176" spans="1:6" x14ac:dyDescent="0.55000000000000004">
      <c r="A1176" t="s">
        <v>82</v>
      </c>
      <c r="B1176" t="s">
        <v>38</v>
      </c>
      <c r="C1176">
        <v>3841.67</v>
      </c>
      <c r="D1176" t="s">
        <v>208</v>
      </c>
      <c r="E1176">
        <v>2017</v>
      </c>
      <c r="F1176">
        <v>8</v>
      </c>
    </row>
    <row r="1177" spans="1:6" x14ac:dyDescent="0.55000000000000004">
      <c r="A1177" t="s">
        <v>82</v>
      </c>
      <c r="B1177" t="s">
        <v>39</v>
      </c>
      <c r="C1177">
        <v>3821.02</v>
      </c>
      <c r="D1177" t="s">
        <v>208</v>
      </c>
      <c r="E1177">
        <v>2017</v>
      </c>
      <c r="F1177">
        <v>8</v>
      </c>
    </row>
    <row r="1178" spans="1:6" x14ac:dyDescent="0.55000000000000004">
      <c r="A1178" t="s">
        <v>82</v>
      </c>
      <c r="B1178" t="s">
        <v>40</v>
      </c>
      <c r="C1178">
        <v>371.38010000000003</v>
      </c>
      <c r="D1178" t="s">
        <v>208</v>
      </c>
      <c r="E1178">
        <v>2017</v>
      </c>
      <c r="F1178">
        <v>8</v>
      </c>
    </row>
    <row r="1179" spans="1:6" x14ac:dyDescent="0.55000000000000004">
      <c r="A1179" t="s">
        <v>82</v>
      </c>
      <c r="B1179" t="s">
        <v>41</v>
      </c>
      <c r="C1179">
        <v>281315.33179999999</v>
      </c>
      <c r="D1179" t="s">
        <v>208</v>
      </c>
      <c r="E1179">
        <v>2017</v>
      </c>
      <c r="F1179">
        <v>8</v>
      </c>
    </row>
    <row r="1180" spans="1:6" x14ac:dyDescent="0.55000000000000004">
      <c r="A1180" t="s">
        <v>82</v>
      </c>
      <c r="B1180" t="s">
        <v>42</v>
      </c>
      <c r="C1180">
        <v>234.66050000000001</v>
      </c>
      <c r="D1180" t="s">
        <v>208</v>
      </c>
      <c r="E1180">
        <v>2017</v>
      </c>
      <c r="F1180">
        <v>8</v>
      </c>
    </row>
    <row r="1181" spans="1:6" x14ac:dyDescent="0.55000000000000004">
      <c r="A1181" t="s">
        <v>82</v>
      </c>
      <c r="B1181" t="s">
        <v>43</v>
      </c>
      <c r="C1181">
        <v>205560.68909999999</v>
      </c>
      <c r="D1181" t="s">
        <v>208</v>
      </c>
      <c r="E1181">
        <v>2017</v>
      </c>
      <c r="F1181">
        <v>8</v>
      </c>
    </row>
    <row r="1182" spans="1:6" x14ac:dyDescent="0.55000000000000004">
      <c r="A1182" t="s">
        <v>82</v>
      </c>
      <c r="B1182" t="s">
        <v>44</v>
      </c>
      <c r="C1182">
        <v>0</v>
      </c>
      <c r="D1182" t="s">
        <v>208</v>
      </c>
      <c r="E1182">
        <v>2017</v>
      </c>
      <c r="F1182">
        <v>8</v>
      </c>
    </row>
    <row r="1183" spans="1:6" x14ac:dyDescent="0.55000000000000004">
      <c r="A1183" t="s">
        <v>82</v>
      </c>
      <c r="B1183" t="s">
        <v>45</v>
      </c>
      <c r="C1183">
        <v>5441.5370999999996</v>
      </c>
      <c r="D1183" t="s">
        <v>208</v>
      </c>
      <c r="E1183">
        <v>2017</v>
      </c>
      <c r="F1183">
        <v>8</v>
      </c>
    </row>
    <row r="1184" spans="1:6" x14ac:dyDescent="0.55000000000000004">
      <c r="A1184" t="s">
        <v>82</v>
      </c>
      <c r="B1184" t="s">
        <v>46</v>
      </c>
      <c r="C1184">
        <v>85024.67</v>
      </c>
      <c r="D1184" t="s">
        <v>208</v>
      </c>
      <c r="E1184">
        <v>2017</v>
      </c>
      <c r="F1184">
        <v>8</v>
      </c>
    </row>
    <row r="1185" spans="1:6" x14ac:dyDescent="0.55000000000000004">
      <c r="A1185" t="s">
        <v>82</v>
      </c>
      <c r="B1185" t="s">
        <v>47</v>
      </c>
      <c r="C1185">
        <v>0</v>
      </c>
      <c r="D1185" t="s">
        <v>208</v>
      </c>
      <c r="E1185">
        <v>2017</v>
      </c>
      <c r="F1185">
        <v>8</v>
      </c>
    </row>
    <row r="1186" spans="1:6" x14ac:dyDescent="0.55000000000000004">
      <c r="A1186" t="s">
        <v>82</v>
      </c>
      <c r="B1186" t="s">
        <v>48</v>
      </c>
      <c r="C1186">
        <v>514232.12</v>
      </c>
      <c r="D1186" t="s">
        <v>208</v>
      </c>
      <c r="E1186">
        <v>2017</v>
      </c>
      <c r="F1186">
        <v>8</v>
      </c>
    </row>
    <row r="1187" spans="1:6" x14ac:dyDescent="0.55000000000000004">
      <c r="A1187" t="s">
        <v>82</v>
      </c>
      <c r="B1187" t="s">
        <v>49</v>
      </c>
      <c r="C1187">
        <v>400.27</v>
      </c>
      <c r="D1187" t="s">
        <v>208</v>
      </c>
      <c r="E1187">
        <v>2017</v>
      </c>
      <c r="F1187">
        <v>8</v>
      </c>
    </row>
    <row r="1188" spans="1:6" x14ac:dyDescent="0.55000000000000004">
      <c r="A1188" t="s">
        <v>82</v>
      </c>
      <c r="B1188" t="s">
        <v>50</v>
      </c>
      <c r="C1188">
        <v>20381.0906</v>
      </c>
      <c r="D1188" t="s">
        <v>208</v>
      </c>
      <c r="E1188">
        <v>2017</v>
      </c>
      <c r="F1188">
        <v>8</v>
      </c>
    </row>
    <row r="1189" spans="1:6" x14ac:dyDescent="0.55000000000000004">
      <c r="A1189" t="s">
        <v>82</v>
      </c>
      <c r="B1189" t="s">
        <v>51</v>
      </c>
      <c r="C1189">
        <v>4336.3476000000001</v>
      </c>
      <c r="D1189" t="s">
        <v>208</v>
      </c>
      <c r="E1189">
        <v>2017</v>
      </c>
      <c r="F1189">
        <v>8</v>
      </c>
    </row>
    <row r="1190" spans="1:6" x14ac:dyDescent="0.55000000000000004">
      <c r="A1190" t="s">
        <v>82</v>
      </c>
      <c r="B1190" t="s">
        <v>52</v>
      </c>
      <c r="C1190">
        <v>163.20230000000001</v>
      </c>
      <c r="D1190" t="s">
        <v>208</v>
      </c>
      <c r="E1190">
        <v>2017</v>
      </c>
      <c r="F1190">
        <v>8</v>
      </c>
    </row>
    <row r="1191" spans="1:6" x14ac:dyDescent="0.55000000000000004">
      <c r="A1191" t="s">
        <v>82</v>
      </c>
      <c r="B1191" t="s">
        <v>53</v>
      </c>
      <c r="C1191">
        <v>21035.603999999999</v>
      </c>
      <c r="D1191" t="s">
        <v>208</v>
      </c>
      <c r="E1191">
        <v>2017</v>
      </c>
      <c r="F1191">
        <v>8</v>
      </c>
    </row>
    <row r="1192" spans="1:6" x14ac:dyDescent="0.55000000000000004">
      <c r="A1192" t="s">
        <v>82</v>
      </c>
      <c r="B1192" t="s">
        <v>54</v>
      </c>
      <c r="C1192">
        <v>12011.4846</v>
      </c>
      <c r="D1192" t="s">
        <v>208</v>
      </c>
      <c r="E1192">
        <v>2017</v>
      </c>
      <c r="F1192">
        <v>8</v>
      </c>
    </row>
    <row r="1193" spans="1:6" x14ac:dyDescent="0.55000000000000004">
      <c r="A1193" t="s">
        <v>82</v>
      </c>
      <c r="B1193" t="s">
        <v>55</v>
      </c>
      <c r="C1193">
        <v>11339.181399999999</v>
      </c>
      <c r="D1193" t="s">
        <v>208</v>
      </c>
      <c r="E1193">
        <v>2017</v>
      </c>
      <c r="F1193">
        <v>8</v>
      </c>
    </row>
    <row r="1194" spans="1:6" x14ac:dyDescent="0.55000000000000004">
      <c r="A1194" t="s">
        <v>82</v>
      </c>
      <c r="B1194" t="s">
        <v>56</v>
      </c>
      <c r="C1194">
        <v>641.6</v>
      </c>
      <c r="D1194" t="s">
        <v>208</v>
      </c>
      <c r="E1194">
        <v>2017</v>
      </c>
      <c r="F1194">
        <v>8</v>
      </c>
    </row>
    <row r="1195" spans="1:6" x14ac:dyDescent="0.55000000000000004">
      <c r="A1195" t="s">
        <v>82</v>
      </c>
      <c r="B1195" t="s">
        <v>57</v>
      </c>
      <c r="C1195">
        <v>135.1927</v>
      </c>
      <c r="D1195" t="s">
        <v>208</v>
      </c>
      <c r="E1195">
        <v>2017</v>
      </c>
      <c r="F1195">
        <v>8</v>
      </c>
    </row>
    <row r="1196" spans="1:6" x14ac:dyDescent="0.55000000000000004">
      <c r="A1196" t="s">
        <v>82</v>
      </c>
      <c r="B1196" t="s">
        <v>58</v>
      </c>
      <c r="C1196">
        <v>418340</v>
      </c>
      <c r="D1196" t="s">
        <v>208</v>
      </c>
      <c r="E1196">
        <v>2017</v>
      </c>
      <c r="F1196">
        <v>8</v>
      </c>
    </row>
    <row r="1197" spans="1:6" x14ac:dyDescent="0.55000000000000004">
      <c r="A1197" t="s">
        <v>82</v>
      </c>
      <c r="B1197" t="s">
        <v>59</v>
      </c>
      <c r="C1197">
        <v>0</v>
      </c>
      <c r="D1197" t="s">
        <v>208</v>
      </c>
      <c r="E1197">
        <v>2017</v>
      </c>
      <c r="F1197">
        <v>8</v>
      </c>
    </row>
    <row r="1198" spans="1:6" x14ac:dyDescent="0.55000000000000004">
      <c r="A1198" t="s">
        <v>82</v>
      </c>
      <c r="B1198" t="s">
        <v>60</v>
      </c>
      <c r="C1198">
        <v>1795765.1444999999</v>
      </c>
      <c r="D1198" t="s">
        <v>208</v>
      </c>
      <c r="E1198">
        <v>2017</v>
      </c>
      <c r="F1198">
        <v>8</v>
      </c>
    </row>
    <row r="1199" spans="1:6" x14ac:dyDescent="0.55000000000000004">
      <c r="A1199" t="s">
        <v>82</v>
      </c>
      <c r="B1199" t="s">
        <v>61</v>
      </c>
      <c r="C1199">
        <v>3827.4319999999998</v>
      </c>
      <c r="D1199" t="s">
        <v>208</v>
      </c>
      <c r="E1199">
        <v>2017</v>
      </c>
      <c r="F1199">
        <v>8</v>
      </c>
    </row>
    <row r="1200" spans="1:6" x14ac:dyDescent="0.55000000000000004">
      <c r="A1200" t="s">
        <v>82</v>
      </c>
      <c r="B1200" t="s">
        <v>62</v>
      </c>
      <c r="C1200">
        <v>1079.5889999999999</v>
      </c>
      <c r="D1200" t="s">
        <v>208</v>
      </c>
      <c r="E1200">
        <v>2017</v>
      </c>
      <c r="F1200">
        <v>8</v>
      </c>
    </row>
    <row r="1201" spans="1:6" x14ac:dyDescent="0.55000000000000004">
      <c r="A1201" t="s">
        <v>82</v>
      </c>
      <c r="B1201" t="s">
        <v>63</v>
      </c>
      <c r="C1201">
        <v>81.27</v>
      </c>
      <c r="D1201" t="s">
        <v>208</v>
      </c>
      <c r="E1201">
        <v>2017</v>
      </c>
      <c r="F1201">
        <v>8</v>
      </c>
    </row>
    <row r="1202" spans="1:6" x14ac:dyDescent="0.55000000000000004">
      <c r="A1202" t="s">
        <v>83</v>
      </c>
      <c r="B1202" t="s">
        <v>4</v>
      </c>
      <c r="C1202">
        <v>8758198.5226000007</v>
      </c>
      <c r="D1202" t="s">
        <v>209</v>
      </c>
      <c r="E1202">
        <v>2017</v>
      </c>
      <c r="F1202">
        <v>9</v>
      </c>
    </row>
    <row r="1203" spans="1:6" x14ac:dyDescent="0.55000000000000004">
      <c r="A1203" t="s">
        <v>83</v>
      </c>
      <c r="B1203" t="s">
        <v>5</v>
      </c>
      <c r="C1203">
        <v>1170285.9110000001</v>
      </c>
      <c r="D1203" t="s">
        <v>209</v>
      </c>
      <c r="E1203">
        <v>2017</v>
      </c>
      <c r="F1203">
        <v>9</v>
      </c>
    </row>
    <row r="1204" spans="1:6" x14ac:dyDescent="0.55000000000000004">
      <c r="A1204" t="s">
        <v>83</v>
      </c>
      <c r="B1204" t="s">
        <v>6</v>
      </c>
      <c r="C1204">
        <v>1958795.7404</v>
      </c>
      <c r="D1204" t="s">
        <v>209</v>
      </c>
      <c r="E1204">
        <v>2017</v>
      </c>
      <c r="F1204">
        <v>9</v>
      </c>
    </row>
    <row r="1205" spans="1:6" x14ac:dyDescent="0.55000000000000004">
      <c r="A1205" t="s">
        <v>83</v>
      </c>
      <c r="B1205" t="s">
        <v>7</v>
      </c>
      <c r="C1205">
        <v>2582960.5967999999</v>
      </c>
      <c r="D1205" t="s">
        <v>209</v>
      </c>
      <c r="E1205">
        <v>2017</v>
      </c>
      <c r="F1205">
        <v>9</v>
      </c>
    </row>
    <row r="1206" spans="1:6" x14ac:dyDescent="0.55000000000000004">
      <c r="A1206" t="s">
        <v>83</v>
      </c>
      <c r="B1206" t="s">
        <v>8</v>
      </c>
      <c r="C1206">
        <v>3046156.2744</v>
      </c>
      <c r="D1206" t="s">
        <v>209</v>
      </c>
      <c r="E1206">
        <v>2017</v>
      </c>
      <c r="F1206">
        <v>9</v>
      </c>
    </row>
    <row r="1207" spans="1:6" x14ac:dyDescent="0.55000000000000004">
      <c r="A1207" t="s">
        <v>83</v>
      </c>
      <c r="B1207" t="s">
        <v>9</v>
      </c>
      <c r="C1207">
        <v>300</v>
      </c>
      <c r="D1207" t="s">
        <v>209</v>
      </c>
      <c r="E1207">
        <v>2017</v>
      </c>
      <c r="F1207">
        <v>9</v>
      </c>
    </row>
    <row r="1208" spans="1:6" x14ac:dyDescent="0.55000000000000004">
      <c r="A1208" t="s">
        <v>83</v>
      </c>
      <c r="B1208" t="s">
        <v>10</v>
      </c>
      <c r="C1208">
        <v>4349.01</v>
      </c>
      <c r="D1208" t="s">
        <v>209</v>
      </c>
      <c r="E1208">
        <v>2017</v>
      </c>
      <c r="F1208">
        <v>9</v>
      </c>
    </row>
    <row r="1209" spans="1:6" x14ac:dyDescent="0.55000000000000004">
      <c r="A1209" t="s">
        <v>83</v>
      </c>
      <c r="B1209" t="s">
        <v>11</v>
      </c>
      <c r="C1209">
        <v>2441617.8768000002</v>
      </c>
      <c r="D1209" t="s">
        <v>209</v>
      </c>
      <c r="E1209">
        <v>2017</v>
      </c>
      <c r="F1209">
        <v>9</v>
      </c>
    </row>
    <row r="1210" spans="1:6" x14ac:dyDescent="0.55000000000000004">
      <c r="A1210" t="s">
        <v>83</v>
      </c>
      <c r="B1210" t="s">
        <v>12</v>
      </c>
      <c r="C1210">
        <v>33008.333299999998</v>
      </c>
      <c r="D1210" t="s">
        <v>209</v>
      </c>
      <c r="E1210">
        <v>2017</v>
      </c>
      <c r="F1210">
        <v>9</v>
      </c>
    </row>
    <row r="1211" spans="1:6" x14ac:dyDescent="0.55000000000000004">
      <c r="A1211" t="s">
        <v>83</v>
      </c>
      <c r="B1211" t="s">
        <v>13</v>
      </c>
      <c r="C1211">
        <v>8650</v>
      </c>
      <c r="D1211" t="s">
        <v>209</v>
      </c>
      <c r="E1211">
        <v>2017</v>
      </c>
      <c r="F1211">
        <v>9</v>
      </c>
    </row>
    <row r="1212" spans="1:6" x14ac:dyDescent="0.55000000000000004">
      <c r="A1212" t="s">
        <v>83</v>
      </c>
      <c r="B1212" t="s">
        <v>14</v>
      </c>
      <c r="C1212">
        <v>0</v>
      </c>
      <c r="D1212" t="s">
        <v>209</v>
      </c>
      <c r="E1212">
        <v>2017</v>
      </c>
      <c r="F1212">
        <v>9</v>
      </c>
    </row>
    <row r="1213" spans="1:6" x14ac:dyDescent="0.55000000000000004">
      <c r="A1213" t="s">
        <v>83</v>
      </c>
      <c r="B1213" t="s">
        <v>15</v>
      </c>
      <c r="C1213">
        <v>1112561.7109999999</v>
      </c>
      <c r="D1213" t="s">
        <v>209</v>
      </c>
      <c r="E1213">
        <v>2017</v>
      </c>
      <c r="F1213">
        <v>9</v>
      </c>
    </row>
    <row r="1214" spans="1:6" x14ac:dyDescent="0.55000000000000004">
      <c r="A1214" t="s">
        <v>83</v>
      </c>
      <c r="B1214" t="s">
        <v>16</v>
      </c>
      <c r="C1214">
        <v>0</v>
      </c>
      <c r="D1214" t="s">
        <v>209</v>
      </c>
      <c r="E1214">
        <v>2017</v>
      </c>
      <c r="F1214">
        <v>9</v>
      </c>
    </row>
    <row r="1215" spans="1:6" x14ac:dyDescent="0.55000000000000004">
      <c r="A1215" t="s">
        <v>83</v>
      </c>
      <c r="B1215" t="s">
        <v>17</v>
      </c>
      <c r="C1215">
        <v>40092.195200000002</v>
      </c>
      <c r="D1215" t="s">
        <v>209</v>
      </c>
      <c r="E1215">
        <v>2017</v>
      </c>
      <c r="F1215">
        <v>9</v>
      </c>
    </row>
    <row r="1216" spans="1:6" x14ac:dyDescent="0.55000000000000004">
      <c r="A1216" t="s">
        <v>83</v>
      </c>
      <c r="B1216" t="s">
        <v>18</v>
      </c>
      <c r="C1216">
        <v>101658.73330000001</v>
      </c>
      <c r="D1216" t="s">
        <v>209</v>
      </c>
      <c r="E1216">
        <v>2017</v>
      </c>
      <c r="F1216">
        <v>9</v>
      </c>
    </row>
    <row r="1217" spans="1:6" x14ac:dyDescent="0.55000000000000004">
      <c r="A1217" t="s">
        <v>83</v>
      </c>
      <c r="B1217" t="s">
        <v>19</v>
      </c>
      <c r="C1217">
        <v>1076.1395</v>
      </c>
      <c r="D1217" t="s">
        <v>209</v>
      </c>
      <c r="E1217">
        <v>2017</v>
      </c>
      <c r="F1217">
        <v>9</v>
      </c>
    </row>
    <row r="1218" spans="1:6" x14ac:dyDescent="0.55000000000000004">
      <c r="A1218" t="s">
        <v>83</v>
      </c>
      <c r="B1218" t="s">
        <v>20</v>
      </c>
      <c r="C1218">
        <v>6184.12</v>
      </c>
      <c r="D1218" t="s">
        <v>209</v>
      </c>
      <c r="E1218">
        <v>2017</v>
      </c>
      <c r="F1218">
        <v>9</v>
      </c>
    </row>
    <row r="1219" spans="1:6" x14ac:dyDescent="0.55000000000000004">
      <c r="A1219" t="s">
        <v>83</v>
      </c>
      <c r="B1219" t="s">
        <v>21</v>
      </c>
      <c r="C1219">
        <v>1206.2541000000001</v>
      </c>
      <c r="D1219" t="s">
        <v>209</v>
      </c>
      <c r="E1219">
        <v>2017</v>
      </c>
      <c r="F1219">
        <v>9</v>
      </c>
    </row>
    <row r="1220" spans="1:6" x14ac:dyDescent="0.55000000000000004">
      <c r="A1220" t="s">
        <v>83</v>
      </c>
      <c r="B1220" t="s">
        <v>22</v>
      </c>
      <c r="C1220">
        <v>57131.885999999999</v>
      </c>
      <c r="D1220" t="s">
        <v>209</v>
      </c>
      <c r="E1220">
        <v>2017</v>
      </c>
      <c r="F1220">
        <v>9</v>
      </c>
    </row>
    <row r="1221" spans="1:6" x14ac:dyDescent="0.55000000000000004">
      <c r="A1221" t="s">
        <v>83</v>
      </c>
      <c r="B1221" t="s">
        <v>23</v>
      </c>
      <c r="C1221">
        <v>37094.648099999999</v>
      </c>
      <c r="D1221" t="s">
        <v>209</v>
      </c>
      <c r="E1221">
        <v>2017</v>
      </c>
      <c r="F1221">
        <v>9</v>
      </c>
    </row>
    <row r="1222" spans="1:6" x14ac:dyDescent="0.55000000000000004">
      <c r="A1222" t="s">
        <v>83</v>
      </c>
      <c r="B1222" t="s">
        <v>24</v>
      </c>
      <c r="C1222">
        <v>0</v>
      </c>
      <c r="D1222" t="s">
        <v>209</v>
      </c>
      <c r="E1222">
        <v>2017</v>
      </c>
      <c r="F1222">
        <v>9</v>
      </c>
    </row>
    <row r="1223" spans="1:6" x14ac:dyDescent="0.55000000000000004">
      <c r="A1223" t="s">
        <v>83</v>
      </c>
      <c r="B1223" t="s">
        <v>25</v>
      </c>
      <c r="C1223">
        <v>267375.48330000002</v>
      </c>
      <c r="D1223" t="s">
        <v>209</v>
      </c>
      <c r="E1223">
        <v>2017</v>
      </c>
      <c r="F1223">
        <v>9</v>
      </c>
    </row>
    <row r="1224" spans="1:6" x14ac:dyDescent="0.55000000000000004">
      <c r="A1224" t="s">
        <v>83</v>
      </c>
      <c r="B1224" t="s">
        <v>26</v>
      </c>
      <c r="C1224">
        <v>0</v>
      </c>
      <c r="D1224" t="s">
        <v>209</v>
      </c>
      <c r="E1224">
        <v>2017</v>
      </c>
      <c r="F1224">
        <v>9</v>
      </c>
    </row>
    <row r="1225" spans="1:6" x14ac:dyDescent="0.55000000000000004">
      <c r="A1225" t="s">
        <v>83</v>
      </c>
      <c r="B1225" t="s">
        <v>27</v>
      </c>
      <c r="C1225">
        <v>1323.816</v>
      </c>
      <c r="D1225" t="s">
        <v>209</v>
      </c>
      <c r="E1225">
        <v>2017</v>
      </c>
      <c r="F1225">
        <v>9</v>
      </c>
    </row>
    <row r="1226" spans="1:6" x14ac:dyDescent="0.55000000000000004">
      <c r="A1226" t="s">
        <v>83</v>
      </c>
      <c r="B1226" t="s">
        <v>28</v>
      </c>
      <c r="C1226">
        <v>260872.3248</v>
      </c>
      <c r="D1226" t="s">
        <v>209</v>
      </c>
      <c r="E1226">
        <v>2017</v>
      </c>
      <c r="F1226">
        <v>9</v>
      </c>
    </row>
    <row r="1227" spans="1:6" x14ac:dyDescent="0.55000000000000004">
      <c r="A1227" t="s">
        <v>83</v>
      </c>
      <c r="B1227" t="s">
        <v>29</v>
      </c>
      <c r="C1227">
        <v>17162.419900000001</v>
      </c>
      <c r="D1227" t="s">
        <v>209</v>
      </c>
      <c r="E1227">
        <v>2017</v>
      </c>
      <c r="F1227">
        <v>9</v>
      </c>
    </row>
    <row r="1228" spans="1:6" x14ac:dyDescent="0.55000000000000004">
      <c r="A1228" t="s">
        <v>83</v>
      </c>
      <c r="B1228" t="s">
        <v>30</v>
      </c>
      <c r="C1228">
        <v>14.773</v>
      </c>
      <c r="D1228" t="s">
        <v>209</v>
      </c>
      <c r="E1228">
        <v>2017</v>
      </c>
      <c r="F1228">
        <v>9</v>
      </c>
    </row>
    <row r="1229" spans="1:6" x14ac:dyDescent="0.55000000000000004">
      <c r="A1229" t="s">
        <v>83</v>
      </c>
      <c r="B1229" t="s">
        <v>31</v>
      </c>
      <c r="C1229">
        <v>49.33</v>
      </c>
      <c r="D1229" t="s">
        <v>209</v>
      </c>
      <c r="E1229">
        <v>2017</v>
      </c>
      <c r="F1229">
        <v>9</v>
      </c>
    </row>
    <row r="1230" spans="1:6" x14ac:dyDescent="0.55000000000000004">
      <c r="A1230" t="s">
        <v>83</v>
      </c>
      <c r="B1230" t="s">
        <v>32</v>
      </c>
      <c r="C1230">
        <v>231395.84700000001</v>
      </c>
      <c r="D1230" t="s">
        <v>209</v>
      </c>
      <c r="E1230">
        <v>2017</v>
      </c>
      <c r="F1230">
        <v>9</v>
      </c>
    </row>
    <row r="1231" spans="1:6" x14ac:dyDescent="0.55000000000000004">
      <c r="A1231" t="s">
        <v>83</v>
      </c>
      <c r="B1231" t="s">
        <v>33</v>
      </c>
      <c r="C1231">
        <v>507843.22720000002</v>
      </c>
      <c r="D1231" t="s">
        <v>209</v>
      </c>
      <c r="E1231">
        <v>2017</v>
      </c>
      <c r="F1231">
        <v>9</v>
      </c>
    </row>
    <row r="1232" spans="1:6" x14ac:dyDescent="0.55000000000000004">
      <c r="A1232" t="s">
        <v>83</v>
      </c>
      <c r="B1232" t="s">
        <v>34</v>
      </c>
      <c r="C1232">
        <v>583424.14800000004</v>
      </c>
      <c r="D1232" t="s">
        <v>209</v>
      </c>
      <c r="E1232">
        <v>2017</v>
      </c>
      <c r="F1232">
        <v>9</v>
      </c>
    </row>
    <row r="1233" spans="1:6" x14ac:dyDescent="0.55000000000000004">
      <c r="A1233" t="s">
        <v>83</v>
      </c>
      <c r="B1233" t="s">
        <v>35</v>
      </c>
      <c r="C1233">
        <v>916.50160000000005</v>
      </c>
      <c r="D1233" t="s">
        <v>209</v>
      </c>
      <c r="E1233">
        <v>2017</v>
      </c>
      <c r="F1233">
        <v>9</v>
      </c>
    </row>
    <row r="1234" spans="1:6" x14ac:dyDescent="0.55000000000000004">
      <c r="A1234" t="s">
        <v>83</v>
      </c>
      <c r="B1234" t="s">
        <v>36</v>
      </c>
      <c r="C1234">
        <v>44520</v>
      </c>
      <c r="D1234" t="s">
        <v>209</v>
      </c>
      <c r="E1234">
        <v>2017</v>
      </c>
      <c r="F1234">
        <v>9</v>
      </c>
    </row>
    <row r="1235" spans="1:6" x14ac:dyDescent="0.55000000000000004">
      <c r="A1235" t="s">
        <v>83</v>
      </c>
      <c r="B1235" t="s">
        <v>37</v>
      </c>
      <c r="C1235">
        <v>23883.5059</v>
      </c>
      <c r="D1235" t="s">
        <v>209</v>
      </c>
      <c r="E1235">
        <v>2017</v>
      </c>
      <c r="F1235">
        <v>9</v>
      </c>
    </row>
    <row r="1236" spans="1:6" x14ac:dyDescent="0.55000000000000004">
      <c r="A1236" t="s">
        <v>83</v>
      </c>
      <c r="B1236" t="s">
        <v>38</v>
      </c>
      <c r="C1236">
        <v>2088.33</v>
      </c>
      <c r="D1236" t="s">
        <v>209</v>
      </c>
      <c r="E1236">
        <v>2017</v>
      </c>
      <c r="F1236">
        <v>9</v>
      </c>
    </row>
    <row r="1237" spans="1:6" x14ac:dyDescent="0.55000000000000004">
      <c r="A1237" t="s">
        <v>83</v>
      </c>
      <c r="B1237" t="s">
        <v>39</v>
      </c>
      <c r="C1237">
        <v>3559.36</v>
      </c>
      <c r="D1237" t="s">
        <v>209</v>
      </c>
      <c r="E1237">
        <v>2017</v>
      </c>
      <c r="F1237">
        <v>9</v>
      </c>
    </row>
    <row r="1238" spans="1:6" x14ac:dyDescent="0.55000000000000004">
      <c r="A1238" t="s">
        <v>83</v>
      </c>
      <c r="B1238" t="s">
        <v>40</v>
      </c>
      <c r="C1238">
        <v>435.71010000000001</v>
      </c>
      <c r="D1238" t="s">
        <v>209</v>
      </c>
      <c r="E1238">
        <v>2017</v>
      </c>
      <c r="F1238">
        <v>9</v>
      </c>
    </row>
    <row r="1239" spans="1:6" x14ac:dyDescent="0.55000000000000004">
      <c r="A1239" t="s">
        <v>83</v>
      </c>
      <c r="B1239" t="s">
        <v>41</v>
      </c>
      <c r="C1239">
        <v>212796.88209999999</v>
      </c>
      <c r="D1239" t="s">
        <v>209</v>
      </c>
      <c r="E1239">
        <v>2017</v>
      </c>
      <c r="F1239">
        <v>9</v>
      </c>
    </row>
    <row r="1240" spans="1:6" x14ac:dyDescent="0.55000000000000004">
      <c r="A1240" t="s">
        <v>83</v>
      </c>
      <c r="B1240" t="s">
        <v>42</v>
      </c>
      <c r="C1240">
        <v>52.630499999999998</v>
      </c>
      <c r="D1240" t="s">
        <v>209</v>
      </c>
      <c r="E1240">
        <v>2017</v>
      </c>
      <c r="F1240">
        <v>9</v>
      </c>
    </row>
    <row r="1241" spans="1:6" x14ac:dyDescent="0.55000000000000004">
      <c r="A1241" t="s">
        <v>83</v>
      </c>
      <c r="B1241" t="s">
        <v>43</v>
      </c>
      <c r="C1241">
        <v>105765.1833</v>
      </c>
      <c r="D1241" t="s">
        <v>209</v>
      </c>
      <c r="E1241">
        <v>2017</v>
      </c>
      <c r="F1241">
        <v>9</v>
      </c>
    </row>
    <row r="1242" spans="1:6" x14ac:dyDescent="0.55000000000000004">
      <c r="A1242" t="s">
        <v>83</v>
      </c>
      <c r="B1242" t="s">
        <v>44</v>
      </c>
      <c r="C1242">
        <v>0</v>
      </c>
      <c r="D1242" t="s">
        <v>209</v>
      </c>
      <c r="E1242">
        <v>2017</v>
      </c>
      <c r="F1242">
        <v>9</v>
      </c>
    </row>
    <row r="1243" spans="1:6" x14ac:dyDescent="0.55000000000000004">
      <c r="A1243" t="s">
        <v>83</v>
      </c>
      <c r="B1243" t="s">
        <v>45</v>
      </c>
      <c r="C1243">
        <v>5365.1732000000002</v>
      </c>
      <c r="D1243" t="s">
        <v>209</v>
      </c>
      <c r="E1243">
        <v>2017</v>
      </c>
      <c r="F1243">
        <v>9</v>
      </c>
    </row>
    <row r="1244" spans="1:6" x14ac:dyDescent="0.55000000000000004">
      <c r="A1244" t="s">
        <v>83</v>
      </c>
      <c r="B1244" t="s">
        <v>46</v>
      </c>
      <c r="C1244">
        <v>89130.653000000006</v>
      </c>
      <c r="D1244" t="s">
        <v>209</v>
      </c>
      <c r="E1244">
        <v>2017</v>
      </c>
      <c r="F1244">
        <v>9</v>
      </c>
    </row>
    <row r="1245" spans="1:6" x14ac:dyDescent="0.55000000000000004">
      <c r="A1245" t="s">
        <v>83</v>
      </c>
      <c r="B1245" t="s">
        <v>47</v>
      </c>
      <c r="C1245">
        <v>0</v>
      </c>
      <c r="D1245" t="s">
        <v>209</v>
      </c>
      <c r="E1245">
        <v>2017</v>
      </c>
      <c r="F1245">
        <v>9</v>
      </c>
    </row>
    <row r="1246" spans="1:6" x14ac:dyDescent="0.55000000000000004">
      <c r="A1246" t="s">
        <v>83</v>
      </c>
      <c r="B1246" t="s">
        <v>48</v>
      </c>
      <c r="C1246">
        <v>615930.92000000004</v>
      </c>
      <c r="D1246" t="s">
        <v>209</v>
      </c>
      <c r="E1246">
        <v>2017</v>
      </c>
      <c r="F1246">
        <v>9</v>
      </c>
    </row>
    <row r="1247" spans="1:6" x14ac:dyDescent="0.55000000000000004">
      <c r="A1247" t="s">
        <v>83</v>
      </c>
      <c r="B1247" t="s">
        <v>49</v>
      </c>
      <c r="C1247">
        <v>472.7235</v>
      </c>
      <c r="D1247" t="s">
        <v>209</v>
      </c>
      <c r="E1247">
        <v>2017</v>
      </c>
      <c r="F1247">
        <v>9</v>
      </c>
    </row>
    <row r="1248" spans="1:6" x14ac:dyDescent="0.55000000000000004">
      <c r="A1248" t="s">
        <v>83</v>
      </c>
      <c r="B1248" t="s">
        <v>50</v>
      </c>
      <c r="C1248">
        <v>34423.837800000001</v>
      </c>
      <c r="D1248" t="s">
        <v>209</v>
      </c>
      <c r="E1248">
        <v>2017</v>
      </c>
      <c r="F1248">
        <v>9</v>
      </c>
    </row>
    <row r="1249" spans="1:6" x14ac:dyDescent="0.55000000000000004">
      <c r="A1249" t="s">
        <v>83</v>
      </c>
      <c r="B1249" t="s">
        <v>51</v>
      </c>
      <c r="C1249">
        <v>3989.8575999999998</v>
      </c>
      <c r="D1249" t="s">
        <v>209</v>
      </c>
      <c r="E1249">
        <v>2017</v>
      </c>
      <c r="F1249">
        <v>9</v>
      </c>
    </row>
    <row r="1250" spans="1:6" x14ac:dyDescent="0.55000000000000004">
      <c r="A1250" t="s">
        <v>83</v>
      </c>
      <c r="B1250" t="s">
        <v>52</v>
      </c>
      <c r="C1250">
        <v>425.87920000000003</v>
      </c>
      <c r="D1250" t="s">
        <v>209</v>
      </c>
      <c r="E1250">
        <v>2017</v>
      </c>
      <c r="F1250">
        <v>9</v>
      </c>
    </row>
    <row r="1251" spans="1:6" x14ac:dyDescent="0.55000000000000004">
      <c r="A1251" t="s">
        <v>83</v>
      </c>
      <c r="B1251" t="s">
        <v>53</v>
      </c>
      <c r="C1251">
        <v>28810.83</v>
      </c>
      <c r="D1251" t="s">
        <v>209</v>
      </c>
      <c r="E1251">
        <v>2017</v>
      </c>
      <c r="F1251">
        <v>9</v>
      </c>
    </row>
    <row r="1252" spans="1:6" x14ac:dyDescent="0.55000000000000004">
      <c r="A1252" t="s">
        <v>83</v>
      </c>
      <c r="B1252" t="s">
        <v>54</v>
      </c>
      <c r="C1252">
        <v>11461.0625</v>
      </c>
      <c r="D1252" t="s">
        <v>209</v>
      </c>
      <c r="E1252">
        <v>2017</v>
      </c>
      <c r="F1252">
        <v>9</v>
      </c>
    </row>
    <row r="1253" spans="1:6" x14ac:dyDescent="0.55000000000000004">
      <c r="A1253" t="s">
        <v>83</v>
      </c>
      <c r="B1253" t="s">
        <v>55</v>
      </c>
      <c r="C1253">
        <v>5669.9413999999997</v>
      </c>
      <c r="D1253" t="s">
        <v>209</v>
      </c>
      <c r="E1253">
        <v>2017</v>
      </c>
      <c r="F1253">
        <v>9</v>
      </c>
    </row>
    <row r="1254" spans="1:6" x14ac:dyDescent="0.55000000000000004">
      <c r="A1254" t="s">
        <v>83</v>
      </c>
      <c r="B1254" t="s">
        <v>56</v>
      </c>
      <c r="C1254">
        <v>6076.5333000000001</v>
      </c>
      <c r="D1254" t="s">
        <v>209</v>
      </c>
      <c r="E1254">
        <v>2017</v>
      </c>
      <c r="F1254">
        <v>9</v>
      </c>
    </row>
    <row r="1255" spans="1:6" x14ac:dyDescent="0.55000000000000004">
      <c r="A1255" t="s">
        <v>83</v>
      </c>
      <c r="B1255" t="s">
        <v>57</v>
      </c>
      <c r="C1255">
        <v>83.869</v>
      </c>
      <c r="D1255" t="s">
        <v>209</v>
      </c>
      <c r="E1255">
        <v>2017</v>
      </c>
      <c r="F1255">
        <v>9</v>
      </c>
    </row>
    <row r="1256" spans="1:6" x14ac:dyDescent="0.55000000000000004">
      <c r="A1256" t="s">
        <v>83</v>
      </c>
      <c r="B1256" t="s">
        <v>58</v>
      </c>
      <c r="C1256">
        <v>341839</v>
      </c>
      <c r="D1256" t="s">
        <v>209</v>
      </c>
      <c r="E1256">
        <v>2017</v>
      </c>
      <c r="F1256">
        <v>9</v>
      </c>
    </row>
    <row r="1257" spans="1:6" x14ac:dyDescent="0.55000000000000004">
      <c r="A1257" t="s">
        <v>83</v>
      </c>
      <c r="B1257" t="s">
        <v>59</v>
      </c>
      <c r="C1257">
        <v>0</v>
      </c>
      <c r="D1257" t="s">
        <v>209</v>
      </c>
      <c r="E1257">
        <v>2017</v>
      </c>
      <c r="F1257">
        <v>9</v>
      </c>
    </row>
    <row r="1258" spans="1:6" x14ac:dyDescent="0.55000000000000004">
      <c r="A1258" t="s">
        <v>83</v>
      </c>
      <c r="B1258" t="s">
        <v>60</v>
      </c>
      <c r="C1258">
        <v>1501700.3766999999</v>
      </c>
      <c r="D1258" t="s">
        <v>209</v>
      </c>
      <c r="E1258">
        <v>2017</v>
      </c>
      <c r="F1258">
        <v>9</v>
      </c>
    </row>
    <row r="1259" spans="1:6" x14ac:dyDescent="0.55000000000000004">
      <c r="A1259" t="s">
        <v>83</v>
      </c>
      <c r="B1259" t="s">
        <v>61</v>
      </c>
      <c r="C1259">
        <v>3713.9720000000002</v>
      </c>
      <c r="D1259" t="s">
        <v>209</v>
      </c>
      <c r="E1259">
        <v>2017</v>
      </c>
      <c r="F1259">
        <v>9</v>
      </c>
    </row>
    <row r="1260" spans="1:6" x14ac:dyDescent="0.55000000000000004">
      <c r="A1260" t="s">
        <v>83</v>
      </c>
      <c r="B1260" t="s">
        <v>62</v>
      </c>
      <c r="C1260">
        <v>312.11169999999998</v>
      </c>
      <c r="D1260" t="s">
        <v>209</v>
      </c>
      <c r="E1260">
        <v>2017</v>
      </c>
      <c r="F1260">
        <v>9</v>
      </c>
    </row>
    <row r="1261" spans="1:6" x14ac:dyDescent="0.55000000000000004">
      <c r="A1261" t="s">
        <v>83</v>
      </c>
      <c r="B1261" t="s">
        <v>63</v>
      </c>
      <c r="C1261">
        <v>381.40170000000001</v>
      </c>
      <c r="D1261" t="s">
        <v>209</v>
      </c>
      <c r="E1261">
        <v>2017</v>
      </c>
      <c r="F1261">
        <v>9</v>
      </c>
    </row>
    <row r="1262" spans="1:6" x14ac:dyDescent="0.55000000000000004">
      <c r="A1262" t="s">
        <v>84</v>
      </c>
      <c r="B1262" t="s">
        <v>4</v>
      </c>
      <c r="C1262">
        <v>9143070.6984999999</v>
      </c>
      <c r="D1262" t="s">
        <v>210</v>
      </c>
      <c r="E1262">
        <v>2017</v>
      </c>
      <c r="F1262">
        <v>10</v>
      </c>
    </row>
    <row r="1263" spans="1:6" x14ac:dyDescent="0.55000000000000004">
      <c r="A1263" t="s">
        <v>84</v>
      </c>
      <c r="B1263" t="s">
        <v>5</v>
      </c>
      <c r="C1263">
        <v>1201819.1166000001</v>
      </c>
      <c r="D1263" t="s">
        <v>210</v>
      </c>
      <c r="E1263">
        <v>2017</v>
      </c>
      <c r="F1263">
        <v>10</v>
      </c>
    </row>
    <row r="1264" spans="1:6" x14ac:dyDescent="0.55000000000000004">
      <c r="A1264" t="s">
        <v>84</v>
      </c>
      <c r="B1264" t="s">
        <v>6</v>
      </c>
      <c r="C1264">
        <v>1674594.2353000001</v>
      </c>
      <c r="D1264" t="s">
        <v>210</v>
      </c>
      <c r="E1264">
        <v>2017</v>
      </c>
      <c r="F1264">
        <v>10</v>
      </c>
    </row>
    <row r="1265" spans="1:6" x14ac:dyDescent="0.55000000000000004">
      <c r="A1265" t="s">
        <v>84</v>
      </c>
      <c r="B1265" t="s">
        <v>7</v>
      </c>
      <c r="C1265">
        <v>3039839.6238000002</v>
      </c>
      <c r="D1265" t="s">
        <v>210</v>
      </c>
      <c r="E1265">
        <v>2017</v>
      </c>
      <c r="F1265">
        <v>10</v>
      </c>
    </row>
    <row r="1266" spans="1:6" x14ac:dyDescent="0.55000000000000004">
      <c r="A1266" t="s">
        <v>84</v>
      </c>
      <c r="B1266" t="s">
        <v>8</v>
      </c>
      <c r="C1266">
        <v>3226817.7228000001</v>
      </c>
      <c r="D1266" t="s">
        <v>210</v>
      </c>
      <c r="E1266">
        <v>2017</v>
      </c>
      <c r="F1266">
        <v>10</v>
      </c>
    </row>
    <row r="1267" spans="1:6" x14ac:dyDescent="0.55000000000000004">
      <c r="A1267" t="s">
        <v>84</v>
      </c>
      <c r="B1267" t="s">
        <v>9</v>
      </c>
      <c r="C1267">
        <v>0</v>
      </c>
      <c r="D1267" t="s">
        <v>210</v>
      </c>
      <c r="E1267">
        <v>2017</v>
      </c>
      <c r="F1267">
        <v>10</v>
      </c>
    </row>
    <row r="1268" spans="1:6" x14ac:dyDescent="0.55000000000000004">
      <c r="A1268" t="s">
        <v>84</v>
      </c>
      <c r="B1268" t="s">
        <v>10</v>
      </c>
      <c r="C1268">
        <v>3045.45</v>
      </c>
      <c r="D1268" t="s">
        <v>210</v>
      </c>
      <c r="E1268">
        <v>2017</v>
      </c>
      <c r="F1268">
        <v>10</v>
      </c>
    </row>
    <row r="1269" spans="1:6" x14ac:dyDescent="0.55000000000000004">
      <c r="A1269" t="s">
        <v>84</v>
      </c>
      <c r="B1269" t="s">
        <v>11</v>
      </c>
      <c r="C1269">
        <v>2901977.4898000001</v>
      </c>
      <c r="D1269" t="s">
        <v>210</v>
      </c>
      <c r="E1269">
        <v>2017</v>
      </c>
      <c r="F1269">
        <v>10</v>
      </c>
    </row>
    <row r="1270" spans="1:6" x14ac:dyDescent="0.55000000000000004">
      <c r="A1270" t="s">
        <v>84</v>
      </c>
      <c r="B1270" t="s">
        <v>12</v>
      </c>
      <c r="C1270">
        <v>31625.616699999999</v>
      </c>
      <c r="D1270" t="s">
        <v>210</v>
      </c>
      <c r="E1270">
        <v>2017</v>
      </c>
      <c r="F1270">
        <v>10</v>
      </c>
    </row>
    <row r="1271" spans="1:6" x14ac:dyDescent="0.55000000000000004">
      <c r="A1271" t="s">
        <v>84</v>
      </c>
      <c r="B1271" t="s">
        <v>13</v>
      </c>
      <c r="C1271">
        <v>14040</v>
      </c>
      <c r="D1271" t="s">
        <v>210</v>
      </c>
      <c r="E1271">
        <v>2017</v>
      </c>
      <c r="F1271">
        <v>10</v>
      </c>
    </row>
    <row r="1272" spans="1:6" x14ac:dyDescent="0.55000000000000004">
      <c r="A1272" t="s">
        <v>84</v>
      </c>
      <c r="B1272" t="s">
        <v>14</v>
      </c>
      <c r="C1272">
        <v>0</v>
      </c>
      <c r="D1272" t="s">
        <v>210</v>
      </c>
      <c r="E1272">
        <v>2017</v>
      </c>
      <c r="F1272">
        <v>10</v>
      </c>
    </row>
    <row r="1273" spans="1:6" x14ac:dyDescent="0.55000000000000004">
      <c r="A1273" t="s">
        <v>84</v>
      </c>
      <c r="B1273" t="s">
        <v>15</v>
      </c>
      <c r="C1273">
        <v>1123579.0252</v>
      </c>
      <c r="D1273" t="s">
        <v>210</v>
      </c>
      <c r="E1273">
        <v>2017</v>
      </c>
      <c r="F1273">
        <v>10</v>
      </c>
    </row>
    <row r="1274" spans="1:6" x14ac:dyDescent="0.55000000000000004">
      <c r="A1274" t="s">
        <v>84</v>
      </c>
      <c r="B1274" t="s">
        <v>16</v>
      </c>
      <c r="C1274">
        <v>0</v>
      </c>
      <c r="D1274" t="s">
        <v>210</v>
      </c>
      <c r="E1274">
        <v>2017</v>
      </c>
      <c r="F1274">
        <v>10</v>
      </c>
    </row>
    <row r="1275" spans="1:6" x14ac:dyDescent="0.55000000000000004">
      <c r="A1275" t="s">
        <v>84</v>
      </c>
      <c r="B1275" t="s">
        <v>17</v>
      </c>
      <c r="C1275">
        <v>13135.381299999999</v>
      </c>
      <c r="D1275" t="s">
        <v>210</v>
      </c>
      <c r="E1275">
        <v>2017</v>
      </c>
      <c r="F1275">
        <v>10</v>
      </c>
    </row>
    <row r="1276" spans="1:6" x14ac:dyDescent="0.55000000000000004">
      <c r="A1276" t="s">
        <v>84</v>
      </c>
      <c r="B1276" t="s">
        <v>18</v>
      </c>
      <c r="C1276">
        <v>15749.217000000001</v>
      </c>
      <c r="D1276" t="s">
        <v>210</v>
      </c>
      <c r="E1276">
        <v>2017</v>
      </c>
      <c r="F1276">
        <v>10</v>
      </c>
    </row>
    <row r="1277" spans="1:6" x14ac:dyDescent="0.55000000000000004">
      <c r="A1277" t="s">
        <v>84</v>
      </c>
      <c r="B1277" t="s">
        <v>19</v>
      </c>
      <c r="C1277">
        <v>600.8075</v>
      </c>
      <c r="D1277" t="s">
        <v>210</v>
      </c>
      <c r="E1277">
        <v>2017</v>
      </c>
      <c r="F1277">
        <v>10</v>
      </c>
    </row>
    <row r="1278" spans="1:6" x14ac:dyDescent="0.55000000000000004">
      <c r="A1278" t="s">
        <v>84</v>
      </c>
      <c r="B1278" t="s">
        <v>20</v>
      </c>
      <c r="C1278">
        <v>11402.4</v>
      </c>
      <c r="D1278" t="s">
        <v>210</v>
      </c>
      <c r="E1278">
        <v>2017</v>
      </c>
      <c r="F1278">
        <v>10</v>
      </c>
    </row>
    <row r="1279" spans="1:6" x14ac:dyDescent="0.55000000000000004">
      <c r="A1279" t="s">
        <v>84</v>
      </c>
      <c r="B1279" t="s">
        <v>21</v>
      </c>
      <c r="C1279">
        <v>2092.8154</v>
      </c>
      <c r="D1279" t="s">
        <v>210</v>
      </c>
      <c r="E1279">
        <v>2017</v>
      </c>
      <c r="F1279">
        <v>10</v>
      </c>
    </row>
    <row r="1280" spans="1:6" x14ac:dyDescent="0.55000000000000004">
      <c r="A1280" t="s">
        <v>84</v>
      </c>
      <c r="B1280" t="s">
        <v>22</v>
      </c>
      <c r="C1280">
        <v>70452.810800000007</v>
      </c>
      <c r="D1280" t="s">
        <v>210</v>
      </c>
      <c r="E1280">
        <v>2017</v>
      </c>
      <c r="F1280">
        <v>10</v>
      </c>
    </row>
    <row r="1281" spans="1:6" x14ac:dyDescent="0.55000000000000004">
      <c r="A1281" t="s">
        <v>84</v>
      </c>
      <c r="B1281" t="s">
        <v>23</v>
      </c>
      <c r="C1281">
        <v>15104.7192</v>
      </c>
      <c r="D1281" t="s">
        <v>210</v>
      </c>
      <c r="E1281">
        <v>2017</v>
      </c>
      <c r="F1281">
        <v>10</v>
      </c>
    </row>
    <row r="1282" spans="1:6" x14ac:dyDescent="0.55000000000000004">
      <c r="A1282" t="s">
        <v>84</v>
      </c>
      <c r="B1282" t="s">
        <v>24</v>
      </c>
      <c r="C1282">
        <v>0</v>
      </c>
      <c r="D1282" t="s">
        <v>210</v>
      </c>
      <c r="E1282">
        <v>2017</v>
      </c>
      <c r="F1282">
        <v>10</v>
      </c>
    </row>
    <row r="1283" spans="1:6" x14ac:dyDescent="0.55000000000000004">
      <c r="A1283" t="s">
        <v>84</v>
      </c>
      <c r="B1283" t="s">
        <v>25</v>
      </c>
      <c r="C1283">
        <v>276580.23330000002</v>
      </c>
      <c r="D1283" t="s">
        <v>210</v>
      </c>
      <c r="E1283">
        <v>2017</v>
      </c>
      <c r="F1283">
        <v>10</v>
      </c>
    </row>
    <row r="1284" spans="1:6" x14ac:dyDescent="0.55000000000000004">
      <c r="A1284" t="s">
        <v>84</v>
      </c>
      <c r="B1284" t="s">
        <v>26</v>
      </c>
      <c r="C1284">
        <v>0</v>
      </c>
      <c r="D1284" t="s">
        <v>210</v>
      </c>
      <c r="E1284">
        <v>2017</v>
      </c>
      <c r="F1284">
        <v>10</v>
      </c>
    </row>
    <row r="1285" spans="1:6" x14ac:dyDescent="0.55000000000000004">
      <c r="A1285" t="s">
        <v>84</v>
      </c>
      <c r="B1285" t="s">
        <v>27</v>
      </c>
      <c r="C1285">
        <v>95.333299999999994</v>
      </c>
      <c r="D1285" t="s">
        <v>210</v>
      </c>
      <c r="E1285">
        <v>2017</v>
      </c>
      <c r="F1285">
        <v>10</v>
      </c>
    </row>
    <row r="1286" spans="1:6" x14ac:dyDescent="0.55000000000000004">
      <c r="A1286" t="s">
        <v>84</v>
      </c>
      <c r="B1286" t="s">
        <v>28</v>
      </c>
      <c r="C1286">
        <v>92767.631299999994</v>
      </c>
      <c r="D1286" t="s">
        <v>210</v>
      </c>
      <c r="E1286">
        <v>2017</v>
      </c>
      <c r="F1286">
        <v>10</v>
      </c>
    </row>
    <row r="1287" spans="1:6" x14ac:dyDescent="0.55000000000000004">
      <c r="A1287" t="s">
        <v>84</v>
      </c>
      <c r="B1287" t="s">
        <v>29</v>
      </c>
      <c r="C1287">
        <v>18139.089899999999</v>
      </c>
      <c r="D1287" t="s">
        <v>210</v>
      </c>
      <c r="E1287">
        <v>2017</v>
      </c>
      <c r="F1287">
        <v>10</v>
      </c>
    </row>
    <row r="1288" spans="1:6" x14ac:dyDescent="0.55000000000000004">
      <c r="A1288" t="s">
        <v>84</v>
      </c>
      <c r="B1288" t="s">
        <v>30</v>
      </c>
      <c r="C1288">
        <v>46.069499999999998</v>
      </c>
      <c r="D1288" t="s">
        <v>210</v>
      </c>
      <c r="E1288">
        <v>2017</v>
      </c>
      <c r="F1288">
        <v>10</v>
      </c>
    </row>
    <row r="1289" spans="1:6" x14ac:dyDescent="0.55000000000000004">
      <c r="A1289" t="s">
        <v>84</v>
      </c>
      <c r="B1289" t="s">
        <v>31</v>
      </c>
      <c r="C1289">
        <v>160.0753</v>
      </c>
      <c r="D1289" t="s">
        <v>210</v>
      </c>
      <c r="E1289">
        <v>2017</v>
      </c>
      <c r="F1289">
        <v>10</v>
      </c>
    </row>
    <row r="1290" spans="1:6" x14ac:dyDescent="0.55000000000000004">
      <c r="A1290" t="s">
        <v>84</v>
      </c>
      <c r="B1290" t="s">
        <v>32</v>
      </c>
      <c r="C1290">
        <v>52016.899700000002</v>
      </c>
      <c r="D1290" t="s">
        <v>210</v>
      </c>
      <c r="E1290">
        <v>2017</v>
      </c>
      <c r="F1290">
        <v>10</v>
      </c>
    </row>
    <row r="1291" spans="1:6" x14ac:dyDescent="0.55000000000000004">
      <c r="A1291" t="s">
        <v>84</v>
      </c>
      <c r="B1291" t="s">
        <v>33</v>
      </c>
      <c r="C1291">
        <v>448661.14899999998</v>
      </c>
      <c r="D1291" t="s">
        <v>210</v>
      </c>
      <c r="E1291">
        <v>2017</v>
      </c>
      <c r="F1291">
        <v>10</v>
      </c>
    </row>
    <row r="1292" spans="1:6" x14ac:dyDescent="0.55000000000000004">
      <c r="A1292" t="s">
        <v>84</v>
      </c>
      <c r="B1292" t="s">
        <v>34</v>
      </c>
      <c r="C1292">
        <v>761763.61959999998</v>
      </c>
      <c r="D1292" t="s">
        <v>210</v>
      </c>
      <c r="E1292">
        <v>2017</v>
      </c>
      <c r="F1292">
        <v>10</v>
      </c>
    </row>
    <row r="1293" spans="1:6" x14ac:dyDescent="0.55000000000000004">
      <c r="A1293" t="s">
        <v>84</v>
      </c>
      <c r="B1293" t="s">
        <v>35</v>
      </c>
      <c r="C1293">
        <v>541.91189999999995</v>
      </c>
      <c r="D1293" t="s">
        <v>210</v>
      </c>
      <c r="E1293">
        <v>2017</v>
      </c>
      <c r="F1293">
        <v>10</v>
      </c>
    </row>
    <row r="1294" spans="1:6" x14ac:dyDescent="0.55000000000000004">
      <c r="A1294" t="s">
        <v>84</v>
      </c>
      <c r="B1294" t="s">
        <v>36</v>
      </c>
      <c r="C1294">
        <v>48613.312400000003</v>
      </c>
      <c r="D1294" t="s">
        <v>210</v>
      </c>
      <c r="E1294">
        <v>2017</v>
      </c>
      <c r="F1294">
        <v>10</v>
      </c>
    </row>
    <row r="1295" spans="1:6" x14ac:dyDescent="0.55000000000000004">
      <c r="A1295" t="s">
        <v>84</v>
      </c>
      <c r="B1295" t="s">
        <v>37</v>
      </c>
      <c r="C1295">
        <v>22808.674599999998</v>
      </c>
      <c r="D1295" t="s">
        <v>210</v>
      </c>
      <c r="E1295">
        <v>2017</v>
      </c>
      <c r="F1295">
        <v>10</v>
      </c>
    </row>
    <row r="1296" spans="1:6" x14ac:dyDescent="0.55000000000000004">
      <c r="A1296" t="s">
        <v>84</v>
      </c>
      <c r="B1296" t="s">
        <v>38</v>
      </c>
      <c r="C1296">
        <v>320</v>
      </c>
      <c r="D1296" t="s">
        <v>210</v>
      </c>
      <c r="E1296">
        <v>2017</v>
      </c>
      <c r="F1296">
        <v>10</v>
      </c>
    </row>
    <row r="1297" spans="1:6" x14ac:dyDescent="0.55000000000000004">
      <c r="A1297" t="s">
        <v>84</v>
      </c>
      <c r="B1297" t="s">
        <v>39</v>
      </c>
      <c r="C1297">
        <v>3534.35</v>
      </c>
      <c r="D1297" t="s">
        <v>210</v>
      </c>
      <c r="E1297">
        <v>2017</v>
      </c>
      <c r="F1297">
        <v>10</v>
      </c>
    </row>
    <row r="1298" spans="1:6" x14ac:dyDescent="0.55000000000000004">
      <c r="A1298" t="s">
        <v>84</v>
      </c>
      <c r="B1298" t="s">
        <v>40</v>
      </c>
      <c r="C1298">
        <v>367.38010000000003</v>
      </c>
      <c r="D1298" t="s">
        <v>210</v>
      </c>
      <c r="E1298">
        <v>2017</v>
      </c>
      <c r="F1298">
        <v>10</v>
      </c>
    </row>
    <row r="1299" spans="1:6" x14ac:dyDescent="0.55000000000000004">
      <c r="A1299" t="s">
        <v>84</v>
      </c>
      <c r="B1299" t="s">
        <v>41</v>
      </c>
      <c r="C1299">
        <v>228115.32759999999</v>
      </c>
      <c r="D1299" t="s">
        <v>210</v>
      </c>
      <c r="E1299">
        <v>2017</v>
      </c>
      <c r="F1299">
        <v>10</v>
      </c>
    </row>
    <row r="1300" spans="1:6" x14ac:dyDescent="0.55000000000000004">
      <c r="A1300" t="s">
        <v>84</v>
      </c>
      <c r="B1300" t="s">
        <v>42</v>
      </c>
      <c r="C1300">
        <v>37.740499999999997</v>
      </c>
      <c r="D1300" t="s">
        <v>210</v>
      </c>
      <c r="E1300">
        <v>2017</v>
      </c>
      <c r="F1300">
        <v>10</v>
      </c>
    </row>
    <row r="1301" spans="1:6" x14ac:dyDescent="0.55000000000000004">
      <c r="A1301" t="s">
        <v>84</v>
      </c>
      <c r="B1301" t="s">
        <v>43</v>
      </c>
      <c r="C1301">
        <v>116333.88219999999</v>
      </c>
      <c r="D1301" t="s">
        <v>210</v>
      </c>
      <c r="E1301">
        <v>2017</v>
      </c>
      <c r="F1301">
        <v>10</v>
      </c>
    </row>
    <row r="1302" spans="1:6" x14ac:dyDescent="0.55000000000000004">
      <c r="A1302" t="s">
        <v>84</v>
      </c>
      <c r="B1302" t="s">
        <v>44</v>
      </c>
      <c r="C1302">
        <v>0</v>
      </c>
      <c r="D1302" t="s">
        <v>210</v>
      </c>
      <c r="E1302">
        <v>2017</v>
      </c>
      <c r="F1302">
        <v>10</v>
      </c>
    </row>
    <row r="1303" spans="1:6" x14ac:dyDescent="0.55000000000000004">
      <c r="A1303" t="s">
        <v>84</v>
      </c>
      <c r="B1303" t="s">
        <v>45</v>
      </c>
      <c r="C1303">
        <v>2718.4584</v>
      </c>
      <c r="D1303" t="s">
        <v>210</v>
      </c>
      <c r="E1303">
        <v>2017</v>
      </c>
      <c r="F1303">
        <v>10</v>
      </c>
    </row>
    <row r="1304" spans="1:6" x14ac:dyDescent="0.55000000000000004">
      <c r="A1304" t="s">
        <v>84</v>
      </c>
      <c r="B1304" t="s">
        <v>46</v>
      </c>
      <c r="C1304">
        <v>86513.067800000004</v>
      </c>
      <c r="D1304" t="s">
        <v>210</v>
      </c>
      <c r="E1304">
        <v>2017</v>
      </c>
      <c r="F1304">
        <v>10</v>
      </c>
    </row>
    <row r="1305" spans="1:6" x14ac:dyDescent="0.55000000000000004">
      <c r="A1305" t="s">
        <v>84</v>
      </c>
      <c r="B1305" t="s">
        <v>47</v>
      </c>
      <c r="C1305">
        <v>1.3167</v>
      </c>
      <c r="D1305" t="s">
        <v>210</v>
      </c>
      <c r="E1305">
        <v>2017</v>
      </c>
      <c r="F1305">
        <v>10</v>
      </c>
    </row>
    <row r="1306" spans="1:6" x14ac:dyDescent="0.55000000000000004">
      <c r="A1306" t="s">
        <v>84</v>
      </c>
      <c r="B1306" t="s">
        <v>48</v>
      </c>
      <c r="C1306">
        <v>647745.68000000005</v>
      </c>
      <c r="D1306" t="s">
        <v>210</v>
      </c>
      <c r="E1306">
        <v>2017</v>
      </c>
      <c r="F1306">
        <v>10</v>
      </c>
    </row>
    <row r="1307" spans="1:6" x14ac:dyDescent="0.55000000000000004">
      <c r="A1307" t="s">
        <v>84</v>
      </c>
      <c r="B1307" t="s">
        <v>49</v>
      </c>
      <c r="C1307">
        <v>0</v>
      </c>
      <c r="D1307" t="s">
        <v>210</v>
      </c>
      <c r="E1307">
        <v>2017</v>
      </c>
      <c r="F1307">
        <v>10</v>
      </c>
    </row>
    <row r="1308" spans="1:6" x14ac:dyDescent="0.55000000000000004">
      <c r="A1308" t="s">
        <v>84</v>
      </c>
      <c r="B1308" t="s">
        <v>50</v>
      </c>
      <c r="C1308">
        <v>27982.0321</v>
      </c>
      <c r="D1308" t="s">
        <v>210</v>
      </c>
      <c r="E1308">
        <v>2017</v>
      </c>
      <c r="F1308">
        <v>10</v>
      </c>
    </row>
    <row r="1309" spans="1:6" x14ac:dyDescent="0.55000000000000004">
      <c r="A1309" t="s">
        <v>84</v>
      </c>
      <c r="B1309" t="s">
        <v>51</v>
      </c>
      <c r="C1309">
        <v>4271.7175999999999</v>
      </c>
      <c r="D1309" t="s">
        <v>210</v>
      </c>
      <c r="E1309">
        <v>2017</v>
      </c>
      <c r="F1309">
        <v>10</v>
      </c>
    </row>
    <row r="1310" spans="1:6" x14ac:dyDescent="0.55000000000000004">
      <c r="A1310" t="s">
        <v>84</v>
      </c>
      <c r="B1310" t="s">
        <v>52</v>
      </c>
      <c r="C1310">
        <v>116.10129999999999</v>
      </c>
      <c r="D1310" t="s">
        <v>210</v>
      </c>
      <c r="E1310">
        <v>2017</v>
      </c>
      <c r="F1310">
        <v>10</v>
      </c>
    </row>
    <row r="1311" spans="1:6" x14ac:dyDescent="0.55000000000000004">
      <c r="A1311" t="s">
        <v>84</v>
      </c>
      <c r="B1311" t="s">
        <v>53</v>
      </c>
      <c r="C1311">
        <v>70573.428</v>
      </c>
      <c r="D1311" t="s">
        <v>210</v>
      </c>
      <c r="E1311">
        <v>2017</v>
      </c>
      <c r="F1311">
        <v>10</v>
      </c>
    </row>
    <row r="1312" spans="1:6" x14ac:dyDescent="0.55000000000000004">
      <c r="A1312" t="s">
        <v>84</v>
      </c>
      <c r="B1312" t="s">
        <v>54</v>
      </c>
      <c r="C1312">
        <v>11667.273499999999</v>
      </c>
      <c r="D1312" t="s">
        <v>210</v>
      </c>
      <c r="E1312">
        <v>2017</v>
      </c>
      <c r="F1312">
        <v>10</v>
      </c>
    </row>
    <row r="1313" spans="1:6" x14ac:dyDescent="0.55000000000000004">
      <c r="A1313" t="s">
        <v>84</v>
      </c>
      <c r="B1313" t="s">
        <v>55</v>
      </c>
      <c r="C1313">
        <v>5066.5613999999996</v>
      </c>
      <c r="D1313" t="s">
        <v>210</v>
      </c>
      <c r="E1313">
        <v>2017</v>
      </c>
      <c r="F1313">
        <v>10</v>
      </c>
    </row>
    <row r="1314" spans="1:6" x14ac:dyDescent="0.55000000000000004">
      <c r="A1314" t="s">
        <v>84</v>
      </c>
      <c r="B1314" t="s">
        <v>56</v>
      </c>
      <c r="C1314">
        <v>1602.3333</v>
      </c>
      <c r="D1314" t="s">
        <v>210</v>
      </c>
      <c r="E1314">
        <v>2017</v>
      </c>
      <c r="F1314">
        <v>10</v>
      </c>
    </row>
    <row r="1315" spans="1:6" x14ac:dyDescent="0.55000000000000004">
      <c r="A1315" t="s">
        <v>84</v>
      </c>
      <c r="B1315" t="s">
        <v>57</v>
      </c>
      <c r="C1315">
        <v>61.052199999999999</v>
      </c>
      <c r="D1315" t="s">
        <v>210</v>
      </c>
      <c r="E1315">
        <v>2017</v>
      </c>
      <c r="F1315">
        <v>10</v>
      </c>
    </row>
    <row r="1316" spans="1:6" x14ac:dyDescent="0.55000000000000004">
      <c r="A1316" t="s">
        <v>84</v>
      </c>
      <c r="B1316" t="s">
        <v>58</v>
      </c>
      <c r="C1316">
        <v>381636</v>
      </c>
      <c r="D1316" t="s">
        <v>210</v>
      </c>
      <c r="E1316">
        <v>2017</v>
      </c>
      <c r="F1316">
        <v>10</v>
      </c>
    </row>
    <row r="1317" spans="1:6" x14ac:dyDescent="0.55000000000000004">
      <c r="A1317" t="s">
        <v>84</v>
      </c>
      <c r="B1317" t="s">
        <v>59</v>
      </c>
      <c r="C1317">
        <v>0</v>
      </c>
      <c r="D1317" t="s">
        <v>210</v>
      </c>
      <c r="E1317">
        <v>2017</v>
      </c>
      <c r="F1317">
        <v>10</v>
      </c>
    </row>
    <row r="1318" spans="1:6" x14ac:dyDescent="0.55000000000000004">
      <c r="A1318" t="s">
        <v>84</v>
      </c>
      <c r="B1318" t="s">
        <v>60</v>
      </c>
      <c r="C1318">
        <v>1623684.3223999999</v>
      </c>
      <c r="D1318" t="s">
        <v>210</v>
      </c>
      <c r="E1318">
        <v>2017</v>
      </c>
      <c r="F1318">
        <v>10</v>
      </c>
    </row>
    <row r="1319" spans="1:6" x14ac:dyDescent="0.55000000000000004">
      <c r="A1319" t="s">
        <v>84</v>
      </c>
      <c r="B1319" t="s">
        <v>61</v>
      </c>
      <c r="C1319">
        <v>4459.2</v>
      </c>
      <c r="D1319" t="s">
        <v>210</v>
      </c>
      <c r="E1319">
        <v>2017</v>
      </c>
      <c r="F1319">
        <v>10</v>
      </c>
    </row>
    <row r="1320" spans="1:6" x14ac:dyDescent="0.55000000000000004">
      <c r="A1320" t="s">
        <v>84</v>
      </c>
      <c r="B1320" t="s">
        <v>62</v>
      </c>
      <c r="C1320">
        <v>1176.009</v>
      </c>
      <c r="D1320" t="s">
        <v>210</v>
      </c>
      <c r="E1320">
        <v>2017</v>
      </c>
      <c r="F1320">
        <v>10</v>
      </c>
    </row>
    <row r="1321" spans="1:6" x14ac:dyDescent="0.55000000000000004">
      <c r="A1321" t="s">
        <v>84</v>
      </c>
      <c r="B1321" t="s">
        <v>63</v>
      </c>
      <c r="C1321">
        <v>87.731700000000004</v>
      </c>
      <c r="D1321" t="s">
        <v>210</v>
      </c>
      <c r="E1321">
        <v>2017</v>
      </c>
      <c r="F1321">
        <v>10</v>
      </c>
    </row>
    <row r="1322" spans="1:6" x14ac:dyDescent="0.55000000000000004">
      <c r="A1322" t="s">
        <v>85</v>
      </c>
      <c r="B1322" t="s">
        <v>4</v>
      </c>
      <c r="C1322">
        <v>9270103.0906000007</v>
      </c>
      <c r="D1322" t="s">
        <v>211</v>
      </c>
      <c r="E1322">
        <v>2017</v>
      </c>
      <c r="F1322">
        <v>11</v>
      </c>
    </row>
    <row r="1323" spans="1:6" x14ac:dyDescent="0.55000000000000004">
      <c r="A1323" t="s">
        <v>85</v>
      </c>
      <c r="B1323" t="s">
        <v>5</v>
      </c>
      <c r="C1323">
        <v>1271779.1642</v>
      </c>
      <c r="D1323" t="s">
        <v>211</v>
      </c>
      <c r="E1323">
        <v>2017</v>
      </c>
      <c r="F1323">
        <v>11</v>
      </c>
    </row>
    <row r="1324" spans="1:6" x14ac:dyDescent="0.55000000000000004">
      <c r="A1324" t="s">
        <v>85</v>
      </c>
      <c r="B1324" t="s">
        <v>6</v>
      </c>
      <c r="C1324">
        <v>1712864.3370000001</v>
      </c>
      <c r="D1324" t="s">
        <v>211</v>
      </c>
      <c r="E1324">
        <v>2017</v>
      </c>
      <c r="F1324">
        <v>11</v>
      </c>
    </row>
    <row r="1325" spans="1:6" x14ac:dyDescent="0.55000000000000004">
      <c r="A1325" t="s">
        <v>85</v>
      </c>
      <c r="B1325" t="s">
        <v>7</v>
      </c>
      <c r="C1325">
        <v>3160088.1217999998</v>
      </c>
      <c r="D1325" t="s">
        <v>211</v>
      </c>
      <c r="E1325">
        <v>2017</v>
      </c>
      <c r="F1325">
        <v>11</v>
      </c>
    </row>
    <row r="1326" spans="1:6" x14ac:dyDescent="0.55000000000000004">
      <c r="A1326" t="s">
        <v>85</v>
      </c>
      <c r="B1326" t="s">
        <v>8</v>
      </c>
      <c r="C1326">
        <v>3125371.4676000001</v>
      </c>
      <c r="D1326" t="s">
        <v>211</v>
      </c>
      <c r="E1326">
        <v>2017</v>
      </c>
      <c r="F1326">
        <v>11</v>
      </c>
    </row>
    <row r="1327" spans="1:6" x14ac:dyDescent="0.55000000000000004">
      <c r="A1327" t="s">
        <v>85</v>
      </c>
      <c r="B1327" t="s">
        <v>9</v>
      </c>
      <c r="C1327">
        <v>230</v>
      </c>
      <c r="D1327" t="s">
        <v>211</v>
      </c>
      <c r="E1327">
        <v>2017</v>
      </c>
      <c r="F1327">
        <v>11</v>
      </c>
    </row>
    <row r="1328" spans="1:6" x14ac:dyDescent="0.55000000000000004">
      <c r="A1328" t="s">
        <v>85</v>
      </c>
      <c r="B1328" t="s">
        <v>10</v>
      </c>
      <c r="C1328">
        <v>4790.0200000000004</v>
      </c>
      <c r="D1328" t="s">
        <v>211</v>
      </c>
      <c r="E1328">
        <v>2017</v>
      </c>
      <c r="F1328">
        <v>11</v>
      </c>
    </row>
    <row r="1329" spans="1:6" x14ac:dyDescent="0.55000000000000004">
      <c r="A1329" t="s">
        <v>85</v>
      </c>
      <c r="B1329" t="s">
        <v>11</v>
      </c>
      <c r="C1329">
        <v>2965514.0468000001</v>
      </c>
      <c r="D1329" t="s">
        <v>211</v>
      </c>
      <c r="E1329">
        <v>2017</v>
      </c>
      <c r="F1329">
        <v>11</v>
      </c>
    </row>
    <row r="1330" spans="1:6" x14ac:dyDescent="0.55000000000000004">
      <c r="A1330" t="s">
        <v>85</v>
      </c>
      <c r="B1330" t="s">
        <v>12</v>
      </c>
      <c r="C1330">
        <v>30857.546699999999</v>
      </c>
      <c r="D1330" t="s">
        <v>211</v>
      </c>
      <c r="E1330">
        <v>2017</v>
      </c>
      <c r="F1330">
        <v>11</v>
      </c>
    </row>
    <row r="1331" spans="1:6" x14ac:dyDescent="0.55000000000000004">
      <c r="A1331" t="s">
        <v>85</v>
      </c>
      <c r="B1331" t="s">
        <v>13</v>
      </c>
      <c r="C1331">
        <v>17910</v>
      </c>
      <c r="D1331" t="s">
        <v>211</v>
      </c>
      <c r="E1331">
        <v>2017</v>
      </c>
      <c r="F1331">
        <v>11</v>
      </c>
    </row>
    <row r="1332" spans="1:6" x14ac:dyDescent="0.55000000000000004">
      <c r="A1332" t="s">
        <v>85</v>
      </c>
      <c r="B1332" t="s">
        <v>14</v>
      </c>
      <c r="C1332">
        <v>0</v>
      </c>
      <c r="D1332" t="s">
        <v>211</v>
      </c>
      <c r="E1332">
        <v>2017</v>
      </c>
      <c r="F1332">
        <v>11</v>
      </c>
    </row>
    <row r="1333" spans="1:6" x14ac:dyDescent="0.55000000000000004">
      <c r="A1333" t="s">
        <v>85</v>
      </c>
      <c r="B1333" t="s">
        <v>15</v>
      </c>
      <c r="C1333">
        <v>1161715.0109000001</v>
      </c>
      <c r="D1333" t="s">
        <v>211</v>
      </c>
      <c r="E1333">
        <v>2017</v>
      </c>
      <c r="F1333">
        <v>11</v>
      </c>
    </row>
    <row r="1334" spans="1:6" x14ac:dyDescent="0.55000000000000004">
      <c r="A1334" t="s">
        <v>85</v>
      </c>
      <c r="B1334" t="s">
        <v>16</v>
      </c>
      <c r="C1334">
        <v>0</v>
      </c>
      <c r="D1334" t="s">
        <v>211</v>
      </c>
      <c r="E1334">
        <v>2017</v>
      </c>
      <c r="F1334">
        <v>11</v>
      </c>
    </row>
    <row r="1335" spans="1:6" x14ac:dyDescent="0.55000000000000004">
      <c r="A1335" t="s">
        <v>85</v>
      </c>
      <c r="B1335" t="s">
        <v>17</v>
      </c>
      <c r="C1335">
        <v>26464.771100000002</v>
      </c>
      <c r="D1335" t="s">
        <v>211</v>
      </c>
      <c r="E1335">
        <v>2017</v>
      </c>
      <c r="F1335">
        <v>11</v>
      </c>
    </row>
    <row r="1336" spans="1:6" x14ac:dyDescent="0.55000000000000004">
      <c r="A1336" t="s">
        <v>85</v>
      </c>
      <c r="B1336" t="s">
        <v>18</v>
      </c>
      <c r="C1336">
        <v>65607.165699999998</v>
      </c>
      <c r="D1336" t="s">
        <v>211</v>
      </c>
      <c r="E1336">
        <v>2017</v>
      </c>
      <c r="F1336">
        <v>11</v>
      </c>
    </row>
    <row r="1337" spans="1:6" x14ac:dyDescent="0.55000000000000004">
      <c r="A1337" t="s">
        <v>85</v>
      </c>
      <c r="B1337" t="s">
        <v>19</v>
      </c>
      <c r="C1337">
        <v>957.87909999999999</v>
      </c>
      <c r="D1337" t="s">
        <v>211</v>
      </c>
      <c r="E1337">
        <v>2017</v>
      </c>
      <c r="F1337">
        <v>11</v>
      </c>
    </row>
    <row r="1338" spans="1:6" x14ac:dyDescent="0.55000000000000004">
      <c r="A1338" t="s">
        <v>85</v>
      </c>
      <c r="B1338" t="s">
        <v>20</v>
      </c>
      <c r="C1338">
        <v>7887.41</v>
      </c>
      <c r="D1338" t="s">
        <v>211</v>
      </c>
      <c r="E1338">
        <v>2017</v>
      </c>
      <c r="F1338">
        <v>11</v>
      </c>
    </row>
    <row r="1339" spans="1:6" x14ac:dyDescent="0.55000000000000004">
      <c r="A1339" t="s">
        <v>85</v>
      </c>
      <c r="B1339" t="s">
        <v>21</v>
      </c>
      <c r="C1339">
        <v>373.37979999999999</v>
      </c>
      <c r="D1339" t="s">
        <v>211</v>
      </c>
      <c r="E1339">
        <v>2017</v>
      </c>
      <c r="F1339">
        <v>11</v>
      </c>
    </row>
    <row r="1340" spans="1:6" x14ac:dyDescent="0.55000000000000004">
      <c r="A1340" t="s">
        <v>85</v>
      </c>
      <c r="B1340" t="s">
        <v>22</v>
      </c>
      <c r="C1340">
        <v>62152.872000000003</v>
      </c>
      <c r="D1340" t="s">
        <v>211</v>
      </c>
      <c r="E1340">
        <v>2017</v>
      </c>
      <c r="F1340">
        <v>11</v>
      </c>
    </row>
    <row r="1341" spans="1:6" x14ac:dyDescent="0.55000000000000004">
      <c r="A1341" t="s">
        <v>85</v>
      </c>
      <c r="B1341" t="s">
        <v>23</v>
      </c>
      <c r="C1341">
        <v>8191.4453999999996</v>
      </c>
      <c r="D1341" t="s">
        <v>211</v>
      </c>
      <c r="E1341">
        <v>2017</v>
      </c>
      <c r="F1341">
        <v>11</v>
      </c>
    </row>
    <row r="1342" spans="1:6" x14ac:dyDescent="0.55000000000000004">
      <c r="A1342" t="s">
        <v>85</v>
      </c>
      <c r="B1342" t="s">
        <v>24</v>
      </c>
      <c r="C1342">
        <v>0</v>
      </c>
      <c r="D1342" t="s">
        <v>211</v>
      </c>
      <c r="E1342">
        <v>2017</v>
      </c>
      <c r="F1342">
        <v>11</v>
      </c>
    </row>
    <row r="1343" spans="1:6" x14ac:dyDescent="0.55000000000000004">
      <c r="A1343" t="s">
        <v>85</v>
      </c>
      <c r="B1343" t="s">
        <v>25</v>
      </c>
      <c r="C1343">
        <v>283415.5</v>
      </c>
      <c r="D1343" t="s">
        <v>211</v>
      </c>
      <c r="E1343">
        <v>2017</v>
      </c>
      <c r="F1343">
        <v>11</v>
      </c>
    </row>
    <row r="1344" spans="1:6" x14ac:dyDescent="0.55000000000000004">
      <c r="A1344" t="s">
        <v>85</v>
      </c>
      <c r="B1344" t="s">
        <v>26</v>
      </c>
      <c r="C1344">
        <v>0</v>
      </c>
      <c r="D1344" t="s">
        <v>211</v>
      </c>
      <c r="E1344">
        <v>2017</v>
      </c>
      <c r="F1344">
        <v>11</v>
      </c>
    </row>
    <row r="1345" spans="1:6" x14ac:dyDescent="0.55000000000000004">
      <c r="A1345" t="s">
        <v>85</v>
      </c>
      <c r="B1345" t="s">
        <v>27</v>
      </c>
      <c r="C1345">
        <v>1394.0153</v>
      </c>
      <c r="D1345" t="s">
        <v>211</v>
      </c>
      <c r="E1345">
        <v>2017</v>
      </c>
      <c r="F1345">
        <v>11</v>
      </c>
    </row>
    <row r="1346" spans="1:6" x14ac:dyDescent="0.55000000000000004">
      <c r="A1346" t="s">
        <v>85</v>
      </c>
      <c r="B1346" t="s">
        <v>28</v>
      </c>
      <c r="C1346">
        <v>78655.313800000004</v>
      </c>
      <c r="D1346" t="s">
        <v>211</v>
      </c>
      <c r="E1346">
        <v>2017</v>
      </c>
      <c r="F1346">
        <v>11</v>
      </c>
    </row>
    <row r="1347" spans="1:6" x14ac:dyDescent="0.55000000000000004">
      <c r="A1347" t="s">
        <v>85</v>
      </c>
      <c r="B1347" t="s">
        <v>29</v>
      </c>
      <c r="C1347">
        <v>17107.419900000001</v>
      </c>
      <c r="D1347" t="s">
        <v>211</v>
      </c>
      <c r="E1347">
        <v>2017</v>
      </c>
      <c r="F1347">
        <v>11</v>
      </c>
    </row>
    <row r="1348" spans="1:6" x14ac:dyDescent="0.55000000000000004">
      <c r="A1348" t="s">
        <v>85</v>
      </c>
      <c r="B1348" t="s">
        <v>30</v>
      </c>
      <c r="C1348">
        <v>166.48670000000001</v>
      </c>
      <c r="D1348" t="s">
        <v>211</v>
      </c>
      <c r="E1348">
        <v>2017</v>
      </c>
      <c r="F1348">
        <v>11</v>
      </c>
    </row>
    <row r="1349" spans="1:6" x14ac:dyDescent="0.55000000000000004">
      <c r="A1349" t="s">
        <v>85</v>
      </c>
      <c r="B1349" t="s">
        <v>31</v>
      </c>
      <c r="C1349">
        <v>110.5915</v>
      </c>
      <c r="D1349" t="s">
        <v>211</v>
      </c>
      <c r="E1349">
        <v>2017</v>
      </c>
      <c r="F1349">
        <v>11</v>
      </c>
    </row>
    <row r="1350" spans="1:6" x14ac:dyDescent="0.55000000000000004">
      <c r="A1350" t="s">
        <v>85</v>
      </c>
      <c r="B1350" t="s">
        <v>32</v>
      </c>
      <c r="C1350">
        <v>165463.34169999999</v>
      </c>
      <c r="D1350" t="s">
        <v>211</v>
      </c>
      <c r="E1350">
        <v>2017</v>
      </c>
      <c r="F1350">
        <v>11</v>
      </c>
    </row>
    <row r="1351" spans="1:6" x14ac:dyDescent="0.55000000000000004">
      <c r="A1351" t="s">
        <v>85</v>
      </c>
      <c r="B1351" t="s">
        <v>33</v>
      </c>
      <c r="C1351">
        <v>565534.87520000001</v>
      </c>
      <c r="D1351" t="s">
        <v>211</v>
      </c>
      <c r="E1351">
        <v>2017</v>
      </c>
      <c r="F1351">
        <v>11</v>
      </c>
    </row>
    <row r="1352" spans="1:6" x14ac:dyDescent="0.55000000000000004">
      <c r="A1352" t="s">
        <v>85</v>
      </c>
      <c r="B1352" t="s">
        <v>34</v>
      </c>
      <c r="C1352">
        <v>601559.79859999998</v>
      </c>
      <c r="D1352" t="s">
        <v>211</v>
      </c>
      <c r="E1352">
        <v>2017</v>
      </c>
      <c r="F1352">
        <v>11</v>
      </c>
    </row>
    <row r="1353" spans="1:6" x14ac:dyDescent="0.55000000000000004">
      <c r="A1353" t="s">
        <v>85</v>
      </c>
      <c r="B1353" t="s">
        <v>35</v>
      </c>
      <c r="C1353">
        <v>1528.2538</v>
      </c>
      <c r="D1353" t="s">
        <v>211</v>
      </c>
      <c r="E1353">
        <v>2017</v>
      </c>
      <c r="F1353">
        <v>11</v>
      </c>
    </row>
    <row r="1354" spans="1:6" x14ac:dyDescent="0.55000000000000004">
      <c r="A1354" t="s">
        <v>85</v>
      </c>
      <c r="B1354" t="s">
        <v>36</v>
      </c>
      <c r="C1354">
        <v>58032.533300000003</v>
      </c>
      <c r="D1354" t="s">
        <v>211</v>
      </c>
      <c r="E1354">
        <v>2017</v>
      </c>
      <c r="F1354">
        <v>11</v>
      </c>
    </row>
    <row r="1355" spans="1:6" x14ac:dyDescent="0.55000000000000004">
      <c r="A1355" t="s">
        <v>85</v>
      </c>
      <c r="B1355" t="s">
        <v>37</v>
      </c>
      <c r="C1355">
        <v>36109.102800000001</v>
      </c>
      <c r="D1355" t="s">
        <v>211</v>
      </c>
      <c r="E1355">
        <v>2017</v>
      </c>
      <c r="F1355">
        <v>11</v>
      </c>
    </row>
    <row r="1356" spans="1:6" x14ac:dyDescent="0.55000000000000004">
      <c r="A1356" t="s">
        <v>85</v>
      </c>
      <c r="B1356" t="s">
        <v>38</v>
      </c>
      <c r="C1356">
        <v>3605</v>
      </c>
      <c r="D1356" t="s">
        <v>211</v>
      </c>
      <c r="E1356">
        <v>2017</v>
      </c>
      <c r="F1356">
        <v>11</v>
      </c>
    </row>
    <row r="1357" spans="1:6" x14ac:dyDescent="0.55000000000000004">
      <c r="A1357" t="s">
        <v>85</v>
      </c>
      <c r="B1357" t="s">
        <v>39</v>
      </c>
      <c r="C1357">
        <v>1136.02</v>
      </c>
      <c r="D1357" t="s">
        <v>211</v>
      </c>
      <c r="E1357">
        <v>2017</v>
      </c>
      <c r="F1357">
        <v>11</v>
      </c>
    </row>
    <row r="1358" spans="1:6" x14ac:dyDescent="0.55000000000000004">
      <c r="A1358" t="s">
        <v>85</v>
      </c>
      <c r="B1358" t="s">
        <v>40</v>
      </c>
      <c r="C1358">
        <v>419.05009999999999</v>
      </c>
      <c r="D1358" t="s">
        <v>211</v>
      </c>
      <c r="E1358">
        <v>2017</v>
      </c>
      <c r="F1358">
        <v>11</v>
      </c>
    </row>
    <row r="1359" spans="1:6" x14ac:dyDescent="0.55000000000000004">
      <c r="A1359" t="s">
        <v>85</v>
      </c>
      <c r="B1359" t="s">
        <v>41</v>
      </c>
      <c r="C1359">
        <v>237313.80530000001</v>
      </c>
      <c r="D1359" t="s">
        <v>211</v>
      </c>
      <c r="E1359">
        <v>2017</v>
      </c>
      <c r="F1359">
        <v>11</v>
      </c>
    </row>
    <row r="1360" spans="1:6" x14ac:dyDescent="0.55000000000000004">
      <c r="A1360" t="s">
        <v>85</v>
      </c>
      <c r="B1360" t="s">
        <v>42</v>
      </c>
      <c r="C1360">
        <v>49.544800000000002</v>
      </c>
      <c r="D1360" t="s">
        <v>211</v>
      </c>
      <c r="E1360">
        <v>2017</v>
      </c>
      <c r="F1360">
        <v>11</v>
      </c>
    </row>
    <row r="1361" spans="1:6" x14ac:dyDescent="0.55000000000000004">
      <c r="A1361" t="s">
        <v>85</v>
      </c>
      <c r="B1361" t="s">
        <v>43</v>
      </c>
      <c r="C1361">
        <v>81727.820999999996</v>
      </c>
      <c r="D1361" t="s">
        <v>211</v>
      </c>
      <c r="E1361">
        <v>2017</v>
      </c>
      <c r="F1361">
        <v>11</v>
      </c>
    </row>
    <row r="1362" spans="1:6" x14ac:dyDescent="0.55000000000000004">
      <c r="A1362" t="s">
        <v>85</v>
      </c>
      <c r="B1362" t="s">
        <v>44</v>
      </c>
      <c r="C1362">
        <v>0</v>
      </c>
      <c r="D1362" t="s">
        <v>211</v>
      </c>
      <c r="E1362">
        <v>2017</v>
      </c>
      <c r="F1362">
        <v>11</v>
      </c>
    </row>
    <row r="1363" spans="1:6" x14ac:dyDescent="0.55000000000000004">
      <c r="A1363" t="s">
        <v>85</v>
      </c>
      <c r="B1363" t="s">
        <v>45</v>
      </c>
      <c r="C1363">
        <v>1541.8638000000001</v>
      </c>
      <c r="D1363" t="s">
        <v>211</v>
      </c>
      <c r="E1363">
        <v>2017</v>
      </c>
      <c r="F1363">
        <v>11</v>
      </c>
    </row>
    <row r="1364" spans="1:6" x14ac:dyDescent="0.55000000000000004">
      <c r="A1364" t="s">
        <v>85</v>
      </c>
      <c r="B1364" t="s">
        <v>46</v>
      </c>
      <c r="C1364">
        <v>74012.75</v>
      </c>
      <c r="D1364" t="s">
        <v>211</v>
      </c>
      <c r="E1364">
        <v>2017</v>
      </c>
      <c r="F1364">
        <v>11</v>
      </c>
    </row>
    <row r="1365" spans="1:6" x14ac:dyDescent="0.55000000000000004">
      <c r="A1365" t="s">
        <v>85</v>
      </c>
      <c r="B1365" t="s">
        <v>47</v>
      </c>
      <c r="C1365">
        <v>0</v>
      </c>
      <c r="D1365" t="s">
        <v>211</v>
      </c>
      <c r="E1365">
        <v>2017</v>
      </c>
      <c r="F1365">
        <v>11</v>
      </c>
    </row>
    <row r="1366" spans="1:6" x14ac:dyDescent="0.55000000000000004">
      <c r="A1366" t="s">
        <v>85</v>
      </c>
      <c r="B1366" t="s">
        <v>48</v>
      </c>
      <c r="C1366">
        <v>522021.5</v>
      </c>
      <c r="D1366" t="s">
        <v>211</v>
      </c>
      <c r="E1366">
        <v>2017</v>
      </c>
      <c r="F1366">
        <v>11</v>
      </c>
    </row>
    <row r="1367" spans="1:6" x14ac:dyDescent="0.55000000000000004">
      <c r="A1367" t="s">
        <v>85</v>
      </c>
      <c r="B1367" t="s">
        <v>49</v>
      </c>
      <c r="C1367">
        <v>119.95229999999999</v>
      </c>
      <c r="D1367" t="s">
        <v>211</v>
      </c>
      <c r="E1367">
        <v>2017</v>
      </c>
      <c r="F1367">
        <v>11</v>
      </c>
    </row>
    <row r="1368" spans="1:6" x14ac:dyDescent="0.55000000000000004">
      <c r="A1368" t="s">
        <v>85</v>
      </c>
      <c r="B1368" t="s">
        <v>50</v>
      </c>
      <c r="C1368">
        <v>32008.398399999998</v>
      </c>
      <c r="D1368" t="s">
        <v>211</v>
      </c>
      <c r="E1368">
        <v>2017</v>
      </c>
      <c r="F1368">
        <v>11</v>
      </c>
    </row>
    <row r="1369" spans="1:6" x14ac:dyDescent="0.55000000000000004">
      <c r="A1369" t="s">
        <v>85</v>
      </c>
      <c r="B1369" t="s">
        <v>51</v>
      </c>
      <c r="C1369">
        <v>465.04759999999999</v>
      </c>
      <c r="D1369" t="s">
        <v>211</v>
      </c>
      <c r="E1369">
        <v>2017</v>
      </c>
      <c r="F1369">
        <v>11</v>
      </c>
    </row>
    <row r="1370" spans="1:6" x14ac:dyDescent="0.55000000000000004">
      <c r="A1370" t="s">
        <v>85</v>
      </c>
      <c r="B1370" t="s">
        <v>52</v>
      </c>
      <c r="C1370">
        <v>112.02070000000001</v>
      </c>
      <c r="D1370" t="s">
        <v>211</v>
      </c>
      <c r="E1370">
        <v>2017</v>
      </c>
      <c r="F1370">
        <v>11</v>
      </c>
    </row>
    <row r="1371" spans="1:6" x14ac:dyDescent="0.55000000000000004">
      <c r="A1371" t="s">
        <v>85</v>
      </c>
      <c r="B1371" t="s">
        <v>53</v>
      </c>
      <c r="C1371">
        <v>66026</v>
      </c>
      <c r="D1371" t="s">
        <v>211</v>
      </c>
      <c r="E1371">
        <v>2017</v>
      </c>
      <c r="F1371">
        <v>11</v>
      </c>
    </row>
    <row r="1372" spans="1:6" x14ac:dyDescent="0.55000000000000004">
      <c r="A1372" t="s">
        <v>85</v>
      </c>
      <c r="B1372" t="s">
        <v>54</v>
      </c>
      <c r="C1372">
        <v>11781.0198</v>
      </c>
      <c r="D1372" t="s">
        <v>211</v>
      </c>
      <c r="E1372">
        <v>2017</v>
      </c>
      <c r="F1372">
        <v>11</v>
      </c>
    </row>
    <row r="1373" spans="1:6" x14ac:dyDescent="0.55000000000000004">
      <c r="A1373" t="s">
        <v>85</v>
      </c>
      <c r="B1373" t="s">
        <v>55</v>
      </c>
      <c r="C1373">
        <v>6549.4214000000002</v>
      </c>
      <c r="D1373" t="s">
        <v>211</v>
      </c>
      <c r="E1373">
        <v>2017</v>
      </c>
      <c r="F1373">
        <v>11</v>
      </c>
    </row>
    <row r="1374" spans="1:6" x14ac:dyDescent="0.55000000000000004">
      <c r="A1374" t="s">
        <v>85</v>
      </c>
      <c r="B1374" t="s">
        <v>56</v>
      </c>
      <c r="C1374">
        <v>959.73329999999999</v>
      </c>
      <c r="D1374" t="s">
        <v>211</v>
      </c>
      <c r="E1374">
        <v>2017</v>
      </c>
      <c r="F1374">
        <v>11</v>
      </c>
    </row>
    <row r="1375" spans="1:6" x14ac:dyDescent="0.55000000000000004">
      <c r="A1375" t="s">
        <v>85</v>
      </c>
      <c r="B1375" t="s">
        <v>57</v>
      </c>
      <c r="C1375">
        <v>111.69929999999999</v>
      </c>
      <c r="D1375" t="s">
        <v>211</v>
      </c>
      <c r="E1375">
        <v>2017</v>
      </c>
      <c r="F1375">
        <v>11</v>
      </c>
    </row>
    <row r="1376" spans="1:6" x14ac:dyDescent="0.55000000000000004">
      <c r="A1376" t="s">
        <v>85</v>
      </c>
      <c r="B1376" t="s">
        <v>58</v>
      </c>
      <c r="C1376">
        <v>443100</v>
      </c>
      <c r="D1376" t="s">
        <v>211</v>
      </c>
      <c r="E1376">
        <v>2017</v>
      </c>
      <c r="F1376">
        <v>11</v>
      </c>
    </row>
    <row r="1377" spans="1:6" x14ac:dyDescent="0.55000000000000004">
      <c r="A1377" t="s">
        <v>85</v>
      </c>
      <c r="B1377" t="s">
        <v>59</v>
      </c>
      <c r="C1377">
        <v>0</v>
      </c>
      <c r="D1377" t="s">
        <v>211</v>
      </c>
      <c r="E1377">
        <v>2017</v>
      </c>
      <c r="F1377">
        <v>11</v>
      </c>
    </row>
    <row r="1378" spans="1:6" x14ac:dyDescent="0.55000000000000004">
      <c r="A1378" t="s">
        <v>85</v>
      </c>
      <c r="B1378" t="s">
        <v>60</v>
      </c>
      <c r="C1378">
        <v>1620633.4472000001</v>
      </c>
      <c r="D1378" t="s">
        <v>211</v>
      </c>
      <c r="E1378">
        <v>2017</v>
      </c>
      <c r="F1378">
        <v>11</v>
      </c>
    </row>
    <row r="1379" spans="1:6" x14ac:dyDescent="0.55000000000000004">
      <c r="A1379" t="s">
        <v>85</v>
      </c>
      <c r="B1379" t="s">
        <v>61</v>
      </c>
      <c r="C1379">
        <v>3789.672</v>
      </c>
      <c r="D1379" t="s">
        <v>211</v>
      </c>
      <c r="E1379">
        <v>2017</v>
      </c>
      <c r="F1379">
        <v>11</v>
      </c>
    </row>
    <row r="1380" spans="1:6" x14ac:dyDescent="0.55000000000000004">
      <c r="A1380" t="s">
        <v>85</v>
      </c>
      <c r="B1380" t="s">
        <v>62</v>
      </c>
      <c r="C1380">
        <v>771.00900000000001</v>
      </c>
      <c r="D1380" t="s">
        <v>211</v>
      </c>
      <c r="E1380">
        <v>2017</v>
      </c>
      <c r="F1380">
        <v>11</v>
      </c>
    </row>
    <row r="1381" spans="1:6" x14ac:dyDescent="0.55000000000000004">
      <c r="A1381" t="s">
        <v>85</v>
      </c>
      <c r="B1381" t="s">
        <v>63</v>
      </c>
      <c r="C1381">
        <v>119.53449999999999</v>
      </c>
      <c r="D1381" t="s">
        <v>211</v>
      </c>
      <c r="E1381">
        <v>2017</v>
      </c>
      <c r="F1381">
        <v>11</v>
      </c>
    </row>
    <row r="1382" spans="1:6" x14ac:dyDescent="0.55000000000000004">
      <c r="A1382" t="s">
        <v>86</v>
      </c>
      <c r="B1382" t="s">
        <v>4</v>
      </c>
      <c r="C1382">
        <v>10131342.4189</v>
      </c>
      <c r="D1382" t="s">
        <v>212</v>
      </c>
      <c r="E1382">
        <v>2017</v>
      </c>
      <c r="F1382">
        <v>12</v>
      </c>
    </row>
    <row r="1383" spans="1:6" x14ac:dyDescent="0.55000000000000004">
      <c r="A1383" t="s">
        <v>86</v>
      </c>
      <c r="B1383" t="s">
        <v>5</v>
      </c>
      <c r="C1383">
        <v>1305273.0218</v>
      </c>
      <c r="D1383" t="s">
        <v>212</v>
      </c>
      <c r="E1383">
        <v>2017</v>
      </c>
      <c r="F1383">
        <v>12</v>
      </c>
    </row>
    <row r="1384" spans="1:6" x14ac:dyDescent="0.55000000000000004">
      <c r="A1384" t="s">
        <v>86</v>
      </c>
      <c r="B1384" t="s">
        <v>6</v>
      </c>
      <c r="C1384">
        <v>1883115.1610000001</v>
      </c>
      <c r="D1384" t="s">
        <v>212</v>
      </c>
      <c r="E1384">
        <v>2017</v>
      </c>
      <c r="F1384">
        <v>12</v>
      </c>
    </row>
    <row r="1385" spans="1:6" x14ac:dyDescent="0.55000000000000004">
      <c r="A1385" t="s">
        <v>86</v>
      </c>
      <c r="B1385" t="s">
        <v>7</v>
      </c>
      <c r="C1385">
        <v>3212325.1834</v>
      </c>
      <c r="D1385" t="s">
        <v>212</v>
      </c>
      <c r="E1385">
        <v>2017</v>
      </c>
      <c r="F1385">
        <v>12</v>
      </c>
    </row>
    <row r="1386" spans="1:6" x14ac:dyDescent="0.55000000000000004">
      <c r="A1386" t="s">
        <v>86</v>
      </c>
      <c r="B1386" t="s">
        <v>8</v>
      </c>
      <c r="C1386">
        <v>3730629.0526999999</v>
      </c>
      <c r="D1386" t="s">
        <v>212</v>
      </c>
      <c r="E1386">
        <v>2017</v>
      </c>
      <c r="F1386">
        <v>12</v>
      </c>
    </row>
    <row r="1387" spans="1:6" x14ac:dyDescent="0.55000000000000004">
      <c r="A1387" t="s">
        <v>86</v>
      </c>
      <c r="B1387" t="s">
        <v>9</v>
      </c>
      <c r="C1387">
        <v>0</v>
      </c>
      <c r="D1387" t="s">
        <v>212</v>
      </c>
      <c r="E1387">
        <v>2017</v>
      </c>
      <c r="F1387">
        <v>12</v>
      </c>
    </row>
    <row r="1388" spans="1:6" x14ac:dyDescent="0.55000000000000004">
      <c r="A1388" t="s">
        <v>86</v>
      </c>
      <c r="B1388" t="s">
        <v>10</v>
      </c>
      <c r="C1388">
        <v>4256.8500000000004</v>
      </c>
      <c r="D1388" t="s">
        <v>212</v>
      </c>
      <c r="E1388">
        <v>2017</v>
      </c>
      <c r="F1388">
        <v>12</v>
      </c>
    </row>
    <row r="1389" spans="1:6" x14ac:dyDescent="0.55000000000000004">
      <c r="A1389" t="s">
        <v>86</v>
      </c>
      <c r="B1389" t="s">
        <v>11</v>
      </c>
      <c r="C1389">
        <v>3025954.4840000002</v>
      </c>
      <c r="D1389" t="s">
        <v>212</v>
      </c>
      <c r="E1389">
        <v>2017</v>
      </c>
      <c r="F1389">
        <v>12</v>
      </c>
    </row>
    <row r="1390" spans="1:6" x14ac:dyDescent="0.55000000000000004">
      <c r="A1390" t="s">
        <v>86</v>
      </c>
      <c r="B1390" t="s">
        <v>12</v>
      </c>
      <c r="C1390">
        <v>48914.133300000001</v>
      </c>
      <c r="D1390" t="s">
        <v>212</v>
      </c>
      <c r="E1390">
        <v>2017</v>
      </c>
      <c r="F1390">
        <v>12</v>
      </c>
    </row>
    <row r="1391" spans="1:6" x14ac:dyDescent="0.55000000000000004">
      <c r="A1391" t="s">
        <v>86</v>
      </c>
      <c r="B1391" t="s">
        <v>13</v>
      </c>
      <c r="C1391">
        <v>13576</v>
      </c>
      <c r="D1391" t="s">
        <v>212</v>
      </c>
      <c r="E1391">
        <v>2017</v>
      </c>
      <c r="F1391">
        <v>12</v>
      </c>
    </row>
    <row r="1392" spans="1:6" x14ac:dyDescent="0.55000000000000004">
      <c r="A1392" t="s">
        <v>86</v>
      </c>
      <c r="B1392" t="s">
        <v>14</v>
      </c>
      <c r="C1392">
        <v>1386</v>
      </c>
      <c r="D1392" t="s">
        <v>212</v>
      </c>
      <c r="E1392">
        <v>2017</v>
      </c>
      <c r="F1392">
        <v>12</v>
      </c>
    </row>
    <row r="1393" spans="1:6" x14ac:dyDescent="0.55000000000000004">
      <c r="A1393" t="s">
        <v>86</v>
      </c>
      <c r="B1393" t="s">
        <v>15</v>
      </c>
      <c r="C1393">
        <v>1221736.6018000001</v>
      </c>
      <c r="D1393" t="s">
        <v>212</v>
      </c>
      <c r="E1393">
        <v>2017</v>
      </c>
      <c r="F1393">
        <v>12</v>
      </c>
    </row>
    <row r="1394" spans="1:6" x14ac:dyDescent="0.55000000000000004">
      <c r="A1394" t="s">
        <v>86</v>
      </c>
      <c r="B1394" t="s">
        <v>16</v>
      </c>
      <c r="C1394">
        <v>0</v>
      </c>
      <c r="D1394" t="s">
        <v>212</v>
      </c>
      <c r="E1394">
        <v>2017</v>
      </c>
      <c r="F1394">
        <v>12</v>
      </c>
    </row>
    <row r="1395" spans="1:6" x14ac:dyDescent="0.55000000000000004">
      <c r="A1395" t="s">
        <v>86</v>
      </c>
      <c r="B1395" t="s">
        <v>17</v>
      </c>
      <c r="C1395">
        <v>42860.025900000001</v>
      </c>
      <c r="D1395" t="s">
        <v>212</v>
      </c>
      <c r="E1395">
        <v>2017</v>
      </c>
      <c r="F1395">
        <v>12</v>
      </c>
    </row>
    <row r="1396" spans="1:6" x14ac:dyDescent="0.55000000000000004">
      <c r="A1396" t="s">
        <v>86</v>
      </c>
      <c r="B1396" t="s">
        <v>18</v>
      </c>
      <c r="C1396">
        <v>24732.649700000002</v>
      </c>
      <c r="D1396" t="s">
        <v>212</v>
      </c>
      <c r="E1396">
        <v>2017</v>
      </c>
      <c r="F1396">
        <v>12</v>
      </c>
    </row>
    <row r="1397" spans="1:6" x14ac:dyDescent="0.55000000000000004">
      <c r="A1397" t="s">
        <v>86</v>
      </c>
      <c r="B1397" t="s">
        <v>19</v>
      </c>
      <c r="C1397">
        <v>524.22680000000003</v>
      </c>
      <c r="D1397" t="s">
        <v>212</v>
      </c>
      <c r="E1397">
        <v>2017</v>
      </c>
      <c r="F1397">
        <v>12</v>
      </c>
    </row>
    <row r="1398" spans="1:6" x14ac:dyDescent="0.55000000000000004">
      <c r="A1398" t="s">
        <v>86</v>
      </c>
      <c r="B1398" t="s">
        <v>20</v>
      </c>
      <c r="C1398">
        <v>7628.53</v>
      </c>
      <c r="D1398" t="s">
        <v>212</v>
      </c>
      <c r="E1398">
        <v>2017</v>
      </c>
      <c r="F1398">
        <v>12</v>
      </c>
    </row>
    <row r="1399" spans="1:6" x14ac:dyDescent="0.55000000000000004">
      <c r="A1399" t="s">
        <v>86</v>
      </c>
      <c r="B1399" t="s">
        <v>21</v>
      </c>
      <c r="C1399">
        <v>1713.0668000000001</v>
      </c>
      <c r="D1399" t="s">
        <v>212</v>
      </c>
      <c r="E1399">
        <v>2017</v>
      </c>
      <c r="F1399">
        <v>12</v>
      </c>
    </row>
    <row r="1400" spans="1:6" x14ac:dyDescent="0.55000000000000004">
      <c r="A1400" t="s">
        <v>86</v>
      </c>
      <c r="B1400" t="s">
        <v>22</v>
      </c>
      <c r="C1400">
        <v>53936.024799999999</v>
      </c>
      <c r="D1400" t="s">
        <v>212</v>
      </c>
      <c r="E1400">
        <v>2017</v>
      </c>
      <c r="F1400">
        <v>12</v>
      </c>
    </row>
    <row r="1401" spans="1:6" x14ac:dyDescent="0.55000000000000004">
      <c r="A1401" t="s">
        <v>86</v>
      </c>
      <c r="B1401" t="s">
        <v>23</v>
      </c>
      <c r="C1401">
        <v>26345.083999999999</v>
      </c>
      <c r="D1401" t="s">
        <v>212</v>
      </c>
      <c r="E1401">
        <v>2017</v>
      </c>
      <c r="F1401">
        <v>12</v>
      </c>
    </row>
    <row r="1402" spans="1:6" x14ac:dyDescent="0.55000000000000004">
      <c r="A1402" t="s">
        <v>86</v>
      </c>
      <c r="B1402" t="s">
        <v>24</v>
      </c>
      <c r="C1402">
        <v>0</v>
      </c>
      <c r="D1402" t="s">
        <v>212</v>
      </c>
      <c r="E1402">
        <v>2017</v>
      </c>
      <c r="F1402">
        <v>12</v>
      </c>
    </row>
    <row r="1403" spans="1:6" x14ac:dyDescent="0.55000000000000004">
      <c r="A1403" t="s">
        <v>86</v>
      </c>
      <c r="B1403" t="s">
        <v>25</v>
      </c>
      <c r="C1403">
        <v>311344.3333</v>
      </c>
      <c r="D1403" t="s">
        <v>212</v>
      </c>
      <c r="E1403">
        <v>2017</v>
      </c>
      <c r="F1403">
        <v>12</v>
      </c>
    </row>
    <row r="1404" spans="1:6" x14ac:dyDescent="0.55000000000000004">
      <c r="A1404" t="s">
        <v>86</v>
      </c>
      <c r="B1404" t="s">
        <v>26</v>
      </c>
      <c r="C1404">
        <v>0</v>
      </c>
      <c r="D1404" t="s">
        <v>212</v>
      </c>
      <c r="E1404">
        <v>2017</v>
      </c>
      <c r="F1404">
        <v>12</v>
      </c>
    </row>
    <row r="1405" spans="1:6" x14ac:dyDescent="0.55000000000000004">
      <c r="A1405" t="s">
        <v>86</v>
      </c>
      <c r="B1405" t="s">
        <v>27</v>
      </c>
      <c r="C1405">
        <v>458.70069999999998</v>
      </c>
      <c r="D1405" t="s">
        <v>212</v>
      </c>
      <c r="E1405">
        <v>2017</v>
      </c>
      <c r="F1405">
        <v>12</v>
      </c>
    </row>
    <row r="1406" spans="1:6" x14ac:dyDescent="0.55000000000000004">
      <c r="A1406" t="s">
        <v>86</v>
      </c>
      <c r="B1406" t="s">
        <v>28</v>
      </c>
      <c r="C1406">
        <v>124927.33530000001</v>
      </c>
      <c r="D1406" t="s">
        <v>212</v>
      </c>
      <c r="E1406">
        <v>2017</v>
      </c>
      <c r="F1406">
        <v>12</v>
      </c>
    </row>
    <row r="1407" spans="1:6" x14ac:dyDescent="0.55000000000000004">
      <c r="A1407" t="s">
        <v>86</v>
      </c>
      <c r="B1407" t="s">
        <v>29</v>
      </c>
      <c r="C1407">
        <v>16859.089899999999</v>
      </c>
      <c r="D1407" t="s">
        <v>212</v>
      </c>
      <c r="E1407">
        <v>2017</v>
      </c>
      <c r="F1407">
        <v>12</v>
      </c>
    </row>
    <row r="1408" spans="1:6" x14ac:dyDescent="0.55000000000000004">
      <c r="A1408" t="s">
        <v>86</v>
      </c>
      <c r="B1408" t="s">
        <v>30</v>
      </c>
      <c r="C1408">
        <v>82.853300000000004</v>
      </c>
      <c r="D1408" t="s">
        <v>212</v>
      </c>
      <c r="E1408">
        <v>2017</v>
      </c>
      <c r="F1408">
        <v>12</v>
      </c>
    </row>
    <row r="1409" spans="1:6" x14ac:dyDescent="0.55000000000000004">
      <c r="A1409" t="s">
        <v>86</v>
      </c>
      <c r="B1409" t="s">
        <v>31</v>
      </c>
      <c r="C1409">
        <v>217.2373</v>
      </c>
      <c r="D1409" t="s">
        <v>212</v>
      </c>
      <c r="E1409">
        <v>2017</v>
      </c>
      <c r="F1409">
        <v>12</v>
      </c>
    </row>
    <row r="1410" spans="1:6" x14ac:dyDescent="0.55000000000000004">
      <c r="A1410" t="s">
        <v>86</v>
      </c>
      <c r="B1410" t="s">
        <v>32</v>
      </c>
      <c r="C1410">
        <v>422141.0723</v>
      </c>
      <c r="D1410" t="s">
        <v>212</v>
      </c>
      <c r="E1410">
        <v>2017</v>
      </c>
      <c r="F1410">
        <v>12</v>
      </c>
    </row>
    <row r="1411" spans="1:6" x14ac:dyDescent="0.55000000000000004">
      <c r="A1411" t="s">
        <v>86</v>
      </c>
      <c r="B1411" t="s">
        <v>33</v>
      </c>
      <c r="C1411">
        <v>473844.42570000002</v>
      </c>
      <c r="D1411" t="s">
        <v>212</v>
      </c>
      <c r="E1411">
        <v>2017</v>
      </c>
      <c r="F1411">
        <v>12</v>
      </c>
    </row>
    <row r="1412" spans="1:6" x14ac:dyDescent="0.55000000000000004">
      <c r="A1412" t="s">
        <v>86</v>
      </c>
      <c r="B1412" t="s">
        <v>34</v>
      </c>
      <c r="C1412">
        <v>546736.39740000002</v>
      </c>
      <c r="D1412" t="s">
        <v>212</v>
      </c>
      <c r="E1412">
        <v>2017</v>
      </c>
      <c r="F1412">
        <v>12</v>
      </c>
    </row>
    <row r="1413" spans="1:6" x14ac:dyDescent="0.55000000000000004">
      <c r="A1413" t="s">
        <v>86</v>
      </c>
      <c r="B1413" t="s">
        <v>35</v>
      </c>
      <c r="C1413">
        <v>121.256</v>
      </c>
      <c r="D1413" t="s">
        <v>212</v>
      </c>
      <c r="E1413">
        <v>2017</v>
      </c>
      <c r="F1413">
        <v>12</v>
      </c>
    </row>
    <row r="1414" spans="1:6" x14ac:dyDescent="0.55000000000000004">
      <c r="A1414" t="s">
        <v>86</v>
      </c>
      <c r="B1414" t="s">
        <v>36</v>
      </c>
      <c r="C1414">
        <v>44153.7</v>
      </c>
      <c r="D1414" t="s">
        <v>212</v>
      </c>
      <c r="E1414">
        <v>2017</v>
      </c>
      <c r="F1414">
        <v>12</v>
      </c>
    </row>
    <row r="1415" spans="1:6" x14ac:dyDescent="0.55000000000000004">
      <c r="A1415" t="s">
        <v>86</v>
      </c>
      <c r="B1415" t="s">
        <v>37</v>
      </c>
      <c r="C1415">
        <v>17721.135300000002</v>
      </c>
      <c r="D1415" t="s">
        <v>212</v>
      </c>
      <c r="E1415">
        <v>2017</v>
      </c>
      <c r="F1415">
        <v>12</v>
      </c>
    </row>
    <row r="1416" spans="1:6" x14ac:dyDescent="0.55000000000000004">
      <c r="A1416" t="s">
        <v>86</v>
      </c>
      <c r="B1416" t="s">
        <v>38</v>
      </c>
      <c r="C1416">
        <v>0</v>
      </c>
      <c r="D1416" t="s">
        <v>212</v>
      </c>
      <c r="E1416">
        <v>2017</v>
      </c>
      <c r="F1416">
        <v>12</v>
      </c>
    </row>
    <row r="1417" spans="1:6" x14ac:dyDescent="0.55000000000000004">
      <c r="A1417" t="s">
        <v>86</v>
      </c>
      <c r="B1417" t="s">
        <v>39</v>
      </c>
      <c r="C1417">
        <v>1829.36</v>
      </c>
      <c r="D1417" t="s">
        <v>212</v>
      </c>
      <c r="E1417">
        <v>2017</v>
      </c>
      <c r="F1417">
        <v>12</v>
      </c>
    </row>
    <row r="1418" spans="1:6" x14ac:dyDescent="0.55000000000000004">
      <c r="A1418" t="s">
        <v>86</v>
      </c>
      <c r="B1418" t="s">
        <v>40</v>
      </c>
      <c r="C1418">
        <v>1007.3801</v>
      </c>
      <c r="D1418" t="s">
        <v>212</v>
      </c>
      <c r="E1418">
        <v>2017</v>
      </c>
      <c r="F1418">
        <v>12</v>
      </c>
    </row>
    <row r="1419" spans="1:6" x14ac:dyDescent="0.55000000000000004">
      <c r="A1419" t="s">
        <v>86</v>
      </c>
      <c r="B1419" t="s">
        <v>41</v>
      </c>
      <c r="C1419">
        <v>226543.71419999999</v>
      </c>
      <c r="D1419" t="s">
        <v>212</v>
      </c>
      <c r="E1419">
        <v>2017</v>
      </c>
      <c r="F1419">
        <v>12</v>
      </c>
    </row>
    <row r="1420" spans="1:6" x14ac:dyDescent="0.55000000000000004">
      <c r="A1420" t="s">
        <v>86</v>
      </c>
      <c r="B1420" t="s">
        <v>42</v>
      </c>
      <c r="C1420">
        <v>23.4208</v>
      </c>
      <c r="D1420" t="s">
        <v>212</v>
      </c>
      <c r="E1420">
        <v>2017</v>
      </c>
      <c r="F1420">
        <v>12</v>
      </c>
    </row>
    <row r="1421" spans="1:6" x14ac:dyDescent="0.55000000000000004">
      <c r="A1421" t="s">
        <v>86</v>
      </c>
      <c r="B1421" t="s">
        <v>43</v>
      </c>
      <c r="C1421">
        <v>84895.585000000006</v>
      </c>
      <c r="D1421" t="s">
        <v>212</v>
      </c>
      <c r="E1421">
        <v>2017</v>
      </c>
      <c r="F1421">
        <v>12</v>
      </c>
    </row>
    <row r="1422" spans="1:6" x14ac:dyDescent="0.55000000000000004">
      <c r="A1422" t="s">
        <v>86</v>
      </c>
      <c r="B1422" t="s">
        <v>44</v>
      </c>
      <c r="C1422">
        <v>0</v>
      </c>
      <c r="D1422" t="s">
        <v>212</v>
      </c>
      <c r="E1422">
        <v>2017</v>
      </c>
      <c r="F1422">
        <v>12</v>
      </c>
    </row>
    <row r="1423" spans="1:6" x14ac:dyDescent="0.55000000000000004">
      <c r="A1423" t="s">
        <v>86</v>
      </c>
      <c r="B1423" t="s">
        <v>45</v>
      </c>
      <c r="C1423">
        <v>1679.0735</v>
      </c>
      <c r="D1423" t="s">
        <v>212</v>
      </c>
      <c r="E1423">
        <v>2017</v>
      </c>
      <c r="F1423">
        <v>12</v>
      </c>
    </row>
    <row r="1424" spans="1:6" x14ac:dyDescent="0.55000000000000004">
      <c r="A1424" t="s">
        <v>86</v>
      </c>
      <c r="B1424" t="s">
        <v>46</v>
      </c>
      <c r="C1424">
        <v>47930.7</v>
      </c>
      <c r="D1424" t="s">
        <v>212</v>
      </c>
      <c r="E1424">
        <v>2017</v>
      </c>
      <c r="F1424">
        <v>12</v>
      </c>
    </row>
    <row r="1425" spans="1:6" x14ac:dyDescent="0.55000000000000004">
      <c r="A1425" t="s">
        <v>86</v>
      </c>
      <c r="B1425" t="s">
        <v>47</v>
      </c>
      <c r="C1425">
        <v>0</v>
      </c>
      <c r="D1425" t="s">
        <v>212</v>
      </c>
      <c r="E1425">
        <v>2017</v>
      </c>
      <c r="F1425">
        <v>12</v>
      </c>
    </row>
    <row r="1426" spans="1:6" x14ac:dyDescent="0.55000000000000004">
      <c r="A1426" t="s">
        <v>86</v>
      </c>
      <c r="B1426" t="s">
        <v>48</v>
      </c>
      <c r="C1426">
        <v>470600</v>
      </c>
      <c r="D1426" t="s">
        <v>212</v>
      </c>
      <c r="E1426">
        <v>2017</v>
      </c>
      <c r="F1426">
        <v>12</v>
      </c>
    </row>
    <row r="1427" spans="1:6" x14ac:dyDescent="0.55000000000000004">
      <c r="A1427" t="s">
        <v>86</v>
      </c>
      <c r="B1427" t="s">
        <v>49</v>
      </c>
      <c r="C1427">
        <v>165.2278</v>
      </c>
      <c r="D1427" t="s">
        <v>212</v>
      </c>
      <c r="E1427">
        <v>2017</v>
      </c>
      <c r="F1427">
        <v>12</v>
      </c>
    </row>
    <row r="1428" spans="1:6" x14ac:dyDescent="0.55000000000000004">
      <c r="A1428" t="s">
        <v>86</v>
      </c>
      <c r="B1428" t="s">
        <v>50</v>
      </c>
      <c r="C1428">
        <v>26363.9113</v>
      </c>
      <c r="D1428" t="s">
        <v>212</v>
      </c>
      <c r="E1428">
        <v>2017</v>
      </c>
      <c r="F1428">
        <v>12</v>
      </c>
    </row>
    <row r="1429" spans="1:6" x14ac:dyDescent="0.55000000000000004">
      <c r="A1429" t="s">
        <v>86</v>
      </c>
      <c r="B1429" t="s">
        <v>51</v>
      </c>
      <c r="C1429">
        <v>1453.3776</v>
      </c>
      <c r="D1429" t="s">
        <v>212</v>
      </c>
      <c r="E1429">
        <v>2017</v>
      </c>
      <c r="F1429">
        <v>12</v>
      </c>
    </row>
    <row r="1430" spans="1:6" x14ac:dyDescent="0.55000000000000004">
      <c r="A1430" t="s">
        <v>86</v>
      </c>
      <c r="B1430" t="s">
        <v>52</v>
      </c>
      <c r="C1430">
        <v>107.7713</v>
      </c>
      <c r="D1430" t="s">
        <v>212</v>
      </c>
      <c r="E1430">
        <v>2017</v>
      </c>
      <c r="F1430">
        <v>12</v>
      </c>
    </row>
    <row r="1431" spans="1:6" x14ac:dyDescent="0.55000000000000004">
      <c r="A1431" t="s">
        <v>86</v>
      </c>
      <c r="B1431" t="s">
        <v>53</v>
      </c>
      <c r="C1431">
        <v>53694.05</v>
      </c>
      <c r="D1431" t="s">
        <v>212</v>
      </c>
      <c r="E1431">
        <v>2017</v>
      </c>
      <c r="F1431">
        <v>12</v>
      </c>
    </row>
    <row r="1432" spans="1:6" x14ac:dyDescent="0.55000000000000004">
      <c r="A1432" t="s">
        <v>86</v>
      </c>
      <c r="B1432" t="s">
        <v>54</v>
      </c>
      <c r="C1432">
        <v>11507.1757</v>
      </c>
      <c r="D1432" t="s">
        <v>212</v>
      </c>
      <c r="E1432">
        <v>2017</v>
      </c>
      <c r="F1432">
        <v>12</v>
      </c>
    </row>
    <row r="1433" spans="1:6" x14ac:dyDescent="0.55000000000000004">
      <c r="A1433" t="s">
        <v>86</v>
      </c>
      <c r="B1433" t="s">
        <v>55</v>
      </c>
      <c r="C1433">
        <v>4562.7214000000004</v>
      </c>
      <c r="D1433" t="s">
        <v>212</v>
      </c>
      <c r="E1433">
        <v>2017</v>
      </c>
      <c r="F1433">
        <v>12</v>
      </c>
    </row>
    <row r="1434" spans="1:6" x14ac:dyDescent="0.55000000000000004">
      <c r="A1434" t="s">
        <v>86</v>
      </c>
      <c r="B1434" t="s">
        <v>56</v>
      </c>
      <c r="C1434">
        <v>276</v>
      </c>
      <c r="D1434" t="s">
        <v>212</v>
      </c>
      <c r="E1434">
        <v>2017</v>
      </c>
      <c r="F1434">
        <v>12</v>
      </c>
    </row>
    <row r="1435" spans="1:6" x14ac:dyDescent="0.55000000000000004">
      <c r="A1435" t="s">
        <v>86</v>
      </c>
      <c r="B1435" t="s">
        <v>57</v>
      </c>
      <c r="C1435">
        <v>59.089500000000001</v>
      </c>
      <c r="D1435" t="s">
        <v>212</v>
      </c>
      <c r="E1435">
        <v>2017</v>
      </c>
      <c r="F1435">
        <v>12</v>
      </c>
    </row>
    <row r="1436" spans="1:6" x14ac:dyDescent="0.55000000000000004">
      <c r="A1436" t="s">
        <v>86</v>
      </c>
      <c r="B1436" t="s">
        <v>58</v>
      </c>
      <c r="C1436">
        <v>386217</v>
      </c>
      <c r="D1436" t="s">
        <v>212</v>
      </c>
      <c r="E1436">
        <v>2017</v>
      </c>
      <c r="F1436">
        <v>12</v>
      </c>
    </row>
    <row r="1437" spans="1:6" x14ac:dyDescent="0.55000000000000004">
      <c r="A1437" t="s">
        <v>86</v>
      </c>
      <c r="B1437" t="s">
        <v>59</v>
      </c>
      <c r="C1437">
        <v>0</v>
      </c>
      <c r="D1437" t="s">
        <v>212</v>
      </c>
      <c r="E1437">
        <v>2017</v>
      </c>
      <c r="F1437">
        <v>12</v>
      </c>
    </row>
    <row r="1438" spans="1:6" x14ac:dyDescent="0.55000000000000004">
      <c r="A1438" t="s">
        <v>86</v>
      </c>
      <c r="B1438" t="s">
        <v>60</v>
      </c>
      <c r="C1438">
        <v>2373193.1161000002</v>
      </c>
      <c r="D1438" t="s">
        <v>212</v>
      </c>
      <c r="E1438">
        <v>2017</v>
      </c>
      <c r="F1438">
        <v>12</v>
      </c>
    </row>
    <row r="1439" spans="1:6" x14ac:dyDescent="0.55000000000000004">
      <c r="A1439" t="s">
        <v>86</v>
      </c>
      <c r="B1439" t="s">
        <v>61</v>
      </c>
      <c r="C1439">
        <v>3834.5520000000001</v>
      </c>
      <c r="D1439" t="s">
        <v>212</v>
      </c>
      <c r="E1439">
        <v>2017</v>
      </c>
      <c r="F1439">
        <v>12</v>
      </c>
    </row>
    <row r="1440" spans="1:6" x14ac:dyDescent="0.55000000000000004">
      <c r="A1440" t="s">
        <v>86</v>
      </c>
      <c r="B1440" t="s">
        <v>62</v>
      </c>
      <c r="C1440">
        <v>2760.3789999999999</v>
      </c>
      <c r="D1440" t="s">
        <v>212</v>
      </c>
      <c r="E1440">
        <v>2017</v>
      </c>
      <c r="F1440">
        <v>12</v>
      </c>
    </row>
    <row r="1441" spans="1:6" x14ac:dyDescent="0.55000000000000004">
      <c r="A1441" t="s">
        <v>86</v>
      </c>
      <c r="B1441" t="s">
        <v>63</v>
      </c>
      <c r="C1441">
        <v>467.6</v>
      </c>
      <c r="D1441" t="s">
        <v>212</v>
      </c>
      <c r="E1441">
        <v>2017</v>
      </c>
      <c r="F1441">
        <v>12</v>
      </c>
    </row>
    <row r="1442" spans="1:6" x14ac:dyDescent="0.55000000000000004">
      <c r="A1442" t="s">
        <v>87</v>
      </c>
      <c r="B1442" t="s">
        <v>4</v>
      </c>
      <c r="C1442">
        <v>10915290.652100001</v>
      </c>
      <c r="D1442" t="s">
        <v>213</v>
      </c>
      <c r="E1442">
        <v>2018</v>
      </c>
      <c r="F1442">
        <v>1</v>
      </c>
    </row>
    <row r="1443" spans="1:6" x14ac:dyDescent="0.55000000000000004">
      <c r="A1443" t="s">
        <v>87</v>
      </c>
      <c r="B1443" t="s">
        <v>5</v>
      </c>
      <c r="C1443">
        <v>1145796.8918000001</v>
      </c>
      <c r="D1443" t="s">
        <v>213</v>
      </c>
      <c r="E1443">
        <v>2018</v>
      </c>
      <c r="F1443">
        <v>1</v>
      </c>
    </row>
    <row r="1444" spans="1:6" x14ac:dyDescent="0.55000000000000004">
      <c r="A1444" t="s">
        <v>87</v>
      </c>
      <c r="B1444" t="s">
        <v>6</v>
      </c>
      <c r="C1444">
        <v>2286049.5998</v>
      </c>
      <c r="D1444" t="s">
        <v>213</v>
      </c>
      <c r="E1444">
        <v>2018</v>
      </c>
      <c r="F1444">
        <v>1</v>
      </c>
    </row>
    <row r="1445" spans="1:6" x14ac:dyDescent="0.55000000000000004">
      <c r="A1445" t="s">
        <v>87</v>
      </c>
      <c r="B1445" t="s">
        <v>7</v>
      </c>
      <c r="C1445">
        <v>2954327.3705000002</v>
      </c>
      <c r="D1445" t="s">
        <v>213</v>
      </c>
      <c r="E1445">
        <v>2018</v>
      </c>
      <c r="F1445">
        <v>1</v>
      </c>
    </row>
    <row r="1446" spans="1:6" x14ac:dyDescent="0.55000000000000004">
      <c r="A1446" t="s">
        <v>87</v>
      </c>
      <c r="B1446" t="s">
        <v>8</v>
      </c>
      <c r="C1446">
        <v>4529116.79</v>
      </c>
      <c r="D1446" t="s">
        <v>213</v>
      </c>
      <c r="E1446">
        <v>2018</v>
      </c>
      <c r="F1446">
        <v>1</v>
      </c>
    </row>
    <row r="1447" spans="1:6" x14ac:dyDescent="0.55000000000000004">
      <c r="A1447" t="s">
        <v>87</v>
      </c>
      <c r="B1447" t="s">
        <v>9</v>
      </c>
      <c r="C1447">
        <v>0</v>
      </c>
      <c r="D1447" t="s">
        <v>213</v>
      </c>
      <c r="E1447">
        <v>2018</v>
      </c>
      <c r="F1447">
        <v>1</v>
      </c>
    </row>
    <row r="1448" spans="1:6" x14ac:dyDescent="0.55000000000000004">
      <c r="A1448" t="s">
        <v>87</v>
      </c>
      <c r="B1448" t="s">
        <v>10</v>
      </c>
      <c r="C1448">
        <v>2992.81</v>
      </c>
      <c r="D1448" t="s">
        <v>213</v>
      </c>
      <c r="E1448">
        <v>2018</v>
      </c>
      <c r="F1448">
        <v>1</v>
      </c>
    </row>
    <row r="1449" spans="1:6" x14ac:dyDescent="0.55000000000000004">
      <c r="A1449" t="s">
        <v>87</v>
      </c>
      <c r="B1449" t="s">
        <v>11</v>
      </c>
      <c r="C1449">
        <v>2719936.3846</v>
      </c>
      <c r="D1449" t="s">
        <v>213</v>
      </c>
      <c r="E1449">
        <v>2018</v>
      </c>
      <c r="F1449">
        <v>1</v>
      </c>
    </row>
    <row r="1450" spans="1:6" x14ac:dyDescent="0.55000000000000004">
      <c r="A1450" t="s">
        <v>87</v>
      </c>
      <c r="B1450" t="s">
        <v>12</v>
      </c>
      <c r="C1450">
        <v>43997.533300000003</v>
      </c>
      <c r="D1450" t="s">
        <v>213</v>
      </c>
      <c r="E1450">
        <v>2018</v>
      </c>
      <c r="F1450">
        <v>1</v>
      </c>
    </row>
    <row r="1451" spans="1:6" x14ac:dyDescent="0.55000000000000004">
      <c r="A1451" t="s">
        <v>87</v>
      </c>
      <c r="B1451" t="s">
        <v>13</v>
      </c>
      <c r="C1451">
        <v>34715</v>
      </c>
      <c r="D1451" t="s">
        <v>213</v>
      </c>
      <c r="E1451">
        <v>2018</v>
      </c>
      <c r="F1451">
        <v>1</v>
      </c>
    </row>
    <row r="1452" spans="1:6" x14ac:dyDescent="0.55000000000000004">
      <c r="A1452" t="s">
        <v>87</v>
      </c>
      <c r="B1452" t="s">
        <v>14</v>
      </c>
      <c r="C1452">
        <v>2418</v>
      </c>
      <c r="D1452" t="s">
        <v>213</v>
      </c>
      <c r="E1452">
        <v>2018</v>
      </c>
      <c r="F1452">
        <v>1</v>
      </c>
    </row>
    <row r="1453" spans="1:6" x14ac:dyDescent="0.55000000000000004">
      <c r="A1453" t="s">
        <v>87</v>
      </c>
      <c r="B1453" t="s">
        <v>15</v>
      </c>
      <c r="C1453">
        <v>1057220.3341000001</v>
      </c>
      <c r="D1453" t="s">
        <v>213</v>
      </c>
      <c r="E1453">
        <v>2018</v>
      </c>
      <c r="F1453">
        <v>1</v>
      </c>
    </row>
    <row r="1454" spans="1:6" x14ac:dyDescent="0.55000000000000004">
      <c r="A1454" t="s">
        <v>87</v>
      </c>
      <c r="B1454" t="s">
        <v>16</v>
      </c>
      <c r="C1454">
        <v>0</v>
      </c>
      <c r="D1454" t="s">
        <v>213</v>
      </c>
      <c r="E1454">
        <v>2018</v>
      </c>
      <c r="F1454">
        <v>1</v>
      </c>
    </row>
    <row r="1455" spans="1:6" x14ac:dyDescent="0.55000000000000004">
      <c r="A1455" t="s">
        <v>87</v>
      </c>
      <c r="B1455" t="s">
        <v>17</v>
      </c>
      <c r="C1455">
        <v>73963.429900000003</v>
      </c>
      <c r="D1455" t="s">
        <v>213</v>
      </c>
      <c r="E1455">
        <v>2018</v>
      </c>
      <c r="F1455">
        <v>1</v>
      </c>
    </row>
    <row r="1456" spans="1:6" x14ac:dyDescent="0.55000000000000004">
      <c r="A1456" t="s">
        <v>87</v>
      </c>
      <c r="B1456" t="s">
        <v>18</v>
      </c>
      <c r="C1456">
        <v>75776.399999999994</v>
      </c>
      <c r="D1456" t="s">
        <v>213</v>
      </c>
      <c r="E1456">
        <v>2018</v>
      </c>
      <c r="F1456">
        <v>1</v>
      </c>
    </row>
    <row r="1457" spans="1:6" x14ac:dyDescent="0.55000000000000004">
      <c r="A1457" t="s">
        <v>87</v>
      </c>
      <c r="B1457" t="s">
        <v>19</v>
      </c>
      <c r="C1457">
        <v>1577.2137</v>
      </c>
      <c r="D1457" t="s">
        <v>213</v>
      </c>
      <c r="E1457">
        <v>2018</v>
      </c>
      <c r="F1457">
        <v>1</v>
      </c>
    </row>
    <row r="1458" spans="1:6" x14ac:dyDescent="0.55000000000000004">
      <c r="A1458" t="s">
        <v>87</v>
      </c>
      <c r="B1458" t="s">
        <v>20</v>
      </c>
      <c r="C1458">
        <v>13330</v>
      </c>
      <c r="D1458" t="s">
        <v>213</v>
      </c>
      <c r="E1458">
        <v>2018</v>
      </c>
      <c r="F1458">
        <v>1</v>
      </c>
    </row>
    <row r="1459" spans="1:6" x14ac:dyDescent="0.55000000000000004">
      <c r="A1459" t="s">
        <v>87</v>
      </c>
      <c r="B1459" t="s">
        <v>21</v>
      </c>
      <c r="C1459">
        <v>1175.0018</v>
      </c>
      <c r="D1459" t="s">
        <v>213</v>
      </c>
      <c r="E1459">
        <v>2018</v>
      </c>
      <c r="F1459">
        <v>1</v>
      </c>
    </row>
    <row r="1460" spans="1:6" x14ac:dyDescent="0.55000000000000004">
      <c r="A1460" t="s">
        <v>87</v>
      </c>
      <c r="B1460" t="s">
        <v>22</v>
      </c>
      <c r="C1460">
        <v>51427.406799999997</v>
      </c>
      <c r="D1460" t="s">
        <v>213</v>
      </c>
      <c r="E1460">
        <v>2018</v>
      </c>
      <c r="F1460">
        <v>1</v>
      </c>
    </row>
    <row r="1461" spans="1:6" x14ac:dyDescent="0.55000000000000004">
      <c r="A1461" t="s">
        <v>87</v>
      </c>
      <c r="B1461" t="s">
        <v>23</v>
      </c>
      <c r="C1461">
        <v>20526.649700000002</v>
      </c>
      <c r="D1461" t="s">
        <v>213</v>
      </c>
      <c r="E1461">
        <v>2018</v>
      </c>
      <c r="F1461">
        <v>1</v>
      </c>
    </row>
    <row r="1462" spans="1:6" x14ac:dyDescent="0.55000000000000004">
      <c r="A1462" t="s">
        <v>87</v>
      </c>
      <c r="B1462" t="s">
        <v>24</v>
      </c>
      <c r="C1462">
        <v>2.34</v>
      </c>
      <c r="D1462" t="s">
        <v>213</v>
      </c>
      <c r="E1462">
        <v>2018</v>
      </c>
      <c r="F1462">
        <v>1</v>
      </c>
    </row>
    <row r="1463" spans="1:6" x14ac:dyDescent="0.55000000000000004">
      <c r="A1463" t="s">
        <v>87</v>
      </c>
      <c r="B1463" t="s">
        <v>25</v>
      </c>
      <c r="C1463">
        <v>233825.93340000001</v>
      </c>
      <c r="D1463" t="s">
        <v>213</v>
      </c>
      <c r="E1463">
        <v>2018</v>
      </c>
      <c r="F1463">
        <v>1</v>
      </c>
    </row>
    <row r="1464" spans="1:6" x14ac:dyDescent="0.55000000000000004">
      <c r="A1464" t="s">
        <v>87</v>
      </c>
      <c r="B1464" t="s">
        <v>26</v>
      </c>
      <c r="C1464">
        <v>0.85</v>
      </c>
      <c r="D1464" t="s">
        <v>213</v>
      </c>
      <c r="E1464">
        <v>2018</v>
      </c>
      <c r="F1464">
        <v>1</v>
      </c>
    </row>
    <row r="1465" spans="1:6" x14ac:dyDescent="0.55000000000000004">
      <c r="A1465" t="s">
        <v>87</v>
      </c>
      <c r="B1465" t="s">
        <v>27</v>
      </c>
      <c r="C1465">
        <v>1149.4079999999999</v>
      </c>
      <c r="D1465" t="s">
        <v>213</v>
      </c>
      <c r="E1465">
        <v>2018</v>
      </c>
      <c r="F1465">
        <v>1</v>
      </c>
    </row>
    <row r="1466" spans="1:6" x14ac:dyDescent="0.55000000000000004">
      <c r="A1466" t="s">
        <v>87</v>
      </c>
      <c r="B1466" t="s">
        <v>28</v>
      </c>
      <c r="C1466">
        <v>231262.8524</v>
      </c>
      <c r="D1466" t="s">
        <v>213</v>
      </c>
      <c r="E1466">
        <v>2018</v>
      </c>
      <c r="F1466">
        <v>1</v>
      </c>
    </row>
    <row r="1467" spans="1:6" x14ac:dyDescent="0.55000000000000004">
      <c r="A1467" t="s">
        <v>87</v>
      </c>
      <c r="B1467" t="s">
        <v>29</v>
      </c>
      <c r="C1467">
        <v>13125.6922</v>
      </c>
      <c r="D1467" t="s">
        <v>213</v>
      </c>
      <c r="E1467">
        <v>2018</v>
      </c>
      <c r="F1467">
        <v>1</v>
      </c>
    </row>
    <row r="1468" spans="1:6" x14ac:dyDescent="0.55000000000000004">
      <c r="A1468" t="s">
        <v>87</v>
      </c>
      <c r="B1468" t="s">
        <v>30</v>
      </c>
      <c r="C1468">
        <v>0</v>
      </c>
      <c r="D1468" t="s">
        <v>213</v>
      </c>
      <c r="E1468">
        <v>2018</v>
      </c>
      <c r="F1468">
        <v>1</v>
      </c>
    </row>
    <row r="1469" spans="1:6" x14ac:dyDescent="0.55000000000000004">
      <c r="A1469" t="s">
        <v>87</v>
      </c>
      <c r="B1469" t="s">
        <v>31</v>
      </c>
      <c r="C1469">
        <v>6.3308</v>
      </c>
      <c r="D1469" t="s">
        <v>213</v>
      </c>
      <c r="E1469">
        <v>2018</v>
      </c>
      <c r="F1469">
        <v>1</v>
      </c>
    </row>
    <row r="1470" spans="1:6" x14ac:dyDescent="0.55000000000000004">
      <c r="A1470" t="s">
        <v>87</v>
      </c>
      <c r="B1470" t="s">
        <v>32</v>
      </c>
      <c r="C1470">
        <v>887642.73369999998</v>
      </c>
      <c r="D1470" t="s">
        <v>213</v>
      </c>
      <c r="E1470">
        <v>2018</v>
      </c>
      <c r="F1470">
        <v>1</v>
      </c>
    </row>
    <row r="1471" spans="1:6" x14ac:dyDescent="0.55000000000000004">
      <c r="A1471" t="s">
        <v>87</v>
      </c>
      <c r="B1471" t="s">
        <v>33</v>
      </c>
      <c r="C1471">
        <v>417358.20600000001</v>
      </c>
      <c r="D1471" t="s">
        <v>213</v>
      </c>
      <c r="E1471">
        <v>2018</v>
      </c>
      <c r="F1471">
        <v>1</v>
      </c>
    </row>
    <row r="1472" spans="1:6" x14ac:dyDescent="0.55000000000000004">
      <c r="A1472" t="s">
        <v>87</v>
      </c>
      <c r="B1472" t="s">
        <v>34</v>
      </c>
      <c r="C1472">
        <v>444952.26539999997</v>
      </c>
      <c r="D1472" t="s">
        <v>213</v>
      </c>
      <c r="E1472">
        <v>2018</v>
      </c>
      <c r="F1472">
        <v>1</v>
      </c>
    </row>
    <row r="1473" spans="1:6" x14ac:dyDescent="0.55000000000000004">
      <c r="A1473" t="s">
        <v>87</v>
      </c>
      <c r="B1473" t="s">
        <v>35</v>
      </c>
      <c r="C1473">
        <v>390.22199999999998</v>
      </c>
      <c r="D1473" t="s">
        <v>213</v>
      </c>
      <c r="E1473">
        <v>2018</v>
      </c>
      <c r="F1473">
        <v>1</v>
      </c>
    </row>
    <row r="1474" spans="1:6" x14ac:dyDescent="0.55000000000000004">
      <c r="A1474" t="s">
        <v>87</v>
      </c>
      <c r="B1474" t="s">
        <v>36</v>
      </c>
      <c r="C1474">
        <v>33721.666700000002</v>
      </c>
      <c r="D1474" t="s">
        <v>213</v>
      </c>
      <c r="E1474">
        <v>2018</v>
      </c>
      <c r="F1474">
        <v>1</v>
      </c>
    </row>
    <row r="1475" spans="1:6" x14ac:dyDescent="0.55000000000000004">
      <c r="A1475" t="s">
        <v>87</v>
      </c>
      <c r="B1475" t="s">
        <v>37</v>
      </c>
      <c r="C1475">
        <v>15802.5108</v>
      </c>
      <c r="D1475" t="s">
        <v>213</v>
      </c>
      <c r="E1475">
        <v>2018</v>
      </c>
      <c r="F1475">
        <v>1</v>
      </c>
    </row>
    <row r="1476" spans="1:6" x14ac:dyDescent="0.55000000000000004">
      <c r="A1476" t="s">
        <v>87</v>
      </c>
      <c r="B1476" t="s">
        <v>38</v>
      </c>
      <c r="C1476">
        <v>0</v>
      </c>
      <c r="D1476" t="s">
        <v>213</v>
      </c>
      <c r="E1476">
        <v>2018</v>
      </c>
      <c r="F1476">
        <v>1</v>
      </c>
    </row>
    <row r="1477" spans="1:6" x14ac:dyDescent="0.55000000000000004">
      <c r="A1477" t="s">
        <v>87</v>
      </c>
      <c r="B1477" t="s">
        <v>39</v>
      </c>
      <c r="C1477">
        <v>1388.65</v>
      </c>
      <c r="D1477" t="s">
        <v>213</v>
      </c>
      <c r="E1477">
        <v>2018</v>
      </c>
      <c r="F1477">
        <v>1</v>
      </c>
    </row>
    <row r="1478" spans="1:6" x14ac:dyDescent="0.55000000000000004">
      <c r="A1478" t="s">
        <v>87</v>
      </c>
      <c r="B1478" t="s">
        <v>40</v>
      </c>
      <c r="C1478">
        <v>2707.5117</v>
      </c>
      <c r="D1478" t="s">
        <v>213</v>
      </c>
      <c r="E1478">
        <v>2018</v>
      </c>
      <c r="F1478">
        <v>1</v>
      </c>
    </row>
    <row r="1479" spans="1:6" x14ac:dyDescent="0.55000000000000004">
      <c r="A1479" t="s">
        <v>87</v>
      </c>
      <c r="B1479" t="s">
        <v>41</v>
      </c>
      <c r="C1479">
        <v>230831.23449999999</v>
      </c>
      <c r="D1479" t="s">
        <v>213</v>
      </c>
      <c r="E1479">
        <v>2018</v>
      </c>
      <c r="F1479">
        <v>1</v>
      </c>
    </row>
    <row r="1480" spans="1:6" x14ac:dyDescent="0.55000000000000004">
      <c r="A1480" t="s">
        <v>87</v>
      </c>
      <c r="B1480" t="s">
        <v>42</v>
      </c>
      <c r="C1480">
        <v>71.869699999999995</v>
      </c>
      <c r="D1480" t="s">
        <v>213</v>
      </c>
      <c r="E1480">
        <v>2018</v>
      </c>
      <c r="F1480">
        <v>1</v>
      </c>
    </row>
    <row r="1481" spans="1:6" x14ac:dyDescent="0.55000000000000004">
      <c r="A1481" t="s">
        <v>87</v>
      </c>
      <c r="B1481" t="s">
        <v>43</v>
      </c>
      <c r="C1481">
        <v>147865.5184</v>
      </c>
      <c r="D1481" t="s">
        <v>213</v>
      </c>
      <c r="E1481">
        <v>2018</v>
      </c>
      <c r="F1481">
        <v>1</v>
      </c>
    </row>
    <row r="1482" spans="1:6" x14ac:dyDescent="0.55000000000000004">
      <c r="A1482" t="s">
        <v>87</v>
      </c>
      <c r="B1482" t="s">
        <v>44</v>
      </c>
      <c r="C1482">
        <v>0</v>
      </c>
      <c r="D1482" t="s">
        <v>213</v>
      </c>
      <c r="E1482">
        <v>2018</v>
      </c>
      <c r="F1482">
        <v>1</v>
      </c>
    </row>
    <row r="1483" spans="1:6" x14ac:dyDescent="0.55000000000000004">
      <c r="A1483" t="s">
        <v>87</v>
      </c>
      <c r="B1483" t="s">
        <v>45</v>
      </c>
      <c r="C1483">
        <v>2151.6882000000001</v>
      </c>
      <c r="D1483" t="s">
        <v>213</v>
      </c>
      <c r="E1483">
        <v>2018</v>
      </c>
      <c r="F1483">
        <v>1</v>
      </c>
    </row>
    <row r="1484" spans="1:6" x14ac:dyDescent="0.55000000000000004">
      <c r="A1484" t="s">
        <v>87</v>
      </c>
      <c r="B1484" t="s">
        <v>46</v>
      </c>
      <c r="C1484">
        <v>29221.974999999999</v>
      </c>
      <c r="D1484" t="s">
        <v>213</v>
      </c>
      <c r="E1484">
        <v>2018</v>
      </c>
      <c r="F1484">
        <v>1</v>
      </c>
    </row>
    <row r="1485" spans="1:6" x14ac:dyDescent="0.55000000000000004">
      <c r="A1485" t="s">
        <v>87</v>
      </c>
      <c r="B1485" t="s">
        <v>47</v>
      </c>
      <c r="C1485">
        <v>0</v>
      </c>
      <c r="D1485" t="s">
        <v>213</v>
      </c>
      <c r="E1485">
        <v>2018</v>
      </c>
      <c r="F1485">
        <v>1</v>
      </c>
    </row>
    <row r="1486" spans="1:6" x14ac:dyDescent="0.55000000000000004">
      <c r="A1486" t="s">
        <v>87</v>
      </c>
      <c r="B1486" t="s">
        <v>48</v>
      </c>
      <c r="C1486">
        <v>258221.5</v>
      </c>
      <c r="D1486" t="s">
        <v>213</v>
      </c>
      <c r="E1486">
        <v>2018</v>
      </c>
      <c r="F1486">
        <v>1</v>
      </c>
    </row>
    <row r="1487" spans="1:6" x14ac:dyDescent="0.55000000000000004">
      <c r="A1487" t="s">
        <v>87</v>
      </c>
      <c r="B1487" t="s">
        <v>49</v>
      </c>
      <c r="C1487">
        <v>19.649999999999999</v>
      </c>
      <c r="D1487" t="s">
        <v>213</v>
      </c>
      <c r="E1487">
        <v>2018</v>
      </c>
      <c r="F1487">
        <v>1</v>
      </c>
    </row>
    <row r="1488" spans="1:6" x14ac:dyDescent="0.55000000000000004">
      <c r="A1488" t="s">
        <v>87</v>
      </c>
      <c r="B1488" t="s">
        <v>50</v>
      </c>
      <c r="C1488">
        <v>20762.495699999999</v>
      </c>
      <c r="D1488" t="s">
        <v>213</v>
      </c>
      <c r="E1488">
        <v>2018</v>
      </c>
      <c r="F1488">
        <v>1</v>
      </c>
    </row>
    <row r="1489" spans="1:6" x14ac:dyDescent="0.55000000000000004">
      <c r="A1489" t="s">
        <v>87</v>
      </c>
      <c r="B1489" t="s">
        <v>51</v>
      </c>
      <c r="C1489">
        <v>1042.6972000000001</v>
      </c>
      <c r="D1489" t="s">
        <v>213</v>
      </c>
      <c r="E1489">
        <v>2018</v>
      </c>
      <c r="F1489">
        <v>1</v>
      </c>
    </row>
    <row r="1490" spans="1:6" x14ac:dyDescent="0.55000000000000004">
      <c r="A1490" t="s">
        <v>87</v>
      </c>
      <c r="B1490" t="s">
        <v>52</v>
      </c>
      <c r="C1490">
        <v>352.27080000000001</v>
      </c>
      <c r="D1490" t="s">
        <v>213</v>
      </c>
      <c r="E1490">
        <v>2018</v>
      </c>
      <c r="F1490">
        <v>1</v>
      </c>
    </row>
    <row r="1491" spans="1:6" x14ac:dyDescent="0.55000000000000004">
      <c r="A1491" t="s">
        <v>87</v>
      </c>
      <c r="B1491" t="s">
        <v>53</v>
      </c>
      <c r="C1491">
        <v>66318.301999999996</v>
      </c>
      <c r="D1491" t="s">
        <v>213</v>
      </c>
      <c r="E1491">
        <v>2018</v>
      </c>
      <c r="F1491">
        <v>1</v>
      </c>
    </row>
    <row r="1492" spans="1:6" x14ac:dyDescent="0.55000000000000004">
      <c r="A1492" t="s">
        <v>87</v>
      </c>
      <c r="B1492" t="s">
        <v>54</v>
      </c>
      <c r="C1492">
        <v>19784.8279</v>
      </c>
      <c r="D1492" t="s">
        <v>213</v>
      </c>
      <c r="E1492">
        <v>2018</v>
      </c>
      <c r="F1492">
        <v>1</v>
      </c>
    </row>
    <row r="1493" spans="1:6" x14ac:dyDescent="0.55000000000000004">
      <c r="A1493" t="s">
        <v>87</v>
      </c>
      <c r="B1493" t="s">
        <v>55</v>
      </c>
      <c r="C1493">
        <v>3310</v>
      </c>
      <c r="D1493" t="s">
        <v>213</v>
      </c>
      <c r="E1493">
        <v>2018</v>
      </c>
      <c r="F1493">
        <v>1</v>
      </c>
    </row>
    <row r="1494" spans="1:6" x14ac:dyDescent="0.55000000000000004">
      <c r="A1494" t="s">
        <v>87</v>
      </c>
      <c r="B1494" t="s">
        <v>56</v>
      </c>
      <c r="C1494">
        <v>320</v>
      </c>
      <c r="D1494" t="s">
        <v>213</v>
      </c>
      <c r="E1494">
        <v>2018</v>
      </c>
      <c r="F1494">
        <v>1</v>
      </c>
    </row>
    <row r="1495" spans="1:6" x14ac:dyDescent="0.55000000000000004">
      <c r="A1495" t="s">
        <v>87</v>
      </c>
      <c r="B1495" t="s">
        <v>57</v>
      </c>
      <c r="C1495">
        <v>104.32299999999999</v>
      </c>
      <c r="D1495" t="s">
        <v>213</v>
      </c>
      <c r="E1495">
        <v>2018</v>
      </c>
      <c r="F1495">
        <v>1</v>
      </c>
    </row>
    <row r="1496" spans="1:6" x14ac:dyDescent="0.55000000000000004">
      <c r="A1496" t="s">
        <v>87</v>
      </c>
      <c r="B1496" t="s">
        <v>58</v>
      </c>
      <c r="C1496">
        <v>401930.01</v>
      </c>
      <c r="D1496" t="s">
        <v>213</v>
      </c>
      <c r="E1496">
        <v>2018</v>
      </c>
      <c r="F1496">
        <v>1</v>
      </c>
    </row>
    <row r="1497" spans="1:6" x14ac:dyDescent="0.55000000000000004">
      <c r="A1497" t="s">
        <v>87</v>
      </c>
      <c r="B1497" t="s">
        <v>59</v>
      </c>
      <c r="C1497">
        <v>30.721299999999999</v>
      </c>
      <c r="D1497" t="s">
        <v>213</v>
      </c>
      <c r="E1497">
        <v>2018</v>
      </c>
      <c r="F1497">
        <v>1</v>
      </c>
    </row>
    <row r="1498" spans="1:6" x14ac:dyDescent="0.55000000000000004">
      <c r="A1498" t="s">
        <v>87</v>
      </c>
      <c r="B1498" t="s">
        <v>60</v>
      </c>
      <c r="C1498">
        <v>3345785.4918</v>
      </c>
      <c r="D1498" t="s">
        <v>213</v>
      </c>
      <c r="E1498">
        <v>2018</v>
      </c>
      <c r="F1498">
        <v>1</v>
      </c>
    </row>
    <row r="1499" spans="1:6" x14ac:dyDescent="0.55000000000000004">
      <c r="A1499" t="s">
        <v>87</v>
      </c>
      <c r="B1499" t="s">
        <v>61</v>
      </c>
      <c r="C1499">
        <v>2969.9922000000001</v>
      </c>
      <c r="D1499" t="s">
        <v>213</v>
      </c>
      <c r="E1499">
        <v>2018</v>
      </c>
      <c r="F1499">
        <v>1</v>
      </c>
    </row>
    <row r="1500" spans="1:6" x14ac:dyDescent="0.55000000000000004">
      <c r="A1500" t="s">
        <v>87</v>
      </c>
      <c r="B1500" t="s">
        <v>62</v>
      </c>
      <c r="C1500">
        <v>1802.7474</v>
      </c>
      <c r="D1500" t="s">
        <v>213</v>
      </c>
      <c r="E1500">
        <v>2018</v>
      </c>
      <c r="F1500">
        <v>1</v>
      </c>
    </row>
    <row r="1501" spans="1:6" x14ac:dyDescent="0.55000000000000004">
      <c r="A1501" t="s">
        <v>87</v>
      </c>
      <c r="B1501" t="s">
        <v>63</v>
      </c>
      <c r="C1501">
        <v>0</v>
      </c>
      <c r="D1501" t="s">
        <v>213</v>
      </c>
      <c r="E1501">
        <v>2018</v>
      </c>
      <c r="F1501">
        <v>1</v>
      </c>
    </row>
    <row r="1502" spans="1:6" x14ac:dyDescent="0.55000000000000004">
      <c r="A1502" t="s">
        <v>88</v>
      </c>
      <c r="B1502" t="s">
        <v>4</v>
      </c>
      <c r="C1502">
        <v>9839843.8880000003</v>
      </c>
      <c r="D1502" t="s">
        <v>214</v>
      </c>
      <c r="E1502">
        <v>2018</v>
      </c>
      <c r="F1502">
        <v>2</v>
      </c>
    </row>
    <row r="1503" spans="1:6" x14ac:dyDescent="0.55000000000000004">
      <c r="A1503" t="s">
        <v>88</v>
      </c>
      <c r="B1503" t="s">
        <v>5</v>
      </c>
      <c r="C1503">
        <v>1235411.3540000001</v>
      </c>
      <c r="D1503" t="s">
        <v>214</v>
      </c>
      <c r="E1503">
        <v>2018</v>
      </c>
      <c r="F1503">
        <v>2</v>
      </c>
    </row>
    <row r="1504" spans="1:6" x14ac:dyDescent="0.55000000000000004">
      <c r="A1504" t="s">
        <v>88</v>
      </c>
      <c r="B1504" t="s">
        <v>6</v>
      </c>
      <c r="C1504">
        <v>2548089.1749</v>
      </c>
      <c r="D1504" t="s">
        <v>214</v>
      </c>
      <c r="E1504">
        <v>2018</v>
      </c>
      <c r="F1504">
        <v>2</v>
      </c>
    </row>
    <row r="1505" spans="1:6" x14ac:dyDescent="0.55000000000000004">
      <c r="A1505" t="s">
        <v>88</v>
      </c>
      <c r="B1505" t="s">
        <v>7</v>
      </c>
      <c r="C1505">
        <v>2585683.8136</v>
      </c>
      <c r="D1505" t="s">
        <v>214</v>
      </c>
      <c r="E1505">
        <v>2018</v>
      </c>
      <c r="F1505">
        <v>2</v>
      </c>
    </row>
    <row r="1506" spans="1:6" x14ac:dyDescent="0.55000000000000004">
      <c r="A1506" t="s">
        <v>88</v>
      </c>
      <c r="B1506" t="s">
        <v>8</v>
      </c>
      <c r="C1506">
        <v>3470659.5455</v>
      </c>
      <c r="D1506" t="s">
        <v>214</v>
      </c>
      <c r="E1506">
        <v>2018</v>
      </c>
      <c r="F1506">
        <v>2</v>
      </c>
    </row>
    <row r="1507" spans="1:6" x14ac:dyDescent="0.55000000000000004">
      <c r="A1507" t="s">
        <v>88</v>
      </c>
      <c r="B1507" t="s">
        <v>9</v>
      </c>
      <c r="C1507">
        <v>300</v>
      </c>
      <c r="D1507" t="s">
        <v>214</v>
      </c>
      <c r="E1507">
        <v>2018</v>
      </c>
      <c r="F1507">
        <v>2</v>
      </c>
    </row>
    <row r="1508" spans="1:6" x14ac:dyDescent="0.55000000000000004">
      <c r="A1508" t="s">
        <v>88</v>
      </c>
      <c r="B1508" t="s">
        <v>10</v>
      </c>
      <c r="C1508">
        <v>437.16</v>
      </c>
      <c r="D1508" t="s">
        <v>214</v>
      </c>
      <c r="E1508">
        <v>2018</v>
      </c>
      <c r="F1508">
        <v>2</v>
      </c>
    </row>
    <row r="1509" spans="1:6" x14ac:dyDescent="0.55000000000000004">
      <c r="A1509" t="s">
        <v>88</v>
      </c>
      <c r="B1509" t="s">
        <v>11</v>
      </c>
      <c r="C1509">
        <v>2511588.3612000002</v>
      </c>
      <c r="D1509" t="s">
        <v>214</v>
      </c>
      <c r="E1509">
        <v>2018</v>
      </c>
      <c r="F1509">
        <v>2</v>
      </c>
    </row>
    <row r="1510" spans="1:6" x14ac:dyDescent="0.55000000000000004">
      <c r="A1510" t="s">
        <v>88</v>
      </c>
      <c r="B1510" t="s">
        <v>12</v>
      </c>
      <c r="C1510">
        <v>15296.0296</v>
      </c>
      <c r="D1510" t="s">
        <v>214</v>
      </c>
      <c r="E1510">
        <v>2018</v>
      </c>
      <c r="F1510">
        <v>2</v>
      </c>
    </row>
    <row r="1511" spans="1:6" x14ac:dyDescent="0.55000000000000004">
      <c r="A1511" t="s">
        <v>88</v>
      </c>
      <c r="B1511" t="s">
        <v>13</v>
      </c>
      <c r="C1511">
        <v>4530</v>
      </c>
      <c r="D1511" t="s">
        <v>214</v>
      </c>
      <c r="E1511">
        <v>2018</v>
      </c>
      <c r="F1511">
        <v>2</v>
      </c>
    </row>
    <row r="1512" spans="1:6" x14ac:dyDescent="0.55000000000000004">
      <c r="A1512" t="s">
        <v>88</v>
      </c>
      <c r="B1512" t="s">
        <v>14</v>
      </c>
      <c r="C1512">
        <v>3173</v>
      </c>
      <c r="D1512" t="s">
        <v>214</v>
      </c>
      <c r="E1512">
        <v>2018</v>
      </c>
      <c r="F1512">
        <v>2</v>
      </c>
    </row>
    <row r="1513" spans="1:6" x14ac:dyDescent="0.55000000000000004">
      <c r="A1513" t="s">
        <v>88</v>
      </c>
      <c r="B1513" t="s">
        <v>15</v>
      </c>
      <c r="C1513">
        <v>1103149.2206999999</v>
      </c>
      <c r="D1513" t="s">
        <v>214</v>
      </c>
      <c r="E1513">
        <v>2018</v>
      </c>
      <c r="F1513">
        <v>2</v>
      </c>
    </row>
    <row r="1514" spans="1:6" x14ac:dyDescent="0.55000000000000004">
      <c r="A1514" t="s">
        <v>88</v>
      </c>
      <c r="B1514" t="s">
        <v>16</v>
      </c>
      <c r="C1514">
        <v>0</v>
      </c>
      <c r="D1514" t="s">
        <v>214</v>
      </c>
      <c r="E1514">
        <v>2018</v>
      </c>
      <c r="F1514">
        <v>2</v>
      </c>
    </row>
    <row r="1515" spans="1:6" x14ac:dyDescent="0.55000000000000004">
      <c r="A1515" t="s">
        <v>88</v>
      </c>
      <c r="B1515" t="s">
        <v>17</v>
      </c>
      <c r="C1515">
        <v>87057.158299999996</v>
      </c>
      <c r="D1515" t="s">
        <v>214</v>
      </c>
      <c r="E1515">
        <v>2018</v>
      </c>
      <c r="F1515">
        <v>2</v>
      </c>
    </row>
    <row r="1516" spans="1:6" x14ac:dyDescent="0.55000000000000004">
      <c r="A1516" t="s">
        <v>88</v>
      </c>
      <c r="B1516" t="s">
        <v>18</v>
      </c>
      <c r="C1516">
        <v>61289.083899999998</v>
      </c>
      <c r="D1516" t="s">
        <v>214</v>
      </c>
      <c r="E1516">
        <v>2018</v>
      </c>
      <c r="F1516">
        <v>2</v>
      </c>
    </row>
    <row r="1517" spans="1:6" x14ac:dyDescent="0.55000000000000004">
      <c r="A1517" t="s">
        <v>88</v>
      </c>
      <c r="B1517" t="s">
        <v>19</v>
      </c>
      <c r="C1517">
        <v>3479.1356999999998</v>
      </c>
      <c r="D1517" t="s">
        <v>214</v>
      </c>
      <c r="E1517">
        <v>2018</v>
      </c>
      <c r="F1517">
        <v>2</v>
      </c>
    </row>
    <row r="1518" spans="1:6" x14ac:dyDescent="0.55000000000000004">
      <c r="A1518" t="s">
        <v>88</v>
      </c>
      <c r="B1518" t="s">
        <v>20</v>
      </c>
      <c r="C1518">
        <v>13238</v>
      </c>
      <c r="D1518" t="s">
        <v>214</v>
      </c>
      <c r="E1518">
        <v>2018</v>
      </c>
      <c r="F1518">
        <v>2</v>
      </c>
    </row>
    <row r="1519" spans="1:6" x14ac:dyDescent="0.55000000000000004">
      <c r="A1519" t="s">
        <v>88</v>
      </c>
      <c r="B1519" t="s">
        <v>21</v>
      </c>
      <c r="C1519">
        <v>2547.4344999999998</v>
      </c>
      <c r="D1519" t="s">
        <v>214</v>
      </c>
      <c r="E1519">
        <v>2018</v>
      </c>
      <c r="F1519">
        <v>2</v>
      </c>
    </row>
    <row r="1520" spans="1:6" x14ac:dyDescent="0.55000000000000004">
      <c r="A1520" t="s">
        <v>88</v>
      </c>
      <c r="B1520" t="s">
        <v>22</v>
      </c>
      <c r="C1520">
        <v>24230.284800000001</v>
      </c>
      <c r="D1520" t="s">
        <v>214</v>
      </c>
      <c r="E1520">
        <v>2018</v>
      </c>
      <c r="F1520">
        <v>2</v>
      </c>
    </row>
    <row r="1521" spans="1:6" x14ac:dyDescent="0.55000000000000004">
      <c r="A1521" t="s">
        <v>88</v>
      </c>
      <c r="B1521" t="s">
        <v>23</v>
      </c>
      <c r="C1521">
        <v>55548.662300000004</v>
      </c>
      <c r="D1521" t="s">
        <v>214</v>
      </c>
      <c r="E1521">
        <v>2018</v>
      </c>
      <c r="F1521">
        <v>2</v>
      </c>
    </row>
    <row r="1522" spans="1:6" x14ac:dyDescent="0.55000000000000004">
      <c r="A1522" t="s">
        <v>88</v>
      </c>
      <c r="B1522" t="s">
        <v>24</v>
      </c>
      <c r="C1522">
        <v>2.34</v>
      </c>
      <c r="D1522" t="s">
        <v>214</v>
      </c>
      <c r="E1522">
        <v>2018</v>
      </c>
      <c r="F1522">
        <v>2</v>
      </c>
    </row>
    <row r="1523" spans="1:6" x14ac:dyDescent="0.55000000000000004">
      <c r="A1523" t="s">
        <v>88</v>
      </c>
      <c r="B1523" t="s">
        <v>25</v>
      </c>
      <c r="C1523">
        <v>189757.1666</v>
      </c>
      <c r="D1523" t="s">
        <v>214</v>
      </c>
      <c r="E1523">
        <v>2018</v>
      </c>
      <c r="F1523">
        <v>2</v>
      </c>
    </row>
    <row r="1524" spans="1:6" x14ac:dyDescent="0.55000000000000004">
      <c r="A1524" t="s">
        <v>88</v>
      </c>
      <c r="B1524" t="s">
        <v>26</v>
      </c>
      <c r="C1524">
        <v>0.85</v>
      </c>
      <c r="D1524" t="s">
        <v>214</v>
      </c>
      <c r="E1524">
        <v>2018</v>
      </c>
      <c r="F1524">
        <v>2</v>
      </c>
    </row>
    <row r="1525" spans="1:6" x14ac:dyDescent="0.55000000000000004">
      <c r="A1525" t="s">
        <v>88</v>
      </c>
      <c r="B1525" t="s">
        <v>27</v>
      </c>
      <c r="C1525">
        <v>872.94569999999999</v>
      </c>
      <c r="D1525" t="s">
        <v>214</v>
      </c>
      <c r="E1525">
        <v>2018</v>
      </c>
      <c r="F1525">
        <v>2</v>
      </c>
    </row>
    <row r="1526" spans="1:6" x14ac:dyDescent="0.55000000000000004">
      <c r="A1526" t="s">
        <v>88</v>
      </c>
      <c r="B1526" t="s">
        <v>28</v>
      </c>
      <c r="C1526">
        <v>286231.5577</v>
      </c>
      <c r="D1526" t="s">
        <v>214</v>
      </c>
      <c r="E1526">
        <v>2018</v>
      </c>
      <c r="F1526">
        <v>2</v>
      </c>
    </row>
    <row r="1527" spans="1:6" x14ac:dyDescent="0.55000000000000004">
      <c r="A1527" t="s">
        <v>88</v>
      </c>
      <c r="B1527" t="s">
        <v>29</v>
      </c>
      <c r="C1527">
        <v>13704.022199999999</v>
      </c>
      <c r="D1527" t="s">
        <v>214</v>
      </c>
      <c r="E1527">
        <v>2018</v>
      </c>
      <c r="F1527">
        <v>2</v>
      </c>
    </row>
    <row r="1528" spans="1:6" x14ac:dyDescent="0.55000000000000004">
      <c r="A1528" t="s">
        <v>88</v>
      </c>
      <c r="B1528" t="s">
        <v>30</v>
      </c>
      <c r="C1528">
        <v>54.686700000000002</v>
      </c>
      <c r="D1528" t="s">
        <v>214</v>
      </c>
      <c r="E1528">
        <v>2018</v>
      </c>
      <c r="F1528">
        <v>2</v>
      </c>
    </row>
    <row r="1529" spans="1:6" x14ac:dyDescent="0.55000000000000004">
      <c r="A1529" t="s">
        <v>88</v>
      </c>
      <c r="B1529" t="s">
        <v>31</v>
      </c>
      <c r="C1529">
        <v>49.380800000000001</v>
      </c>
      <c r="D1529" t="s">
        <v>214</v>
      </c>
      <c r="E1529">
        <v>2018</v>
      </c>
      <c r="F1529">
        <v>2</v>
      </c>
    </row>
    <row r="1530" spans="1:6" x14ac:dyDescent="0.55000000000000004">
      <c r="A1530" t="s">
        <v>88</v>
      </c>
      <c r="B1530" t="s">
        <v>32</v>
      </c>
      <c r="C1530">
        <v>963774.06770000001</v>
      </c>
      <c r="D1530" t="s">
        <v>214</v>
      </c>
      <c r="E1530">
        <v>2018</v>
      </c>
      <c r="F1530">
        <v>2</v>
      </c>
    </row>
    <row r="1531" spans="1:6" x14ac:dyDescent="0.55000000000000004">
      <c r="A1531" t="s">
        <v>88</v>
      </c>
      <c r="B1531" t="s">
        <v>33</v>
      </c>
      <c r="C1531">
        <v>615881.49360000005</v>
      </c>
      <c r="D1531" t="s">
        <v>214</v>
      </c>
      <c r="E1531">
        <v>2018</v>
      </c>
      <c r="F1531">
        <v>2</v>
      </c>
    </row>
    <row r="1532" spans="1:6" x14ac:dyDescent="0.55000000000000004">
      <c r="A1532" t="s">
        <v>88</v>
      </c>
      <c r="B1532" t="s">
        <v>34</v>
      </c>
      <c r="C1532">
        <v>382619.32339999999</v>
      </c>
      <c r="D1532" t="s">
        <v>214</v>
      </c>
      <c r="E1532">
        <v>2018</v>
      </c>
      <c r="F1532">
        <v>2</v>
      </c>
    </row>
    <row r="1533" spans="1:6" x14ac:dyDescent="0.55000000000000004">
      <c r="A1533" t="s">
        <v>88</v>
      </c>
      <c r="B1533" t="s">
        <v>35</v>
      </c>
      <c r="C1533">
        <v>424.10950000000003</v>
      </c>
      <c r="D1533" t="s">
        <v>214</v>
      </c>
      <c r="E1533">
        <v>2018</v>
      </c>
      <c r="F1533">
        <v>2</v>
      </c>
    </row>
    <row r="1534" spans="1:6" x14ac:dyDescent="0.55000000000000004">
      <c r="A1534" t="s">
        <v>88</v>
      </c>
      <c r="B1534" t="s">
        <v>36</v>
      </c>
      <c r="C1534">
        <v>43154.533300000003</v>
      </c>
      <c r="D1534" t="s">
        <v>214</v>
      </c>
      <c r="E1534">
        <v>2018</v>
      </c>
      <c r="F1534">
        <v>2</v>
      </c>
    </row>
    <row r="1535" spans="1:6" x14ac:dyDescent="0.55000000000000004">
      <c r="A1535" t="s">
        <v>88</v>
      </c>
      <c r="B1535" t="s">
        <v>37</v>
      </c>
      <c r="C1535">
        <v>23661.341100000001</v>
      </c>
      <c r="D1535" t="s">
        <v>214</v>
      </c>
      <c r="E1535">
        <v>2018</v>
      </c>
      <c r="F1535">
        <v>2</v>
      </c>
    </row>
    <row r="1536" spans="1:6" x14ac:dyDescent="0.55000000000000004">
      <c r="A1536" t="s">
        <v>88</v>
      </c>
      <c r="B1536" t="s">
        <v>38</v>
      </c>
      <c r="C1536">
        <v>7295</v>
      </c>
      <c r="D1536" t="s">
        <v>214</v>
      </c>
      <c r="E1536">
        <v>2018</v>
      </c>
      <c r="F1536">
        <v>2</v>
      </c>
    </row>
    <row r="1537" spans="1:6" x14ac:dyDescent="0.55000000000000004">
      <c r="A1537" t="s">
        <v>88</v>
      </c>
      <c r="B1537" t="s">
        <v>39</v>
      </c>
      <c r="C1537">
        <v>641.99</v>
      </c>
      <c r="D1537" t="s">
        <v>214</v>
      </c>
      <c r="E1537">
        <v>2018</v>
      </c>
      <c r="F1537">
        <v>2</v>
      </c>
    </row>
    <row r="1538" spans="1:6" x14ac:dyDescent="0.55000000000000004">
      <c r="A1538" t="s">
        <v>88</v>
      </c>
      <c r="B1538" t="s">
        <v>40</v>
      </c>
      <c r="C1538">
        <v>967.49170000000004</v>
      </c>
      <c r="D1538" t="s">
        <v>214</v>
      </c>
      <c r="E1538">
        <v>2018</v>
      </c>
      <c r="F1538">
        <v>2</v>
      </c>
    </row>
    <row r="1539" spans="1:6" x14ac:dyDescent="0.55000000000000004">
      <c r="A1539" t="s">
        <v>88</v>
      </c>
      <c r="B1539" t="s">
        <v>41</v>
      </c>
      <c r="C1539">
        <v>242196.20619999999</v>
      </c>
      <c r="D1539" t="s">
        <v>214</v>
      </c>
      <c r="E1539">
        <v>2018</v>
      </c>
      <c r="F1539">
        <v>2</v>
      </c>
    </row>
    <row r="1540" spans="1:6" x14ac:dyDescent="0.55000000000000004">
      <c r="A1540" t="s">
        <v>88</v>
      </c>
      <c r="B1540" t="s">
        <v>42</v>
      </c>
      <c r="C1540">
        <v>331.91969999999998</v>
      </c>
      <c r="D1540" t="s">
        <v>214</v>
      </c>
      <c r="E1540">
        <v>2018</v>
      </c>
      <c r="F1540">
        <v>2</v>
      </c>
    </row>
    <row r="1541" spans="1:6" x14ac:dyDescent="0.55000000000000004">
      <c r="A1541" t="s">
        <v>88</v>
      </c>
      <c r="B1541" t="s">
        <v>43</v>
      </c>
      <c r="C1541">
        <v>297460.09960000002</v>
      </c>
      <c r="D1541" t="s">
        <v>214</v>
      </c>
      <c r="E1541">
        <v>2018</v>
      </c>
      <c r="F1541">
        <v>2</v>
      </c>
    </row>
    <row r="1542" spans="1:6" x14ac:dyDescent="0.55000000000000004">
      <c r="A1542" t="s">
        <v>88</v>
      </c>
      <c r="B1542" t="s">
        <v>45</v>
      </c>
      <c r="C1542">
        <v>1484.4917</v>
      </c>
      <c r="D1542" t="s">
        <v>214</v>
      </c>
      <c r="E1542">
        <v>2018</v>
      </c>
      <c r="F1542">
        <v>2</v>
      </c>
    </row>
    <row r="1543" spans="1:6" x14ac:dyDescent="0.55000000000000004">
      <c r="A1543" t="s">
        <v>88</v>
      </c>
      <c r="B1543" t="s">
        <v>46</v>
      </c>
      <c r="C1543">
        <v>22549</v>
      </c>
      <c r="D1543" t="s">
        <v>214</v>
      </c>
      <c r="E1543">
        <v>2018</v>
      </c>
      <c r="F1543">
        <v>2</v>
      </c>
    </row>
    <row r="1544" spans="1:6" x14ac:dyDescent="0.55000000000000004">
      <c r="A1544" t="s">
        <v>88</v>
      </c>
      <c r="B1544" t="s">
        <v>47</v>
      </c>
      <c r="C1544">
        <v>0</v>
      </c>
      <c r="D1544" t="s">
        <v>214</v>
      </c>
      <c r="E1544">
        <v>2018</v>
      </c>
      <c r="F1544">
        <v>2</v>
      </c>
    </row>
    <row r="1545" spans="1:6" x14ac:dyDescent="0.55000000000000004">
      <c r="A1545" t="s">
        <v>88</v>
      </c>
      <c r="B1545" t="s">
        <v>48</v>
      </c>
      <c r="C1545">
        <v>157306.99</v>
      </c>
      <c r="D1545" t="s">
        <v>214</v>
      </c>
      <c r="E1545">
        <v>2018</v>
      </c>
      <c r="F1545">
        <v>2</v>
      </c>
    </row>
    <row r="1546" spans="1:6" x14ac:dyDescent="0.55000000000000004">
      <c r="A1546" t="s">
        <v>88</v>
      </c>
      <c r="B1546" t="s">
        <v>49</v>
      </c>
      <c r="C1546">
        <v>59.347999999999999</v>
      </c>
      <c r="D1546" t="s">
        <v>214</v>
      </c>
      <c r="E1546">
        <v>2018</v>
      </c>
      <c r="F1546">
        <v>2</v>
      </c>
    </row>
    <row r="1547" spans="1:6" x14ac:dyDescent="0.55000000000000004">
      <c r="A1547" t="s">
        <v>88</v>
      </c>
      <c r="B1547" t="s">
        <v>50</v>
      </c>
      <c r="C1547">
        <v>22037.94</v>
      </c>
      <c r="D1547" t="s">
        <v>214</v>
      </c>
      <c r="E1547">
        <v>2018</v>
      </c>
      <c r="F1547">
        <v>2</v>
      </c>
    </row>
    <row r="1548" spans="1:6" x14ac:dyDescent="0.55000000000000004">
      <c r="A1548" t="s">
        <v>88</v>
      </c>
      <c r="B1548" t="s">
        <v>51</v>
      </c>
      <c r="C1548">
        <v>1236.3972000000001</v>
      </c>
      <c r="D1548" t="s">
        <v>214</v>
      </c>
      <c r="E1548">
        <v>2018</v>
      </c>
      <c r="F1548">
        <v>2</v>
      </c>
    </row>
    <row r="1549" spans="1:6" x14ac:dyDescent="0.55000000000000004">
      <c r="A1549" t="s">
        <v>88</v>
      </c>
      <c r="B1549" t="s">
        <v>52</v>
      </c>
      <c r="C1549">
        <v>30.173500000000001</v>
      </c>
      <c r="D1549" t="s">
        <v>214</v>
      </c>
      <c r="E1549">
        <v>2018</v>
      </c>
      <c r="F1549">
        <v>2</v>
      </c>
    </row>
    <row r="1550" spans="1:6" x14ac:dyDescent="0.55000000000000004">
      <c r="A1550" t="s">
        <v>88</v>
      </c>
      <c r="B1550" t="s">
        <v>53</v>
      </c>
      <c r="C1550">
        <v>101937.55</v>
      </c>
      <c r="D1550" t="s">
        <v>214</v>
      </c>
      <c r="E1550">
        <v>2018</v>
      </c>
      <c r="F1550">
        <v>2</v>
      </c>
    </row>
    <row r="1551" spans="1:6" x14ac:dyDescent="0.55000000000000004">
      <c r="A1551" t="s">
        <v>88</v>
      </c>
      <c r="B1551" t="s">
        <v>54</v>
      </c>
      <c r="C1551">
        <v>20046.353599999999</v>
      </c>
      <c r="D1551" t="s">
        <v>214</v>
      </c>
      <c r="E1551">
        <v>2018</v>
      </c>
      <c r="F1551">
        <v>2</v>
      </c>
    </row>
    <row r="1552" spans="1:6" x14ac:dyDescent="0.55000000000000004">
      <c r="A1552" t="s">
        <v>88</v>
      </c>
      <c r="B1552" t="s">
        <v>55</v>
      </c>
      <c r="C1552">
        <v>4965.5</v>
      </c>
      <c r="D1552" t="s">
        <v>214</v>
      </c>
      <c r="E1552">
        <v>2018</v>
      </c>
      <c r="F1552">
        <v>2</v>
      </c>
    </row>
    <row r="1553" spans="1:6" x14ac:dyDescent="0.55000000000000004">
      <c r="A1553" t="s">
        <v>88</v>
      </c>
      <c r="B1553" t="s">
        <v>56</v>
      </c>
      <c r="C1553">
        <v>6422.0333000000001</v>
      </c>
      <c r="D1553" t="s">
        <v>214</v>
      </c>
      <c r="E1553">
        <v>2018</v>
      </c>
      <c r="F1553">
        <v>2</v>
      </c>
    </row>
    <row r="1554" spans="1:6" x14ac:dyDescent="0.55000000000000004">
      <c r="A1554" t="s">
        <v>88</v>
      </c>
      <c r="B1554" t="s">
        <v>57</v>
      </c>
      <c r="C1554">
        <v>126.9064</v>
      </c>
      <c r="D1554" t="s">
        <v>214</v>
      </c>
      <c r="E1554">
        <v>2018</v>
      </c>
      <c r="F1554">
        <v>2</v>
      </c>
    </row>
    <row r="1555" spans="1:6" x14ac:dyDescent="0.55000000000000004">
      <c r="A1555" t="s">
        <v>88</v>
      </c>
      <c r="B1555" t="s">
        <v>58</v>
      </c>
      <c r="C1555">
        <v>388644</v>
      </c>
      <c r="D1555" t="s">
        <v>214</v>
      </c>
      <c r="E1555">
        <v>2018</v>
      </c>
      <c r="F1555">
        <v>2</v>
      </c>
    </row>
    <row r="1556" spans="1:6" x14ac:dyDescent="0.55000000000000004">
      <c r="A1556" t="s">
        <v>88</v>
      </c>
      <c r="B1556" t="s">
        <v>59</v>
      </c>
      <c r="C1556">
        <v>2120.2532999999999</v>
      </c>
      <c r="D1556" t="s">
        <v>214</v>
      </c>
      <c r="E1556">
        <v>2018</v>
      </c>
      <c r="F1556">
        <v>2</v>
      </c>
    </row>
    <row r="1557" spans="1:6" x14ac:dyDescent="0.55000000000000004">
      <c r="A1557" t="s">
        <v>88</v>
      </c>
      <c r="B1557" t="s">
        <v>60</v>
      </c>
      <c r="C1557">
        <v>2151402.7291000001</v>
      </c>
      <c r="D1557" t="s">
        <v>214</v>
      </c>
      <c r="E1557">
        <v>2018</v>
      </c>
      <c r="F1557">
        <v>2</v>
      </c>
    </row>
    <row r="1558" spans="1:6" x14ac:dyDescent="0.55000000000000004">
      <c r="A1558" t="s">
        <v>88</v>
      </c>
      <c r="B1558" t="s">
        <v>61</v>
      </c>
      <c r="C1558">
        <v>3222.3879999999999</v>
      </c>
      <c r="D1558" t="s">
        <v>214</v>
      </c>
      <c r="E1558">
        <v>2018</v>
      </c>
      <c r="F1558">
        <v>2</v>
      </c>
    </row>
    <row r="1559" spans="1:6" x14ac:dyDescent="0.55000000000000004">
      <c r="A1559" t="s">
        <v>88</v>
      </c>
      <c r="B1559" t="s">
        <v>62</v>
      </c>
      <c r="C1559">
        <v>1307.7773999999999</v>
      </c>
      <c r="D1559" t="s">
        <v>214</v>
      </c>
      <c r="E1559">
        <v>2018</v>
      </c>
      <c r="F1559">
        <v>2</v>
      </c>
    </row>
    <row r="1560" spans="1:6" x14ac:dyDescent="0.55000000000000004">
      <c r="A1560" t="s">
        <v>88</v>
      </c>
      <c r="B1560" t="s">
        <v>63</v>
      </c>
      <c r="C1560">
        <v>0</v>
      </c>
      <c r="D1560" t="s">
        <v>214</v>
      </c>
      <c r="E1560">
        <v>2018</v>
      </c>
      <c r="F1560">
        <v>2</v>
      </c>
    </row>
    <row r="1561" spans="1:6" x14ac:dyDescent="0.55000000000000004">
      <c r="A1561" t="s">
        <v>89</v>
      </c>
      <c r="B1561" t="s">
        <v>4</v>
      </c>
      <c r="C1561">
        <v>11554927.043199999</v>
      </c>
      <c r="D1561" t="s">
        <v>215</v>
      </c>
      <c r="E1561">
        <v>2018</v>
      </c>
      <c r="F1561">
        <v>3</v>
      </c>
    </row>
    <row r="1562" spans="1:6" x14ac:dyDescent="0.55000000000000004">
      <c r="A1562" t="s">
        <v>89</v>
      </c>
      <c r="B1562" t="s">
        <v>5</v>
      </c>
      <c r="C1562">
        <v>1161372.1587</v>
      </c>
      <c r="D1562" t="s">
        <v>215</v>
      </c>
      <c r="E1562">
        <v>2018</v>
      </c>
      <c r="F1562">
        <v>3</v>
      </c>
    </row>
    <row r="1563" spans="1:6" x14ac:dyDescent="0.55000000000000004">
      <c r="A1563" t="s">
        <v>89</v>
      </c>
      <c r="B1563" t="s">
        <v>6</v>
      </c>
      <c r="C1563">
        <v>2751947.3725000001</v>
      </c>
      <c r="D1563" t="s">
        <v>215</v>
      </c>
      <c r="E1563">
        <v>2018</v>
      </c>
      <c r="F1563">
        <v>3</v>
      </c>
    </row>
    <row r="1564" spans="1:6" x14ac:dyDescent="0.55000000000000004">
      <c r="A1564" t="s">
        <v>89</v>
      </c>
      <c r="B1564" t="s">
        <v>7</v>
      </c>
      <c r="C1564">
        <v>2752927.2368000001</v>
      </c>
      <c r="D1564" t="s">
        <v>215</v>
      </c>
      <c r="E1564">
        <v>2018</v>
      </c>
      <c r="F1564">
        <v>3</v>
      </c>
    </row>
    <row r="1565" spans="1:6" x14ac:dyDescent="0.55000000000000004">
      <c r="A1565" t="s">
        <v>89</v>
      </c>
      <c r="B1565" t="s">
        <v>8</v>
      </c>
      <c r="C1565">
        <v>4888680.2752</v>
      </c>
      <c r="D1565" t="s">
        <v>215</v>
      </c>
      <c r="E1565">
        <v>2018</v>
      </c>
      <c r="F1565">
        <v>3</v>
      </c>
    </row>
    <row r="1566" spans="1:6" x14ac:dyDescent="0.55000000000000004">
      <c r="A1566" t="s">
        <v>89</v>
      </c>
      <c r="B1566" t="s">
        <v>9</v>
      </c>
      <c r="C1566">
        <v>136</v>
      </c>
      <c r="D1566" t="s">
        <v>215</v>
      </c>
      <c r="E1566">
        <v>2018</v>
      </c>
      <c r="F1566">
        <v>3</v>
      </c>
    </row>
    <row r="1567" spans="1:6" x14ac:dyDescent="0.55000000000000004">
      <c r="A1567" t="s">
        <v>89</v>
      </c>
      <c r="B1567" t="s">
        <v>10</v>
      </c>
      <c r="C1567">
        <v>1246.44</v>
      </c>
      <c r="D1567" t="s">
        <v>215</v>
      </c>
      <c r="E1567">
        <v>2018</v>
      </c>
      <c r="F1567">
        <v>3</v>
      </c>
    </row>
    <row r="1568" spans="1:6" x14ac:dyDescent="0.55000000000000004">
      <c r="A1568" t="s">
        <v>89</v>
      </c>
      <c r="B1568" t="s">
        <v>11</v>
      </c>
      <c r="C1568">
        <v>2698364.4103999999</v>
      </c>
      <c r="D1568" t="s">
        <v>215</v>
      </c>
      <c r="E1568">
        <v>2018</v>
      </c>
      <c r="F1568">
        <v>3</v>
      </c>
    </row>
    <row r="1569" spans="1:6" x14ac:dyDescent="0.55000000000000004">
      <c r="A1569" t="s">
        <v>89</v>
      </c>
      <c r="B1569" t="s">
        <v>12</v>
      </c>
      <c r="C1569">
        <v>26178.5</v>
      </c>
      <c r="D1569" t="s">
        <v>215</v>
      </c>
      <c r="E1569">
        <v>2018</v>
      </c>
      <c r="F1569">
        <v>3</v>
      </c>
    </row>
    <row r="1570" spans="1:6" x14ac:dyDescent="0.55000000000000004">
      <c r="A1570" t="s">
        <v>89</v>
      </c>
      <c r="B1570" t="s">
        <v>13</v>
      </c>
      <c r="C1570">
        <v>16417</v>
      </c>
      <c r="D1570" t="s">
        <v>215</v>
      </c>
      <c r="E1570">
        <v>2018</v>
      </c>
      <c r="F1570">
        <v>3</v>
      </c>
    </row>
    <row r="1571" spans="1:6" x14ac:dyDescent="0.55000000000000004">
      <c r="A1571" t="s">
        <v>89</v>
      </c>
      <c r="B1571" t="s">
        <v>14</v>
      </c>
      <c r="C1571">
        <v>8813</v>
      </c>
      <c r="D1571" t="s">
        <v>215</v>
      </c>
      <c r="E1571">
        <v>2018</v>
      </c>
      <c r="F1571">
        <v>3</v>
      </c>
    </row>
    <row r="1572" spans="1:6" x14ac:dyDescent="0.55000000000000004">
      <c r="A1572" t="s">
        <v>89</v>
      </c>
      <c r="B1572" t="s">
        <v>15</v>
      </c>
      <c r="C1572">
        <v>1039863.112</v>
      </c>
      <c r="D1572" t="s">
        <v>215</v>
      </c>
      <c r="E1572">
        <v>2018</v>
      </c>
      <c r="F1572">
        <v>3</v>
      </c>
    </row>
    <row r="1573" spans="1:6" x14ac:dyDescent="0.55000000000000004">
      <c r="A1573" t="s">
        <v>89</v>
      </c>
      <c r="B1573" t="s">
        <v>16</v>
      </c>
      <c r="C1573">
        <v>0</v>
      </c>
      <c r="D1573" t="s">
        <v>215</v>
      </c>
      <c r="E1573">
        <v>2018</v>
      </c>
      <c r="F1573">
        <v>3</v>
      </c>
    </row>
    <row r="1574" spans="1:6" x14ac:dyDescent="0.55000000000000004">
      <c r="A1574" t="s">
        <v>89</v>
      </c>
      <c r="B1574" t="s">
        <v>17</v>
      </c>
      <c r="C1574">
        <v>137624.21950000001</v>
      </c>
      <c r="D1574" t="s">
        <v>215</v>
      </c>
      <c r="E1574">
        <v>2018</v>
      </c>
      <c r="F1574">
        <v>3</v>
      </c>
    </row>
    <row r="1575" spans="1:6" x14ac:dyDescent="0.55000000000000004">
      <c r="A1575" t="s">
        <v>89</v>
      </c>
      <c r="B1575" t="s">
        <v>18</v>
      </c>
      <c r="C1575">
        <v>185990.16699999999</v>
      </c>
      <c r="D1575" t="s">
        <v>215</v>
      </c>
      <c r="E1575">
        <v>2018</v>
      </c>
      <c r="F1575">
        <v>3</v>
      </c>
    </row>
    <row r="1576" spans="1:6" x14ac:dyDescent="0.55000000000000004">
      <c r="A1576" t="s">
        <v>89</v>
      </c>
      <c r="B1576" t="s">
        <v>19</v>
      </c>
      <c r="C1576">
        <v>2891.6084000000001</v>
      </c>
      <c r="D1576" t="s">
        <v>215</v>
      </c>
      <c r="E1576">
        <v>2018</v>
      </c>
      <c r="F1576">
        <v>3</v>
      </c>
    </row>
    <row r="1577" spans="1:6" x14ac:dyDescent="0.55000000000000004">
      <c r="A1577" t="s">
        <v>89</v>
      </c>
      <c r="B1577" t="s">
        <v>20</v>
      </c>
      <c r="C1577">
        <v>14465</v>
      </c>
      <c r="D1577" t="s">
        <v>215</v>
      </c>
      <c r="E1577">
        <v>2018</v>
      </c>
      <c r="F1577">
        <v>3</v>
      </c>
    </row>
    <row r="1578" spans="1:6" x14ac:dyDescent="0.55000000000000004">
      <c r="A1578" t="s">
        <v>89</v>
      </c>
      <c r="B1578" t="s">
        <v>21</v>
      </c>
      <c r="C1578">
        <v>1275.7563</v>
      </c>
      <c r="D1578" t="s">
        <v>215</v>
      </c>
      <c r="E1578">
        <v>2018</v>
      </c>
      <c r="F1578">
        <v>3</v>
      </c>
    </row>
    <row r="1579" spans="1:6" x14ac:dyDescent="0.55000000000000004">
      <c r="A1579" t="s">
        <v>89</v>
      </c>
      <c r="B1579" t="s">
        <v>22</v>
      </c>
      <c r="C1579">
        <v>47362.21</v>
      </c>
      <c r="D1579" t="s">
        <v>215</v>
      </c>
      <c r="E1579">
        <v>2018</v>
      </c>
      <c r="F1579">
        <v>3</v>
      </c>
    </row>
    <row r="1580" spans="1:6" x14ac:dyDescent="0.55000000000000004">
      <c r="A1580" t="s">
        <v>89</v>
      </c>
      <c r="B1580" t="s">
        <v>23</v>
      </c>
      <c r="C1580">
        <v>54343.073299999996</v>
      </c>
      <c r="D1580" t="s">
        <v>215</v>
      </c>
      <c r="E1580">
        <v>2018</v>
      </c>
      <c r="F1580">
        <v>3</v>
      </c>
    </row>
    <row r="1581" spans="1:6" x14ac:dyDescent="0.55000000000000004">
      <c r="A1581" t="s">
        <v>89</v>
      </c>
      <c r="B1581" t="s">
        <v>24</v>
      </c>
      <c r="C1581">
        <v>2.34</v>
      </c>
      <c r="D1581" t="s">
        <v>215</v>
      </c>
      <c r="E1581">
        <v>2018</v>
      </c>
      <c r="F1581">
        <v>3</v>
      </c>
    </row>
    <row r="1582" spans="1:6" x14ac:dyDescent="0.55000000000000004">
      <c r="A1582" t="s">
        <v>89</v>
      </c>
      <c r="B1582" t="s">
        <v>25</v>
      </c>
      <c r="C1582">
        <v>257396.8</v>
      </c>
      <c r="D1582" t="s">
        <v>215</v>
      </c>
      <c r="E1582">
        <v>2018</v>
      </c>
      <c r="F1582">
        <v>3</v>
      </c>
    </row>
    <row r="1583" spans="1:6" x14ac:dyDescent="0.55000000000000004">
      <c r="A1583" t="s">
        <v>89</v>
      </c>
      <c r="B1583" t="s">
        <v>26</v>
      </c>
      <c r="C1583">
        <v>0.85</v>
      </c>
      <c r="D1583" t="s">
        <v>215</v>
      </c>
      <c r="E1583">
        <v>2018</v>
      </c>
      <c r="F1583">
        <v>3</v>
      </c>
    </row>
    <row r="1584" spans="1:6" x14ac:dyDescent="0.55000000000000004">
      <c r="A1584" t="s">
        <v>89</v>
      </c>
      <c r="B1584" t="s">
        <v>27</v>
      </c>
      <c r="C1584">
        <v>1097.174</v>
      </c>
      <c r="D1584" t="s">
        <v>215</v>
      </c>
      <c r="E1584">
        <v>2018</v>
      </c>
      <c r="F1584">
        <v>3</v>
      </c>
    </row>
    <row r="1585" spans="1:6" x14ac:dyDescent="0.55000000000000004">
      <c r="A1585" t="s">
        <v>89</v>
      </c>
      <c r="B1585" t="s">
        <v>28</v>
      </c>
      <c r="C1585">
        <v>399826.9768</v>
      </c>
      <c r="D1585" t="s">
        <v>215</v>
      </c>
      <c r="E1585">
        <v>2018</v>
      </c>
      <c r="F1585">
        <v>3</v>
      </c>
    </row>
    <row r="1586" spans="1:6" x14ac:dyDescent="0.55000000000000004">
      <c r="A1586" t="s">
        <v>89</v>
      </c>
      <c r="B1586" t="s">
        <v>29</v>
      </c>
      <c r="C1586">
        <v>12594.022199999999</v>
      </c>
      <c r="D1586" t="s">
        <v>215</v>
      </c>
      <c r="E1586">
        <v>2018</v>
      </c>
      <c r="F1586">
        <v>3</v>
      </c>
    </row>
    <row r="1587" spans="1:6" x14ac:dyDescent="0.55000000000000004">
      <c r="A1587" t="s">
        <v>89</v>
      </c>
      <c r="B1587" t="s">
        <v>30</v>
      </c>
      <c r="C1587">
        <v>45.11</v>
      </c>
      <c r="D1587" t="s">
        <v>215</v>
      </c>
      <c r="E1587">
        <v>2018</v>
      </c>
      <c r="F1587">
        <v>3</v>
      </c>
    </row>
    <row r="1588" spans="1:6" x14ac:dyDescent="0.55000000000000004">
      <c r="A1588" t="s">
        <v>89</v>
      </c>
      <c r="B1588" t="s">
        <v>31</v>
      </c>
      <c r="C1588">
        <v>6.3308</v>
      </c>
      <c r="D1588" t="s">
        <v>215</v>
      </c>
      <c r="E1588">
        <v>2018</v>
      </c>
      <c r="F1588">
        <v>3</v>
      </c>
    </row>
    <row r="1589" spans="1:6" x14ac:dyDescent="0.55000000000000004">
      <c r="A1589" t="s">
        <v>89</v>
      </c>
      <c r="B1589" t="s">
        <v>32</v>
      </c>
      <c r="C1589">
        <v>856772.80830000003</v>
      </c>
      <c r="D1589" t="s">
        <v>215</v>
      </c>
      <c r="E1589">
        <v>2018</v>
      </c>
      <c r="F1589">
        <v>3</v>
      </c>
    </row>
    <row r="1590" spans="1:6" x14ac:dyDescent="0.55000000000000004">
      <c r="A1590" t="s">
        <v>89</v>
      </c>
      <c r="B1590" t="s">
        <v>33</v>
      </c>
      <c r="C1590">
        <v>748703.12239999999</v>
      </c>
      <c r="D1590" t="s">
        <v>215</v>
      </c>
      <c r="E1590">
        <v>2018</v>
      </c>
      <c r="F1590">
        <v>3</v>
      </c>
    </row>
    <row r="1591" spans="1:6" x14ac:dyDescent="0.55000000000000004">
      <c r="A1591" t="s">
        <v>89</v>
      </c>
      <c r="B1591" t="s">
        <v>34</v>
      </c>
      <c r="C1591">
        <v>346312.39199999999</v>
      </c>
      <c r="D1591" t="s">
        <v>215</v>
      </c>
      <c r="E1591">
        <v>2018</v>
      </c>
      <c r="F1591">
        <v>3</v>
      </c>
    </row>
    <row r="1592" spans="1:6" x14ac:dyDescent="0.55000000000000004">
      <c r="A1592" t="s">
        <v>89</v>
      </c>
      <c r="B1592" t="s">
        <v>35</v>
      </c>
      <c r="C1592">
        <v>1035.8929000000001</v>
      </c>
      <c r="D1592" t="s">
        <v>215</v>
      </c>
      <c r="E1592">
        <v>2018</v>
      </c>
      <c r="F1592">
        <v>3</v>
      </c>
    </row>
    <row r="1593" spans="1:6" x14ac:dyDescent="0.55000000000000004">
      <c r="A1593" t="s">
        <v>89</v>
      </c>
      <c r="B1593" t="s">
        <v>36</v>
      </c>
      <c r="C1593">
        <v>65138.983399999997</v>
      </c>
      <c r="D1593" t="s">
        <v>215</v>
      </c>
      <c r="E1593">
        <v>2018</v>
      </c>
      <c r="F1593">
        <v>3</v>
      </c>
    </row>
    <row r="1594" spans="1:6" x14ac:dyDescent="0.55000000000000004">
      <c r="A1594" t="s">
        <v>89</v>
      </c>
      <c r="B1594" t="s">
        <v>37</v>
      </c>
      <c r="C1594">
        <v>27353.331900000001</v>
      </c>
      <c r="D1594" t="s">
        <v>215</v>
      </c>
      <c r="E1594">
        <v>2018</v>
      </c>
      <c r="F1594">
        <v>3</v>
      </c>
    </row>
    <row r="1595" spans="1:6" x14ac:dyDescent="0.55000000000000004">
      <c r="A1595" t="s">
        <v>89</v>
      </c>
      <c r="B1595" t="s">
        <v>38</v>
      </c>
      <c r="C1595">
        <v>0</v>
      </c>
      <c r="D1595" t="s">
        <v>215</v>
      </c>
      <c r="E1595">
        <v>2018</v>
      </c>
      <c r="F1595">
        <v>3</v>
      </c>
    </row>
    <row r="1596" spans="1:6" x14ac:dyDescent="0.55000000000000004">
      <c r="A1596" t="s">
        <v>89</v>
      </c>
      <c r="B1596" t="s">
        <v>39</v>
      </c>
      <c r="C1596">
        <v>70.319999999999993</v>
      </c>
      <c r="D1596" t="s">
        <v>215</v>
      </c>
      <c r="E1596">
        <v>2018</v>
      </c>
      <c r="F1596">
        <v>3</v>
      </c>
    </row>
    <row r="1597" spans="1:6" x14ac:dyDescent="0.55000000000000004">
      <c r="A1597" t="s">
        <v>89</v>
      </c>
      <c r="B1597" t="s">
        <v>40</v>
      </c>
      <c r="C1597">
        <v>2055.8217</v>
      </c>
      <c r="D1597" t="s">
        <v>215</v>
      </c>
      <c r="E1597">
        <v>2018</v>
      </c>
      <c r="F1597">
        <v>3</v>
      </c>
    </row>
    <row r="1598" spans="1:6" x14ac:dyDescent="0.55000000000000004">
      <c r="A1598" t="s">
        <v>89</v>
      </c>
      <c r="B1598" t="s">
        <v>41</v>
      </c>
      <c r="C1598">
        <v>300622.5784</v>
      </c>
      <c r="D1598" t="s">
        <v>215</v>
      </c>
      <c r="E1598">
        <v>2018</v>
      </c>
      <c r="F1598">
        <v>3</v>
      </c>
    </row>
    <row r="1599" spans="1:6" x14ac:dyDescent="0.55000000000000004">
      <c r="A1599" t="s">
        <v>89</v>
      </c>
      <c r="B1599" t="s">
        <v>42</v>
      </c>
      <c r="C1599">
        <v>35.249699999999997</v>
      </c>
      <c r="D1599" t="s">
        <v>215</v>
      </c>
      <c r="E1599">
        <v>2018</v>
      </c>
      <c r="F1599">
        <v>3</v>
      </c>
    </row>
    <row r="1600" spans="1:6" x14ac:dyDescent="0.55000000000000004">
      <c r="A1600" t="s">
        <v>89</v>
      </c>
      <c r="B1600" t="s">
        <v>43</v>
      </c>
      <c r="C1600">
        <v>295890.30609999999</v>
      </c>
      <c r="D1600" t="s">
        <v>215</v>
      </c>
      <c r="E1600">
        <v>2018</v>
      </c>
      <c r="F1600">
        <v>3</v>
      </c>
    </row>
    <row r="1601" spans="1:6" x14ac:dyDescent="0.55000000000000004">
      <c r="A1601" t="s">
        <v>89</v>
      </c>
      <c r="B1601" t="s">
        <v>45</v>
      </c>
      <c r="C1601">
        <v>2236.9634000000001</v>
      </c>
      <c r="D1601" t="s">
        <v>215</v>
      </c>
      <c r="E1601">
        <v>2018</v>
      </c>
      <c r="F1601">
        <v>3</v>
      </c>
    </row>
    <row r="1602" spans="1:6" x14ac:dyDescent="0.55000000000000004">
      <c r="A1602" t="s">
        <v>89</v>
      </c>
      <c r="B1602" t="s">
        <v>46</v>
      </c>
      <c r="C1602">
        <v>32028.99</v>
      </c>
      <c r="D1602" t="s">
        <v>215</v>
      </c>
      <c r="E1602">
        <v>2018</v>
      </c>
      <c r="F1602">
        <v>3</v>
      </c>
    </row>
    <row r="1603" spans="1:6" x14ac:dyDescent="0.55000000000000004">
      <c r="A1603" t="s">
        <v>89</v>
      </c>
      <c r="B1603" t="s">
        <v>47</v>
      </c>
      <c r="C1603">
        <v>0</v>
      </c>
      <c r="D1603" t="s">
        <v>215</v>
      </c>
      <c r="E1603">
        <v>2018</v>
      </c>
      <c r="F1603">
        <v>3</v>
      </c>
    </row>
    <row r="1604" spans="1:6" x14ac:dyDescent="0.55000000000000004">
      <c r="A1604" t="s">
        <v>89</v>
      </c>
      <c r="B1604" t="s">
        <v>48</v>
      </c>
      <c r="C1604">
        <v>75006.23</v>
      </c>
      <c r="D1604" t="s">
        <v>215</v>
      </c>
      <c r="E1604">
        <v>2018</v>
      </c>
      <c r="F1604">
        <v>3</v>
      </c>
    </row>
    <row r="1605" spans="1:6" x14ac:dyDescent="0.55000000000000004">
      <c r="A1605" t="s">
        <v>89</v>
      </c>
      <c r="B1605" t="s">
        <v>49</v>
      </c>
      <c r="C1605">
        <v>150.39500000000001</v>
      </c>
      <c r="D1605" t="s">
        <v>215</v>
      </c>
      <c r="E1605">
        <v>2018</v>
      </c>
      <c r="F1605">
        <v>3</v>
      </c>
    </row>
    <row r="1606" spans="1:6" x14ac:dyDescent="0.55000000000000004">
      <c r="A1606" t="s">
        <v>89</v>
      </c>
      <c r="B1606" t="s">
        <v>50</v>
      </c>
      <c r="C1606">
        <v>29071.517599999999</v>
      </c>
      <c r="D1606" t="s">
        <v>215</v>
      </c>
      <c r="E1606">
        <v>2018</v>
      </c>
      <c r="F1606">
        <v>3</v>
      </c>
    </row>
    <row r="1607" spans="1:6" x14ac:dyDescent="0.55000000000000004">
      <c r="A1607" t="s">
        <v>89</v>
      </c>
      <c r="B1607" t="s">
        <v>51</v>
      </c>
      <c r="C1607">
        <v>1276.4772</v>
      </c>
      <c r="D1607" t="s">
        <v>215</v>
      </c>
      <c r="E1607">
        <v>2018</v>
      </c>
      <c r="F1607">
        <v>3</v>
      </c>
    </row>
    <row r="1608" spans="1:6" x14ac:dyDescent="0.55000000000000004">
      <c r="A1608" t="s">
        <v>89</v>
      </c>
      <c r="B1608" t="s">
        <v>52</v>
      </c>
      <c r="C1608">
        <v>417.27080000000001</v>
      </c>
      <c r="D1608" t="s">
        <v>215</v>
      </c>
      <c r="E1608">
        <v>2018</v>
      </c>
      <c r="F1608">
        <v>3</v>
      </c>
    </row>
    <row r="1609" spans="1:6" x14ac:dyDescent="0.55000000000000004">
      <c r="A1609" t="s">
        <v>89</v>
      </c>
      <c r="B1609" t="s">
        <v>53</v>
      </c>
      <c r="C1609">
        <v>70797.55</v>
      </c>
      <c r="D1609" t="s">
        <v>215</v>
      </c>
      <c r="E1609">
        <v>2018</v>
      </c>
      <c r="F1609">
        <v>3</v>
      </c>
    </row>
    <row r="1610" spans="1:6" x14ac:dyDescent="0.55000000000000004">
      <c r="A1610" t="s">
        <v>89</v>
      </c>
      <c r="B1610" t="s">
        <v>54</v>
      </c>
      <c r="C1610">
        <v>26601.057799999999</v>
      </c>
      <c r="D1610" t="s">
        <v>215</v>
      </c>
      <c r="E1610">
        <v>2018</v>
      </c>
      <c r="F1610">
        <v>3</v>
      </c>
    </row>
    <row r="1611" spans="1:6" x14ac:dyDescent="0.55000000000000004">
      <c r="A1611" t="s">
        <v>89</v>
      </c>
      <c r="B1611" t="s">
        <v>55</v>
      </c>
      <c r="C1611">
        <v>321.66669999999999</v>
      </c>
      <c r="D1611" t="s">
        <v>215</v>
      </c>
      <c r="E1611">
        <v>2018</v>
      </c>
      <c r="F1611">
        <v>3</v>
      </c>
    </row>
    <row r="1612" spans="1:6" x14ac:dyDescent="0.55000000000000004">
      <c r="A1612" t="s">
        <v>89</v>
      </c>
      <c r="B1612" t="s">
        <v>56</v>
      </c>
      <c r="C1612">
        <v>28076.9833</v>
      </c>
      <c r="D1612" t="s">
        <v>215</v>
      </c>
      <c r="E1612">
        <v>2018</v>
      </c>
      <c r="F1612">
        <v>3</v>
      </c>
    </row>
    <row r="1613" spans="1:6" x14ac:dyDescent="0.55000000000000004">
      <c r="A1613" t="s">
        <v>89</v>
      </c>
      <c r="B1613" t="s">
        <v>57</v>
      </c>
      <c r="C1613">
        <v>111.6605</v>
      </c>
      <c r="D1613" t="s">
        <v>215</v>
      </c>
      <c r="E1613">
        <v>2018</v>
      </c>
      <c r="F1613">
        <v>3</v>
      </c>
    </row>
    <row r="1614" spans="1:6" x14ac:dyDescent="0.55000000000000004">
      <c r="A1614" t="s">
        <v>89</v>
      </c>
      <c r="B1614" t="s">
        <v>58</v>
      </c>
      <c r="C1614">
        <v>388238</v>
      </c>
      <c r="D1614" t="s">
        <v>215</v>
      </c>
      <c r="E1614">
        <v>2018</v>
      </c>
      <c r="F1614">
        <v>3</v>
      </c>
    </row>
    <row r="1615" spans="1:6" x14ac:dyDescent="0.55000000000000004">
      <c r="A1615" t="s">
        <v>89</v>
      </c>
      <c r="B1615" t="s">
        <v>59</v>
      </c>
      <c r="C1615">
        <v>20560.455600000001</v>
      </c>
      <c r="D1615" t="s">
        <v>215</v>
      </c>
      <c r="E1615">
        <v>2018</v>
      </c>
      <c r="F1615">
        <v>3</v>
      </c>
    </row>
    <row r="1616" spans="1:6" x14ac:dyDescent="0.55000000000000004">
      <c r="A1616" t="s">
        <v>89</v>
      </c>
      <c r="B1616" t="s">
        <v>60</v>
      </c>
      <c r="C1616">
        <v>3323636.4048000001</v>
      </c>
      <c r="D1616" t="s">
        <v>215</v>
      </c>
      <c r="E1616">
        <v>2018</v>
      </c>
      <c r="F1616">
        <v>3</v>
      </c>
    </row>
    <row r="1617" spans="1:6" x14ac:dyDescent="0.55000000000000004">
      <c r="A1617" t="s">
        <v>89</v>
      </c>
      <c r="B1617" t="s">
        <v>61</v>
      </c>
      <c r="C1617">
        <v>2969.9922000000001</v>
      </c>
      <c r="D1617" t="s">
        <v>215</v>
      </c>
      <c r="E1617">
        <v>2018</v>
      </c>
      <c r="F1617">
        <v>3</v>
      </c>
    </row>
    <row r="1618" spans="1:6" x14ac:dyDescent="0.55000000000000004">
      <c r="A1618" t="s">
        <v>89</v>
      </c>
      <c r="B1618" t="s">
        <v>62</v>
      </c>
      <c r="C1618">
        <v>2477.9774000000002</v>
      </c>
      <c r="D1618" t="s">
        <v>215</v>
      </c>
      <c r="E1618">
        <v>2018</v>
      </c>
      <c r="F1618">
        <v>3</v>
      </c>
    </row>
    <row r="1619" spans="1:6" x14ac:dyDescent="0.55000000000000004">
      <c r="A1619" t="s">
        <v>89</v>
      </c>
      <c r="B1619" t="s">
        <v>63</v>
      </c>
      <c r="C1619">
        <v>1016.5434</v>
      </c>
      <c r="D1619" t="s">
        <v>215</v>
      </c>
      <c r="E1619">
        <v>2018</v>
      </c>
      <c r="F1619">
        <v>3</v>
      </c>
    </row>
    <row r="1620" spans="1:6" x14ac:dyDescent="0.55000000000000004">
      <c r="A1620" t="s">
        <v>90</v>
      </c>
      <c r="B1620" t="s">
        <v>4</v>
      </c>
      <c r="C1620">
        <v>10387944.9102</v>
      </c>
      <c r="D1620" t="s">
        <v>216</v>
      </c>
      <c r="E1620">
        <v>2018</v>
      </c>
      <c r="F1620">
        <v>4</v>
      </c>
    </row>
    <row r="1621" spans="1:6" x14ac:dyDescent="0.55000000000000004">
      <c r="A1621" t="s">
        <v>90</v>
      </c>
      <c r="B1621" t="s">
        <v>5</v>
      </c>
      <c r="C1621">
        <v>1083154.9493</v>
      </c>
      <c r="D1621" t="s">
        <v>216</v>
      </c>
      <c r="E1621">
        <v>2018</v>
      </c>
      <c r="F1621">
        <v>4</v>
      </c>
    </row>
    <row r="1622" spans="1:6" x14ac:dyDescent="0.55000000000000004">
      <c r="A1622" t="s">
        <v>90</v>
      </c>
      <c r="B1622" t="s">
        <v>6</v>
      </c>
      <c r="C1622">
        <v>2660974.7716000001</v>
      </c>
      <c r="D1622" t="s">
        <v>216</v>
      </c>
      <c r="E1622">
        <v>2018</v>
      </c>
      <c r="F1622">
        <v>4</v>
      </c>
    </row>
    <row r="1623" spans="1:6" x14ac:dyDescent="0.55000000000000004">
      <c r="A1623" t="s">
        <v>90</v>
      </c>
      <c r="B1623" t="s">
        <v>7</v>
      </c>
      <c r="C1623">
        <v>2581238.4350000001</v>
      </c>
      <c r="D1623" t="s">
        <v>216</v>
      </c>
      <c r="E1623">
        <v>2018</v>
      </c>
      <c r="F1623">
        <v>4</v>
      </c>
    </row>
    <row r="1624" spans="1:6" x14ac:dyDescent="0.55000000000000004">
      <c r="A1624" t="s">
        <v>90</v>
      </c>
      <c r="B1624" t="s">
        <v>8</v>
      </c>
      <c r="C1624">
        <v>4062576.7543000001</v>
      </c>
      <c r="D1624" t="s">
        <v>216</v>
      </c>
      <c r="E1624">
        <v>2018</v>
      </c>
      <c r="F1624">
        <v>4</v>
      </c>
    </row>
    <row r="1625" spans="1:6" x14ac:dyDescent="0.55000000000000004">
      <c r="A1625" t="s">
        <v>90</v>
      </c>
      <c r="B1625" t="s">
        <v>9</v>
      </c>
      <c r="C1625">
        <v>2100</v>
      </c>
      <c r="D1625" t="s">
        <v>216</v>
      </c>
      <c r="E1625">
        <v>2018</v>
      </c>
      <c r="F1625">
        <v>4</v>
      </c>
    </row>
    <row r="1626" spans="1:6" x14ac:dyDescent="0.55000000000000004">
      <c r="A1626" t="s">
        <v>90</v>
      </c>
      <c r="B1626" t="s">
        <v>10</v>
      </c>
      <c r="C1626">
        <v>119.67</v>
      </c>
      <c r="D1626" t="s">
        <v>216</v>
      </c>
      <c r="E1626">
        <v>2018</v>
      </c>
      <c r="F1626">
        <v>4</v>
      </c>
    </row>
    <row r="1627" spans="1:6" x14ac:dyDescent="0.55000000000000004">
      <c r="A1627" t="s">
        <v>90</v>
      </c>
      <c r="B1627" t="s">
        <v>11</v>
      </c>
      <c r="C1627">
        <v>2388754.861</v>
      </c>
      <c r="D1627" t="s">
        <v>216</v>
      </c>
      <c r="E1627">
        <v>2018</v>
      </c>
      <c r="F1627">
        <v>4</v>
      </c>
    </row>
    <row r="1628" spans="1:6" x14ac:dyDescent="0.55000000000000004">
      <c r="A1628" t="s">
        <v>90</v>
      </c>
      <c r="B1628" t="s">
        <v>12</v>
      </c>
      <c r="C1628">
        <v>10579.181</v>
      </c>
      <c r="D1628" t="s">
        <v>216</v>
      </c>
      <c r="E1628">
        <v>2018</v>
      </c>
      <c r="F1628">
        <v>4</v>
      </c>
    </row>
    <row r="1629" spans="1:6" x14ac:dyDescent="0.55000000000000004">
      <c r="A1629" t="s">
        <v>90</v>
      </c>
      <c r="B1629" t="s">
        <v>13</v>
      </c>
      <c r="C1629">
        <v>35918.333400000003</v>
      </c>
      <c r="D1629" t="s">
        <v>216</v>
      </c>
      <c r="E1629">
        <v>2018</v>
      </c>
      <c r="F1629">
        <v>4</v>
      </c>
    </row>
    <row r="1630" spans="1:6" x14ac:dyDescent="0.55000000000000004">
      <c r="A1630" t="s">
        <v>90</v>
      </c>
      <c r="B1630" t="s">
        <v>14</v>
      </c>
      <c r="C1630">
        <v>13004</v>
      </c>
      <c r="D1630" t="s">
        <v>216</v>
      </c>
      <c r="E1630">
        <v>2018</v>
      </c>
      <c r="F1630">
        <v>4</v>
      </c>
    </row>
    <row r="1631" spans="1:6" x14ac:dyDescent="0.55000000000000004">
      <c r="A1631" t="s">
        <v>90</v>
      </c>
      <c r="B1631" t="s">
        <v>15</v>
      </c>
      <c r="C1631">
        <v>929864.75260000001</v>
      </c>
      <c r="D1631" t="s">
        <v>216</v>
      </c>
      <c r="E1631">
        <v>2018</v>
      </c>
      <c r="F1631">
        <v>4</v>
      </c>
    </row>
    <row r="1632" spans="1:6" x14ac:dyDescent="0.55000000000000004">
      <c r="A1632" t="s">
        <v>90</v>
      </c>
      <c r="B1632" t="s">
        <v>16</v>
      </c>
      <c r="C1632">
        <v>0</v>
      </c>
      <c r="D1632" t="s">
        <v>216</v>
      </c>
      <c r="E1632">
        <v>2018</v>
      </c>
      <c r="F1632">
        <v>4</v>
      </c>
    </row>
    <row r="1633" spans="1:6" x14ac:dyDescent="0.55000000000000004">
      <c r="A1633" t="s">
        <v>90</v>
      </c>
      <c r="B1633" t="s">
        <v>17</v>
      </c>
      <c r="C1633">
        <v>145974.54250000001</v>
      </c>
      <c r="D1633" t="s">
        <v>216</v>
      </c>
      <c r="E1633">
        <v>2018</v>
      </c>
      <c r="F1633">
        <v>4</v>
      </c>
    </row>
    <row r="1634" spans="1:6" x14ac:dyDescent="0.55000000000000004">
      <c r="A1634" t="s">
        <v>90</v>
      </c>
      <c r="B1634" t="s">
        <v>18</v>
      </c>
      <c r="C1634">
        <v>119777.51609999999</v>
      </c>
      <c r="D1634" t="s">
        <v>216</v>
      </c>
      <c r="E1634">
        <v>2018</v>
      </c>
      <c r="F1634">
        <v>4</v>
      </c>
    </row>
    <row r="1635" spans="1:6" x14ac:dyDescent="0.55000000000000004">
      <c r="A1635" t="s">
        <v>90</v>
      </c>
      <c r="B1635" t="s">
        <v>19</v>
      </c>
      <c r="C1635">
        <v>3156.8784999999998</v>
      </c>
      <c r="D1635" t="s">
        <v>216</v>
      </c>
      <c r="E1635">
        <v>2018</v>
      </c>
      <c r="F1635">
        <v>4</v>
      </c>
    </row>
    <row r="1636" spans="1:6" x14ac:dyDescent="0.55000000000000004">
      <c r="A1636" t="s">
        <v>90</v>
      </c>
      <c r="B1636" t="s">
        <v>20</v>
      </c>
      <c r="C1636">
        <v>24701.6666</v>
      </c>
      <c r="D1636" t="s">
        <v>216</v>
      </c>
      <c r="E1636">
        <v>2018</v>
      </c>
      <c r="F1636">
        <v>4</v>
      </c>
    </row>
    <row r="1637" spans="1:6" x14ac:dyDescent="0.55000000000000004">
      <c r="A1637" t="s">
        <v>90</v>
      </c>
      <c r="B1637" t="s">
        <v>21</v>
      </c>
      <c r="C1637">
        <v>1543.9775999999999</v>
      </c>
      <c r="D1637" t="s">
        <v>216</v>
      </c>
      <c r="E1637">
        <v>2018</v>
      </c>
      <c r="F1637">
        <v>4</v>
      </c>
    </row>
    <row r="1638" spans="1:6" x14ac:dyDescent="0.55000000000000004">
      <c r="A1638" t="s">
        <v>90</v>
      </c>
      <c r="B1638" t="s">
        <v>22</v>
      </c>
      <c r="C1638">
        <v>41454.33</v>
      </c>
      <c r="D1638" t="s">
        <v>216</v>
      </c>
      <c r="E1638">
        <v>2018</v>
      </c>
      <c r="F1638">
        <v>4</v>
      </c>
    </row>
    <row r="1639" spans="1:6" x14ac:dyDescent="0.55000000000000004">
      <c r="A1639" t="s">
        <v>90</v>
      </c>
      <c r="B1639" t="s">
        <v>23</v>
      </c>
      <c r="C1639">
        <v>70796.413799999995</v>
      </c>
      <c r="D1639" t="s">
        <v>216</v>
      </c>
      <c r="E1639">
        <v>2018</v>
      </c>
      <c r="F1639">
        <v>4</v>
      </c>
    </row>
    <row r="1640" spans="1:6" x14ac:dyDescent="0.55000000000000004">
      <c r="A1640" t="s">
        <v>90</v>
      </c>
      <c r="B1640" t="s">
        <v>24</v>
      </c>
      <c r="C1640">
        <v>2.34</v>
      </c>
      <c r="D1640" t="s">
        <v>216</v>
      </c>
      <c r="E1640">
        <v>2018</v>
      </c>
      <c r="F1640">
        <v>4</v>
      </c>
    </row>
    <row r="1641" spans="1:6" x14ac:dyDescent="0.55000000000000004">
      <c r="A1641" t="s">
        <v>90</v>
      </c>
      <c r="B1641" t="s">
        <v>25</v>
      </c>
      <c r="C1641">
        <v>306393.18329999998</v>
      </c>
      <c r="D1641" t="s">
        <v>216</v>
      </c>
      <c r="E1641">
        <v>2018</v>
      </c>
      <c r="F1641">
        <v>4</v>
      </c>
    </row>
    <row r="1642" spans="1:6" x14ac:dyDescent="0.55000000000000004">
      <c r="A1642" t="s">
        <v>90</v>
      </c>
      <c r="B1642" t="s">
        <v>26</v>
      </c>
      <c r="C1642">
        <v>0.85</v>
      </c>
      <c r="D1642" t="s">
        <v>216</v>
      </c>
      <c r="E1642">
        <v>2018</v>
      </c>
      <c r="F1642">
        <v>4</v>
      </c>
    </row>
    <row r="1643" spans="1:6" x14ac:dyDescent="0.55000000000000004">
      <c r="A1643" t="s">
        <v>90</v>
      </c>
      <c r="B1643" t="s">
        <v>27</v>
      </c>
      <c r="C1643">
        <v>1518.4693</v>
      </c>
      <c r="D1643" t="s">
        <v>216</v>
      </c>
      <c r="E1643">
        <v>2018</v>
      </c>
      <c r="F1643">
        <v>4</v>
      </c>
    </row>
    <row r="1644" spans="1:6" x14ac:dyDescent="0.55000000000000004">
      <c r="A1644" t="s">
        <v>90</v>
      </c>
      <c r="B1644" t="s">
        <v>28</v>
      </c>
      <c r="C1644">
        <v>393761.43209999998</v>
      </c>
      <c r="D1644" t="s">
        <v>216</v>
      </c>
      <c r="E1644">
        <v>2018</v>
      </c>
      <c r="F1644">
        <v>4</v>
      </c>
    </row>
    <row r="1645" spans="1:6" x14ac:dyDescent="0.55000000000000004">
      <c r="A1645" t="s">
        <v>90</v>
      </c>
      <c r="B1645" t="s">
        <v>29</v>
      </c>
      <c r="C1645">
        <v>13172.180200000001</v>
      </c>
      <c r="D1645" t="s">
        <v>216</v>
      </c>
      <c r="E1645">
        <v>2018</v>
      </c>
      <c r="F1645">
        <v>4</v>
      </c>
    </row>
    <row r="1646" spans="1:6" x14ac:dyDescent="0.55000000000000004">
      <c r="A1646" t="s">
        <v>90</v>
      </c>
      <c r="B1646" t="s">
        <v>30</v>
      </c>
      <c r="C1646">
        <v>125.66670000000001</v>
      </c>
      <c r="D1646" t="s">
        <v>216</v>
      </c>
      <c r="E1646">
        <v>2018</v>
      </c>
      <c r="F1646">
        <v>4</v>
      </c>
    </row>
    <row r="1647" spans="1:6" x14ac:dyDescent="0.55000000000000004">
      <c r="A1647" t="s">
        <v>90</v>
      </c>
      <c r="B1647" t="s">
        <v>31</v>
      </c>
      <c r="C1647">
        <v>15.6723</v>
      </c>
      <c r="D1647" t="s">
        <v>216</v>
      </c>
      <c r="E1647">
        <v>2018</v>
      </c>
      <c r="F1647">
        <v>4</v>
      </c>
    </row>
    <row r="1648" spans="1:6" x14ac:dyDescent="0.55000000000000004">
      <c r="A1648" t="s">
        <v>90</v>
      </c>
      <c r="B1648" t="s">
        <v>32</v>
      </c>
      <c r="C1648">
        <v>802848.44200000004</v>
      </c>
      <c r="D1648" t="s">
        <v>216</v>
      </c>
      <c r="E1648">
        <v>2018</v>
      </c>
      <c r="F1648">
        <v>4</v>
      </c>
    </row>
    <row r="1649" spans="1:6" x14ac:dyDescent="0.55000000000000004">
      <c r="A1649" t="s">
        <v>90</v>
      </c>
      <c r="B1649" t="s">
        <v>33</v>
      </c>
      <c r="C1649">
        <v>669740.25870000001</v>
      </c>
      <c r="D1649" t="s">
        <v>216</v>
      </c>
      <c r="E1649">
        <v>2018</v>
      </c>
      <c r="F1649">
        <v>4</v>
      </c>
    </row>
    <row r="1650" spans="1:6" x14ac:dyDescent="0.55000000000000004">
      <c r="A1650" t="s">
        <v>90</v>
      </c>
      <c r="B1650" t="s">
        <v>34</v>
      </c>
      <c r="C1650">
        <v>454328.1312</v>
      </c>
      <c r="D1650" t="s">
        <v>216</v>
      </c>
      <c r="E1650">
        <v>2018</v>
      </c>
      <c r="F1650">
        <v>4</v>
      </c>
    </row>
    <row r="1651" spans="1:6" x14ac:dyDescent="0.55000000000000004">
      <c r="A1651" t="s">
        <v>90</v>
      </c>
      <c r="B1651" t="s">
        <v>35</v>
      </c>
      <c r="C1651">
        <v>427.42720000000003</v>
      </c>
      <c r="D1651" t="s">
        <v>216</v>
      </c>
      <c r="E1651">
        <v>2018</v>
      </c>
      <c r="F1651">
        <v>4</v>
      </c>
    </row>
    <row r="1652" spans="1:6" x14ac:dyDescent="0.55000000000000004">
      <c r="A1652" t="s">
        <v>90</v>
      </c>
      <c r="B1652" t="s">
        <v>36</v>
      </c>
      <c r="C1652">
        <v>79639.156700000007</v>
      </c>
      <c r="D1652" t="s">
        <v>216</v>
      </c>
      <c r="E1652">
        <v>2018</v>
      </c>
      <c r="F1652">
        <v>4</v>
      </c>
    </row>
    <row r="1653" spans="1:6" x14ac:dyDescent="0.55000000000000004">
      <c r="A1653" t="s">
        <v>90</v>
      </c>
      <c r="B1653" t="s">
        <v>37</v>
      </c>
      <c r="C1653">
        <v>41990.174099999997</v>
      </c>
      <c r="D1653" t="s">
        <v>216</v>
      </c>
      <c r="E1653">
        <v>2018</v>
      </c>
      <c r="F1653">
        <v>4</v>
      </c>
    </row>
    <row r="1654" spans="1:6" x14ac:dyDescent="0.55000000000000004">
      <c r="A1654" t="s">
        <v>90</v>
      </c>
      <c r="B1654" t="s">
        <v>38</v>
      </c>
      <c r="C1654">
        <v>0</v>
      </c>
      <c r="D1654" t="s">
        <v>216</v>
      </c>
      <c r="E1654">
        <v>2018</v>
      </c>
      <c r="F1654">
        <v>4</v>
      </c>
    </row>
    <row r="1655" spans="1:6" x14ac:dyDescent="0.55000000000000004">
      <c r="A1655" t="s">
        <v>90</v>
      </c>
      <c r="B1655" t="s">
        <v>39</v>
      </c>
      <c r="C1655">
        <v>1046.98</v>
      </c>
      <c r="D1655" t="s">
        <v>216</v>
      </c>
      <c r="E1655">
        <v>2018</v>
      </c>
      <c r="F1655">
        <v>4</v>
      </c>
    </row>
    <row r="1656" spans="1:6" x14ac:dyDescent="0.55000000000000004">
      <c r="A1656" t="s">
        <v>90</v>
      </c>
      <c r="B1656" t="s">
        <v>40</v>
      </c>
      <c r="C1656">
        <v>399.1617</v>
      </c>
      <c r="D1656" t="s">
        <v>216</v>
      </c>
      <c r="E1656">
        <v>2018</v>
      </c>
      <c r="F1656">
        <v>4</v>
      </c>
    </row>
    <row r="1657" spans="1:6" x14ac:dyDescent="0.55000000000000004">
      <c r="A1657" t="s">
        <v>90</v>
      </c>
      <c r="B1657" t="s">
        <v>41</v>
      </c>
      <c r="C1657">
        <v>334148.98959999997</v>
      </c>
      <c r="D1657" t="s">
        <v>216</v>
      </c>
      <c r="E1657">
        <v>2018</v>
      </c>
      <c r="F1657">
        <v>4</v>
      </c>
    </row>
    <row r="1658" spans="1:6" x14ac:dyDescent="0.55000000000000004">
      <c r="A1658" t="s">
        <v>90</v>
      </c>
      <c r="B1658" t="s">
        <v>42</v>
      </c>
      <c r="C1658">
        <v>65.449700000000007</v>
      </c>
      <c r="D1658" t="s">
        <v>216</v>
      </c>
      <c r="E1658">
        <v>2018</v>
      </c>
      <c r="F1658">
        <v>4</v>
      </c>
    </row>
    <row r="1659" spans="1:6" x14ac:dyDescent="0.55000000000000004">
      <c r="A1659" t="s">
        <v>90</v>
      </c>
      <c r="B1659" t="s">
        <v>43</v>
      </c>
      <c r="C1659">
        <v>318984.97440000001</v>
      </c>
      <c r="D1659" t="s">
        <v>216</v>
      </c>
      <c r="E1659">
        <v>2018</v>
      </c>
      <c r="F1659">
        <v>4</v>
      </c>
    </row>
    <row r="1660" spans="1:6" x14ac:dyDescent="0.55000000000000004">
      <c r="A1660" t="s">
        <v>90</v>
      </c>
      <c r="B1660" t="s">
        <v>44</v>
      </c>
      <c r="C1660">
        <v>0.78</v>
      </c>
      <c r="D1660" t="s">
        <v>216</v>
      </c>
      <c r="E1660">
        <v>2018</v>
      </c>
      <c r="F1660">
        <v>4</v>
      </c>
    </row>
    <row r="1661" spans="1:6" x14ac:dyDescent="0.55000000000000004">
      <c r="A1661" t="s">
        <v>90</v>
      </c>
      <c r="B1661" t="s">
        <v>45</v>
      </c>
      <c r="C1661">
        <v>5670.9794000000002</v>
      </c>
      <c r="D1661" t="s">
        <v>216</v>
      </c>
      <c r="E1661">
        <v>2018</v>
      </c>
      <c r="F1661">
        <v>4</v>
      </c>
    </row>
    <row r="1662" spans="1:6" x14ac:dyDescent="0.55000000000000004">
      <c r="A1662" t="s">
        <v>90</v>
      </c>
      <c r="B1662" t="s">
        <v>46</v>
      </c>
      <c r="C1662">
        <v>41225</v>
      </c>
      <c r="D1662" t="s">
        <v>216</v>
      </c>
      <c r="E1662">
        <v>2018</v>
      </c>
      <c r="F1662">
        <v>4</v>
      </c>
    </row>
    <row r="1663" spans="1:6" x14ac:dyDescent="0.55000000000000004">
      <c r="A1663" t="s">
        <v>90</v>
      </c>
      <c r="B1663" t="s">
        <v>47</v>
      </c>
      <c r="C1663">
        <v>0</v>
      </c>
      <c r="D1663" t="s">
        <v>216</v>
      </c>
      <c r="E1663">
        <v>2018</v>
      </c>
      <c r="F1663">
        <v>4</v>
      </c>
    </row>
    <row r="1664" spans="1:6" x14ac:dyDescent="0.55000000000000004">
      <c r="A1664" t="s">
        <v>90</v>
      </c>
      <c r="B1664" t="s">
        <v>48</v>
      </c>
      <c r="C1664">
        <v>52817.14</v>
      </c>
      <c r="D1664" t="s">
        <v>216</v>
      </c>
      <c r="E1664">
        <v>2018</v>
      </c>
      <c r="F1664">
        <v>4</v>
      </c>
    </row>
    <row r="1665" spans="1:6" x14ac:dyDescent="0.55000000000000004">
      <c r="A1665" t="s">
        <v>90</v>
      </c>
      <c r="B1665" t="s">
        <v>49</v>
      </c>
      <c r="C1665">
        <v>520.1277</v>
      </c>
      <c r="D1665" t="s">
        <v>216</v>
      </c>
      <c r="E1665">
        <v>2018</v>
      </c>
      <c r="F1665">
        <v>4</v>
      </c>
    </row>
    <row r="1666" spans="1:6" x14ac:dyDescent="0.55000000000000004">
      <c r="A1666" t="s">
        <v>90</v>
      </c>
      <c r="B1666" t="s">
        <v>50</v>
      </c>
      <c r="C1666">
        <v>18993.254799999999</v>
      </c>
      <c r="D1666" t="s">
        <v>216</v>
      </c>
      <c r="E1666">
        <v>2018</v>
      </c>
      <c r="F1666">
        <v>4</v>
      </c>
    </row>
    <row r="1667" spans="1:6" x14ac:dyDescent="0.55000000000000004">
      <c r="A1667" t="s">
        <v>90</v>
      </c>
      <c r="B1667" t="s">
        <v>51</v>
      </c>
      <c r="C1667">
        <v>3180.5672</v>
      </c>
      <c r="D1667" t="s">
        <v>216</v>
      </c>
      <c r="E1667">
        <v>2018</v>
      </c>
      <c r="F1667">
        <v>4</v>
      </c>
    </row>
    <row r="1668" spans="1:6" x14ac:dyDescent="0.55000000000000004">
      <c r="A1668" t="s">
        <v>90</v>
      </c>
      <c r="B1668" t="s">
        <v>52</v>
      </c>
      <c r="C1668">
        <v>32.3005</v>
      </c>
      <c r="D1668" t="s">
        <v>216</v>
      </c>
      <c r="E1668">
        <v>2018</v>
      </c>
      <c r="F1668">
        <v>4</v>
      </c>
    </row>
    <row r="1669" spans="1:6" x14ac:dyDescent="0.55000000000000004">
      <c r="A1669" t="s">
        <v>90</v>
      </c>
      <c r="B1669" t="s">
        <v>53</v>
      </c>
      <c r="C1669">
        <v>82874.42</v>
      </c>
      <c r="D1669" t="s">
        <v>216</v>
      </c>
      <c r="E1669">
        <v>2018</v>
      </c>
      <c r="F1669">
        <v>4</v>
      </c>
    </row>
    <row r="1670" spans="1:6" x14ac:dyDescent="0.55000000000000004">
      <c r="A1670" t="s">
        <v>90</v>
      </c>
      <c r="B1670" t="s">
        <v>54</v>
      </c>
      <c r="C1670">
        <v>24996.3639</v>
      </c>
      <c r="D1670" t="s">
        <v>216</v>
      </c>
      <c r="E1670">
        <v>2018</v>
      </c>
      <c r="F1670">
        <v>4</v>
      </c>
    </row>
    <row r="1671" spans="1:6" x14ac:dyDescent="0.55000000000000004">
      <c r="A1671" t="s">
        <v>90</v>
      </c>
      <c r="B1671" t="s">
        <v>55</v>
      </c>
      <c r="C1671">
        <v>4560</v>
      </c>
      <c r="D1671" t="s">
        <v>216</v>
      </c>
      <c r="E1671">
        <v>2018</v>
      </c>
      <c r="F1671">
        <v>4</v>
      </c>
    </row>
    <row r="1672" spans="1:6" x14ac:dyDescent="0.55000000000000004">
      <c r="A1672" t="s">
        <v>90</v>
      </c>
      <c r="B1672" t="s">
        <v>56</v>
      </c>
      <c r="C1672">
        <v>8617.5499999999993</v>
      </c>
      <c r="D1672" t="s">
        <v>216</v>
      </c>
      <c r="E1672">
        <v>2018</v>
      </c>
      <c r="F1672">
        <v>4</v>
      </c>
    </row>
    <row r="1673" spans="1:6" x14ac:dyDescent="0.55000000000000004">
      <c r="A1673" t="s">
        <v>90</v>
      </c>
      <c r="B1673" t="s">
        <v>57</v>
      </c>
      <c r="C1673">
        <v>138.89250000000001</v>
      </c>
      <c r="D1673" t="s">
        <v>216</v>
      </c>
      <c r="E1673">
        <v>2018</v>
      </c>
      <c r="F1673">
        <v>4</v>
      </c>
    </row>
    <row r="1674" spans="1:6" x14ac:dyDescent="0.55000000000000004">
      <c r="A1674" t="s">
        <v>90</v>
      </c>
      <c r="B1674" t="s">
        <v>58</v>
      </c>
      <c r="C1674">
        <v>295035</v>
      </c>
      <c r="D1674" t="s">
        <v>216</v>
      </c>
      <c r="E1674">
        <v>2018</v>
      </c>
      <c r="F1674">
        <v>4</v>
      </c>
    </row>
    <row r="1675" spans="1:6" x14ac:dyDescent="0.55000000000000004">
      <c r="A1675" t="s">
        <v>90</v>
      </c>
      <c r="B1675" t="s">
        <v>59</v>
      </c>
      <c r="C1675">
        <v>39030.955300000001</v>
      </c>
      <c r="D1675" t="s">
        <v>216</v>
      </c>
      <c r="E1675">
        <v>2018</v>
      </c>
      <c r="F1675">
        <v>4</v>
      </c>
    </row>
    <row r="1676" spans="1:6" x14ac:dyDescent="0.55000000000000004">
      <c r="A1676" t="s">
        <v>90</v>
      </c>
      <c r="B1676" t="s">
        <v>60</v>
      </c>
      <c r="C1676">
        <v>2597099.6469999999</v>
      </c>
      <c r="D1676" t="s">
        <v>216</v>
      </c>
      <c r="E1676">
        <v>2018</v>
      </c>
      <c r="F1676">
        <v>4</v>
      </c>
    </row>
    <row r="1677" spans="1:6" x14ac:dyDescent="0.55000000000000004">
      <c r="A1677" t="s">
        <v>90</v>
      </c>
      <c r="B1677" t="s">
        <v>61</v>
      </c>
      <c r="C1677">
        <v>4084.0922</v>
      </c>
      <c r="D1677" t="s">
        <v>216</v>
      </c>
      <c r="E1677">
        <v>2018</v>
      </c>
      <c r="F1677">
        <v>4</v>
      </c>
    </row>
    <row r="1678" spans="1:6" x14ac:dyDescent="0.55000000000000004">
      <c r="A1678" t="s">
        <v>90</v>
      </c>
      <c r="B1678" t="s">
        <v>62</v>
      </c>
      <c r="C1678">
        <v>2712.7773999999999</v>
      </c>
      <c r="D1678" t="s">
        <v>216</v>
      </c>
      <c r="E1678">
        <v>2018</v>
      </c>
      <c r="F1678">
        <v>4</v>
      </c>
    </row>
    <row r="1679" spans="1:6" x14ac:dyDescent="0.55000000000000004">
      <c r="A1679" t="s">
        <v>90</v>
      </c>
      <c r="B1679" t="s">
        <v>63</v>
      </c>
      <c r="C1679">
        <v>0</v>
      </c>
      <c r="D1679" t="s">
        <v>216</v>
      </c>
      <c r="E1679">
        <v>2018</v>
      </c>
      <c r="F1679">
        <v>4</v>
      </c>
    </row>
    <row r="1680" spans="1:6" x14ac:dyDescent="0.55000000000000004">
      <c r="A1680" t="s">
        <v>91</v>
      </c>
      <c r="B1680" t="s">
        <v>4</v>
      </c>
      <c r="C1680">
        <v>10488940.9267</v>
      </c>
      <c r="D1680" t="s">
        <v>217</v>
      </c>
      <c r="E1680">
        <v>2018</v>
      </c>
      <c r="F1680">
        <v>5</v>
      </c>
    </row>
    <row r="1681" spans="1:6" x14ac:dyDescent="0.55000000000000004">
      <c r="A1681" t="s">
        <v>91</v>
      </c>
      <c r="B1681" t="s">
        <v>5</v>
      </c>
      <c r="C1681">
        <v>1080741.8970999999</v>
      </c>
      <c r="D1681" t="s">
        <v>217</v>
      </c>
      <c r="E1681">
        <v>2018</v>
      </c>
      <c r="F1681">
        <v>5</v>
      </c>
    </row>
    <row r="1682" spans="1:6" x14ac:dyDescent="0.55000000000000004">
      <c r="A1682" t="s">
        <v>91</v>
      </c>
      <c r="B1682" t="s">
        <v>6</v>
      </c>
      <c r="C1682">
        <v>2731145.9654999999</v>
      </c>
      <c r="D1682" t="s">
        <v>217</v>
      </c>
      <c r="E1682">
        <v>2018</v>
      </c>
      <c r="F1682">
        <v>5</v>
      </c>
    </row>
    <row r="1683" spans="1:6" x14ac:dyDescent="0.55000000000000004">
      <c r="A1683" t="s">
        <v>91</v>
      </c>
      <c r="B1683" t="s">
        <v>7</v>
      </c>
      <c r="C1683">
        <v>2054086.612</v>
      </c>
      <c r="D1683" t="s">
        <v>217</v>
      </c>
      <c r="E1683">
        <v>2018</v>
      </c>
      <c r="F1683">
        <v>5</v>
      </c>
    </row>
    <row r="1684" spans="1:6" x14ac:dyDescent="0.55000000000000004">
      <c r="A1684" t="s">
        <v>91</v>
      </c>
      <c r="B1684" t="s">
        <v>8</v>
      </c>
      <c r="C1684">
        <v>4622966.4521000003</v>
      </c>
      <c r="D1684" t="s">
        <v>217</v>
      </c>
      <c r="E1684">
        <v>2018</v>
      </c>
      <c r="F1684">
        <v>5</v>
      </c>
    </row>
    <row r="1685" spans="1:6" x14ac:dyDescent="0.55000000000000004">
      <c r="A1685" t="s">
        <v>91</v>
      </c>
      <c r="B1685" t="s">
        <v>9</v>
      </c>
      <c r="C1685">
        <v>1500</v>
      </c>
      <c r="D1685" t="s">
        <v>217</v>
      </c>
      <c r="E1685">
        <v>2018</v>
      </c>
      <c r="F1685">
        <v>5</v>
      </c>
    </row>
    <row r="1686" spans="1:6" x14ac:dyDescent="0.55000000000000004">
      <c r="A1686" t="s">
        <v>91</v>
      </c>
      <c r="B1686" t="s">
        <v>10</v>
      </c>
      <c r="C1686">
        <v>254.33</v>
      </c>
      <c r="D1686" t="s">
        <v>217</v>
      </c>
      <c r="E1686">
        <v>2018</v>
      </c>
      <c r="F1686">
        <v>5</v>
      </c>
    </row>
    <row r="1687" spans="1:6" x14ac:dyDescent="0.55000000000000004">
      <c r="A1687" t="s">
        <v>91</v>
      </c>
      <c r="B1687" t="s">
        <v>11</v>
      </c>
      <c r="C1687">
        <v>1729254.4069999999</v>
      </c>
      <c r="D1687" t="s">
        <v>217</v>
      </c>
      <c r="E1687">
        <v>2018</v>
      </c>
      <c r="F1687">
        <v>5</v>
      </c>
    </row>
    <row r="1688" spans="1:6" x14ac:dyDescent="0.55000000000000004">
      <c r="A1688" t="s">
        <v>91</v>
      </c>
      <c r="B1688" t="s">
        <v>12</v>
      </c>
      <c r="C1688">
        <v>5334.2166999999999</v>
      </c>
      <c r="D1688" t="s">
        <v>217</v>
      </c>
      <c r="E1688">
        <v>2018</v>
      </c>
      <c r="F1688">
        <v>5</v>
      </c>
    </row>
    <row r="1689" spans="1:6" x14ac:dyDescent="0.55000000000000004">
      <c r="A1689" t="s">
        <v>91</v>
      </c>
      <c r="B1689" t="s">
        <v>13</v>
      </c>
      <c r="C1689">
        <v>42574</v>
      </c>
      <c r="D1689" t="s">
        <v>217</v>
      </c>
      <c r="E1689">
        <v>2018</v>
      </c>
      <c r="F1689">
        <v>5</v>
      </c>
    </row>
    <row r="1690" spans="1:6" x14ac:dyDescent="0.55000000000000004">
      <c r="A1690" t="s">
        <v>91</v>
      </c>
      <c r="B1690" t="s">
        <v>14</v>
      </c>
      <c r="C1690">
        <v>11120</v>
      </c>
      <c r="D1690" t="s">
        <v>217</v>
      </c>
      <c r="E1690">
        <v>2018</v>
      </c>
      <c r="F1690">
        <v>5</v>
      </c>
    </row>
    <row r="1691" spans="1:6" x14ac:dyDescent="0.55000000000000004">
      <c r="A1691" t="s">
        <v>91</v>
      </c>
      <c r="B1691" t="s">
        <v>15</v>
      </c>
      <c r="C1691">
        <v>953576.42709999997</v>
      </c>
      <c r="D1691" t="s">
        <v>217</v>
      </c>
      <c r="E1691">
        <v>2018</v>
      </c>
      <c r="F1691">
        <v>5</v>
      </c>
    </row>
    <row r="1692" spans="1:6" x14ac:dyDescent="0.55000000000000004">
      <c r="A1692" t="s">
        <v>91</v>
      </c>
      <c r="B1692" t="s">
        <v>16</v>
      </c>
      <c r="C1692">
        <v>0</v>
      </c>
      <c r="D1692" t="s">
        <v>217</v>
      </c>
      <c r="E1692">
        <v>2018</v>
      </c>
      <c r="F1692">
        <v>5</v>
      </c>
    </row>
    <row r="1693" spans="1:6" x14ac:dyDescent="0.55000000000000004">
      <c r="A1693" t="s">
        <v>91</v>
      </c>
      <c r="B1693" t="s">
        <v>17</v>
      </c>
      <c r="C1693">
        <v>170026.14910000001</v>
      </c>
      <c r="D1693" t="s">
        <v>217</v>
      </c>
      <c r="E1693">
        <v>2018</v>
      </c>
      <c r="F1693">
        <v>5</v>
      </c>
    </row>
    <row r="1694" spans="1:6" x14ac:dyDescent="0.55000000000000004">
      <c r="A1694" t="s">
        <v>91</v>
      </c>
      <c r="B1694" t="s">
        <v>18</v>
      </c>
      <c r="C1694">
        <v>172033.46650000001</v>
      </c>
      <c r="D1694" t="s">
        <v>217</v>
      </c>
      <c r="E1694">
        <v>2018</v>
      </c>
      <c r="F1694">
        <v>5</v>
      </c>
    </row>
    <row r="1695" spans="1:6" x14ac:dyDescent="0.55000000000000004">
      <c r="A1695" t="s">
        <v>91</v>
      </c>
      <c r="B1695" t="s">
        <v>19</v>
      </c>
      <c r="C1695">
        <v>2770.9857000000002</v>
      </c>
      <c r="D1695" t="s">
        <v>217</v>
      </c>
      <c r="E1695">
        <v>2018</v>
      </c>
      <c r="F1695">
        <v>5</v>
      </c>
    </row>
    <row r="1696" spans="1:6" x14ac:dyDescent="0.55000000000000004">
      <c r="A1696" t="s">
        <v>91</v>
      </c>
      <c r="B1696" t="s">
        <v>20</v>
      </c>
      <c r="C1696">
        <v>18843.3334</v>
      </c>
      <c r="D1696" t="s">
        <v>217</v>
      </c>
      <c r="E1696">
        <v>2018</v>
      </c>
      <c r="F1696">
        <v>5</v>
      </c>
    </row>
    <row r="1697" spans="1:6" x14ac:dyDescent="0.55000000000000004">
      <c r="A1697" t="s">
        <v>91</v>
      </c>
      <c r="B1697" t="s">
        <v>21</v>
      </c>
      <c r="C1697">
        <v>1409.9119000000001</v>
      </c>
      <c r="D1697" t="s">
        <v>217</v>
      </c>
      <c r="E1697">
        <v>2018</v>
      </c>
      <c r="F1697">
        <v>5</v>
      </c>
    </row>
    <row r="1698" spans="1:6" x14ac:dyDescent="0.55000000000000004">
      <c r="A1698" t="s">
        <v>91</v>
      </c>
      <c r="B1698" t="s">
        <v>22</v>
      </c>
      <c r="C1698">
        <v>43570.754999999997</v>
      </c>
      <c r="D1698" t="s">
        <v>217</v>
      </c>
      <c r="E1698">
        <v>2018</v>
      </c>
      <c r="F1698">
        <v>5</v>
      </c>
    </row>
    <row r="1699" spans="1:6" x14ac:dyDescent="0.55000000000000004">
      <c r="A1699" t="s">
        <v>91</v>
      </c>
      <c r="B1699" t="s">
        <v>23</v>
      </c>
      <c r="C1699">
        <v>99422.664699999994</v>
      </c>
      <c r="D1699" t="s">
        <v>217</v>
      </c>
      <c r="E1699">
        <v>2018</v>
      </c>
      <c r="F1699">
        <v>5</v>
      </c>
    </row>
    <row r="1700" spans="1:6" x14ac:dyDescent="0.55000000000000004">
      <c r="A1700" t="s">
        <v>91</v>
      </c>
      <c r="B1700" t="s">
        <v>24</v>
      </c>
      <c r="C1700">
        <v>2.34</v>
      </c>
      <c r="D1700" t="s">
        <v>217</v>
      </c>
      <c r="E1700">
        <v>2018</v>
      </c>
      <c r="F1700">
        <v>5</v>
      </c>
    </row>
    <row r="1701" spans="1:6" x14ac:dyDescent="0.55000000000000004">
      <c r="A1701" t="s">
        <v>91</v>
      </c>
      <c r="B1701" t="s">
        <v>25</v>
      </c>
      <c r="C1701">
        <v>396813.5</v>
      </c>
      <c r="D1701" t="s">
        <v>217</v>
      </c>
      <c r="E1701">
        <v>2018</v>
      </c>
      <c r="F1701">
        <v>5</v>
      </c>
    </row>
    <row r="1702" spans="1:6" x14ac:dyDescent="0.55000000000000004">
      <c r="A1702" t="s">
        <v>91</v>
      </c>
      <c r="B1702" t="s">
        <v>26</v>
      </c>
      <c r="C1702">
        <v>0.85</v>
      </c>
      <c r="D1702" t="s">
        <v>217</v>
      </c>
      <c r="E1702">
        <v>2018</v>
      </c>
      <c r="F1702">
        <v>5</v>
      </c>
    </row>
    <row r="1703" spans="1:6" x14ac:dyDescent="0.55000000000000004">
      <c r="A1703" t="s">
        <v>91</v>
      </c>
      <c r="B1703" t="s">
        <v>27</v>
      </c>
      <c r="C1703">
        <v>1445.4353000000001</v>
      </c>
      <c r="D1703" t="s">
        <v>217</v>
      </c>
      <c r="E1703">
        <v>2018</v>
      </c>
      <c r="F1703">
        <v>5</v>
      </c>
    </row>
    <row r="1704" spans="1:6" x14ac:dyDescent="0.55000000000000004">
      <c r="A1704" t="s">
        <v>91</v>
      </c>
      <c r="B1704" t="s">
        <v>28</v>
      </c>
      <c r="C1704">
        <v>480190.04940000002</v>
      </c>
      <c r="D1704" t="s">
        <v>217</v>
      </c>
      <c r="E1704">
        <v>2018</v>
      </c>
      <c r="F1704">
        <v>5</v>
      </c>
    </row>
    <row r="1705" spans="1:6" x14ac:dyDescent="0.55000000000000004">
      <c r="A1705" t="s">
        <v>91</v>
      </c>
      <c r="B1705" t="s">
        <v>29</v>
      </c>
      <c r="C1705">
        <v>12296.002200000001</v>
      </c>
      <c r="D1705" t="s">
        <v>217</v>
      </c>
      <c r="E1705">
        <v>2018</v>
      </c>
      <c r="F1705">
        <v>5</v>
      </c>
    </row>
    <row r="1706" spans="1:6" x14ac:dyDescent="0.55000000000000004">
      <c r="A1706" t="s">
        <v>91</v>
      </c>
      <c r="B1706" t="s">
        <v>30</v>
      </c>
      <c r="C1706">
        <v>102.18</v>
      </c>
      <c r="D1706" t="s">
        <v>217</v>
      </c>
      <c r="E1706">
        <v>2018</v>
      </c>
      <c r="F1706">
        <v>5</v>
      </c>
    </row>
    <row r="1707" spans="1:6" x14ac:dyDescent="0.55000000000000004">
      <c r="A1707" t="s">
        <v>91</v>
      </c>
      <c r="B1707" t="s">
        <v>31</v>
      </c>
      <c r="C1707">
        <v>346.44560000000001</v>
      </c>
      <c r="D1707" t="s">
        <v>217</v>
      </c>
      <c r="E1707">
        <v>2018</v>
      </c>
      <c r="F1707">
        <v>5</v>
      </c>
    </row>
    <row r="1708" spans="1:6" x14ac:dyDescent="0.55000000000000004">
      <c r="A1708" t="s">
        <v>91</v>
      </c>
      <c r="B1708" t="s">
        <v>32</v>
      </c>
      <c r="C1708">
        <v>747591.42500000005</v>
      </c>
      <c r="D1708" t="s">
        <v>217</v>
      </c>
      <c r="E1708">
        <v>2018</v>
      </c>
      <c r="F1708">
        <v>5</v>
      </c>
    </row>
    <row r="1709" spans="1:6" x14ac:dyDescent="0.55000000000000004">
      <c r="A1709" t="s">
        <v>91</v>
      </c>
      <c r="B1709" t="s">
        <v>33</v>
      </c>
      <c r="C1709">
        <v>630992.9693</v>
      </c>
      <c r="D1709" t="s">
        <v>217</v>
      </c>
      <c r="E1709">
        <v>2018</v>
      </c>
      <c r="F1709">
        <v>5</v>
      </c>
    </row>
    <row r="1710" spans="1:6" x14ac:dyDescent="0.55000000000000004">
      <c r="A1710" t="s">
        <v>91</v>
      </c>
      <c r="B1710" t="s">
        <v>34</v>
      </c>
      <c r="C1710">
        <v>416793.69699999999</v>
      </c>
      <c r="D1710" t="s">
        <v>217</v>
      </c>
      <c r="E1710">
        <v>2018</v>
      </c>
      <c r="F1710">
        <v>5</v>
      </c>
    </row>
    <row r="1711" spans="1:6" x14ac:dyDescent="0.55000000000000004">
      <c r="A1711" t="s">
        <v>91</v>
      </c>
      <c r="B1711" t="s">
        <v>35</v>
      </c>
      <c r="C1711">
        <v>1220.0012999999999</v>
      </c>
      <c r="D1711" t="s">
        <v>217</v>
      </c>
      <c r="E1711">
        <v>2018</v>
      </c>
      <c r="F1711">
        <v>5</v>
      </c>
    </row>
    <row r="1712" spans="1:6" x14ac:dyDescent="0.55000000000000004">
      <c r="A1712" t="s">
        <v>91</v>
      </c>
      <c r="B1712" t="s">
        <v>36</v>
      </c>
      <c r="C1712">
        <v>81444.03</v>
      </c>
      <c r="D1712" t="s">
        <v>217</v>
      </c>
      <c r="E1712">
        <v>2018</v>
      </c>
      <c r="F1712">
        <v>5</v>
      </c>
    </row>
    <row r="1713" spans="1:6" x14ac:dyDescent="0.55000000000000004">
      <c r="A1713" t="s">
        <v>91</v>
      </c>
      <c r="B1713" t="s">
        <v>37</v>
      </c>
      <c r="C1713">
        <v>52553.902099999999</v>
      </c>
      <c r="D1713" t="s">
        <v>217</v>
      </c>
      <c r="E1713">
        <v>2018</v>
      </c>
      <c r="F1713">
        <v>5</v>
      </c>
    </row>
    <row r="1714" spans="1:6" x14ac:dyDescent="0.55000000000000004">
      <c r="A1714" t="s">
        <v>91</v>
      </c>
      <c r="B1714" t="s">
        <v>38</v>
      </c>
      <c r="C1714">
        <v>0</v>
      </c>
      <c r="D1714" t="s">
        <v>217</v>
      </c>
      <c r="E1714">
        <v>2018</v>
      </c>
      <c r="F1714">
        <v>5</v>
      </c>
    </row>
    <row r="1715" spans="1:6" x14ac:dyDescent="0.55000000000000004">
      <c r="A1715" t="s">
        <v>91</v>
      </c>
      <c r="B1715" t="s">
        <v>39</v>
      </c>
      <c r="C1715">
        <v>343.9</v>
      </c>
      <c r="D1715" t="s">
        <v>217</v>
      </c>
      <c r="E1715">
        <v>2018</v>
      </c>
      <c r="F1715">
        <v>5</v>
      </c>
    </row>
    <row r="1716" spans="1:6" x14ac:dyDescent="0.55000000000000004">
      <c r="A1716" t="s">
        <v>91</v>
      </c>
      <c r="B1716" t="s">
        <v>40</v>
      </c>
      <c r="C1716">
        <v>767.49170000000004</v>
      </c>
      <c r="D1716" t="s">
        <v>217</v>
      </c>
      <c r="E1716">
        <v>2018</v>
      </c>
      <c r="F1716">
        <v>5</v>
      </c>
    </row>
    <row r="1717" spans="1:6" x14ac:dyDescent="0.55000000000000004">
      <c r="A1717" t="s">
        <v>91</v>
      </c>
      <c r="B1717" t="s">
        <v>41</v>
      </c>
      <c r="C1717">
        <v>310522.83539999998</v>
      </c>
      <c r="D1717" t="s">
        <v>217</v>
      </c>
      <c r="E1717">
        <v>2018</v>
      </c>
      <c r="F1717">
        <v>5</v>
      </c>
    </row>
    <row r="1718" spans="1:6" x14ac:dyDescent="0.55000000000000004">
      <c r="A1718" t="s">
        <v>91</v>
      </c>
      <c r="B1718" t="s">
        <v>42</v>
      </c>
      <c r="C1718">
        <v>188.01169999999999</v>
      </c>
      <c r="D1718" t="s">
        <v>217</v>
      </c>
      <c r="E1718">
        <v>2018</v>
      </c>
      <c r="F1718">
        <v>5</v>
      </c>
    </row>
    <row r="1719" spans="1:6" x14ac:dyDescent="0.55000000000000004">
      <c r="A1719" t="s">
        <v>91</v>
      </c>
      <c r="B1719" t="s">
        <v>43</v>
      </c>
      <c r="C1719">
        <v>284988.44770000002</v>
      </c>
      <c r="D1719" t="s">
        <v>217</v>
      </c>
      <c r="E1719">
        <v>2018</v>
      </c>
      <c r="F1719">
        <v>5</v>
      </c>
    </row>
    <row r="1720" spans="1:6" x14ac:dyDescent="0.55000000000000004">
      <c r="A1720" t="s">
        <v>91</v>
      </c>
      <c r="B1720" t="s">
        <v>44</v>
      </c>
      <c r="C1720">
        <v>0</v>
      </c>
      <c r="D1720" t="s">
        <v>217</v>
      </c>
      <c r="E1720">
        <v>2018</v>
      </c>
      <c r="F1720">
        <v>5</v>
      </c>
    </row>
    <row r="1721" spans="1:6" x14ac:dyDescent="0.55000000000000004">
      <c r="A1721" t="s">
        <v>91</v>
      </c>
      <c r="B1721" t="s">
        <v>45</v>
      </c>
      <c r="C1721">
        <v>5800.4885000000004</v>
      </c>
      <c r="D1721" t="s">
        <v>217</v>
      </c>
      <c r="E1721">
        <v>2018</v>
      </c>
      <c r="F1721">
        <v>5</v>
      </c>
    </row>
    <row r="1722" spans="1:6" x14ac:dyDescent="0.55000000000000004">
      <c r="A1722" t="s">
        <v>91</v>
      </c>
      <c r="B1722" t="s">
        <v>46</v>
      </c>
      <c r="C1722">
        <v>56091.67</v>
      </c>
      <c r="D1722" t="s">
        <v>217</v>
      </c>
      <c r="E1722">
        <v>2018</v>
      </c>
      <c r="F1722">
        <v>5</v>
      </c>
    </row>
    <row r="1723" spans="1:6" x14ac:dyDescent="0.55000000000000004">
      <c r="A1723" t="s">
        <v>91</v>
      </c>
      <c r="B1723" t="s">
        <v>47</v>
      </c>
      <c r="C1723">
        <v>0</v>
      </c>
      <c r="D1723" t="s">
        <v>217</v>
      </c>
      <c r="E1723">
        <v>2018</v>
      </c>
      <c r="F1723">
        <v>5</v>
      </c>
    </row>
    <row r="1724" spans="1:6" x14ac:dyDescent="0.55000000000000004">
      <c r="A1724" t="s">
        <v>91</v>
      </c>
      <c r="B1724" t="s">
        <v>48</v>
      </c>
      <c r="C1724">
        <v>108694.21</v>
      </c>
      <c r="D1724" t="s">
        <v>217</v>
      </c>
      <c r="E1724">
        <v>2018</v>
      </c>
      <c r="F1724">
        <v>5</v>
      </c>
    </row>
    <row r="1725" spans="1:6" x14ac:dyDescent="0.55000000000000004">
      <c r="A1725" t="s">
        <v>91</v>
      </c>
      <c r="B1725" t="s">
        <v>49</v>
      </c>
      <c r="C1725">
        <v>147.55000000000001</v>
      </c>
      <c r="D1725" t="s">
        <v>217</v>
      </c>
      <c r="E1725">
        <v>2018</v>
      </c>
      <c r="F1725">
        <v>5</v>
      </c>
    </row>
    <row r="1726" spans="1:6" x14ac:dyDescent="0.55000000000000004">
      <c r="A1726" t="s">
        <v>91</v>
      </c>
      <c r="B1726" t="s">
        <v>50</v>
      </c>
      <c r="C1726">
        <v>11943.9545</v>
      </c>
      <c r="D1726" t="s">
        <v>217</v>
      </c>
      <c r="E1726">
        <v>2018</v>
      </c>
      <c r="F1726">
        <v>5</v>
      </c>
    </row>
    <row r="1727" spans="1:6" x14ac:dyDescent="0.55000000000000004">
      <c r="A1727" t="s">
        <v>91</v>
      </c>
      <c r="B1727" t="s">
        <v>51</v>
      </c>
      <c r="C1727">
        <v>4441.3972000000003</v>
      </c>
      <c r="D1727" t="s">
        <v>217</v>
      </c>
      <c r="E1727">
        <v>2018</v>
      </c>
      <c r="F1727">
        <v>5</v>
      </c>
    </row>
    <row r="1728" spans="1:6" x14ac:dyDescent="0.55000000000000004">
      <c r="A1728" t="s">
        <v>91</v>
      </c>
      <c r="B1728" t="s">
        <v>52</v>
      </c>
      <c r="C1728">
        <v>28.613499999999998</v>
      </c>
      <c r="D1728" t="s">
        <v>217</v>
      </c>
      <c r="E1728">
        <v>2018</v>
      </c>
      <c r="F1728">
        <v>5</v>
      </c>
    </row>
    <row r="1729" spans="1:6" x14ac:dyDescent="0.55000000000000004">
      <c r="A1729" t="s">
        <v>91</v>
      </c>
      <c r="B1729" t="s">
        <v>53</v>
      </c>
      <c r="C1729">
        <v>59194.44</v>
      </c>
      <c r="D1729" t="s">
        <v>217</v>
      </c>
      <c r="E1729">
        <v>2018</v>
      </c>
      <c r="F1729">
        <v>5</v>
      </c>
    </row>
    <row r="1730" spans="1:6" x14ac:dyDescent="0.55000000000000004">
      <c r="A1730" t="s">
        <v>91</v>
      </c>
      <c r="B1730" t="s">
        <v>54</v>
      </c>
      <c r="C1730">
        <v>26299.239799999999</v>
      </c>
      <c r="D1730" t="s">
        <v>217</v>
      </c>
      <c r="E1730">
        <v>2018</v>
      </c>
      <c r="F1730">
        <v>5</v>
      </c>
    </row>
    <row r="1731" spans="1:6" x14ac:dyDescent="0.55000000000000004">
      <c r="A1731" t="s">
        <v>91</v>
      </c>
      <c r="B1731" t="s">
        <v>55</v>
      </c>
      <c r="C1731">
        <v>1823</v>
      </c>
      <c r="D1731" t="s">
        <v>217</v>
      </c>
      <c r="E1731">
        <v>2018</v>
      </c>
      <c r="F1731">
        <v>5</v>
      </c>
    </row>
    <row r="1732" spans="1:6" x14ac:dyDescent="0.55000000000000004">
      <c r="A1732" t="s">
        <v>91</v>
      </c>
      <c r="B1732" t="s">
        <v>56</v>
      </c>
      <c r="C1732">
        <v>2560.4</v>
      </c>
      <c r="D1732" t="s">
        <v>217</v>
      </c>
      <c r="E1732">
        <v>2018</v>
      </c>
      <c r="F1732">
        <v>5</v>
      </c>
    </row>
    <row r="1733" spans="1:6" x14ac:dyDescent="0.55000000000000004">
      <c r="A1733" t="s">
        <v>91</v>
      </c>
      <c r="B1733" t="s">
        <v>57</v>
      </c>
      <c r="C1733">
        <v>207.0899</v>
      </c>
      <c r="D1733" t="s">
        <v>217</v>
      </c>
      <c r="E1733">
        <v>2018</v>
      </c>
      <c r="F1733">
        <v>5</v>
      </c>
    </row>
    <row r="1734" spans="1:6" x14ac:dyDescent="0.55000000000000004">
      <c r="A1734" t="s">
        <v>91</v>
      </c>
      <c r="B1734" t="s">
        <v>58</v>
      </c>
      <c r="C1734">
        <v>318701</v>
      </c>
      <c r="D1734" t="s">
        <v>217</v>
      </c>
      <c r="E1734">
        <v>2018</v>
      </c>
      <c r="F1734">
        <v>5</v>
      </c>
    </row>
    <row r="1735" spans="1:6" x14ac:dyDescent="0.55000000000000004">
      <c r="A1735" t="s">
        <v>91</v>
      </c>
      <c r="B1735" t="s">
        <v>59</v>
      </c>
      <c r="C1735">
        <v>5597.1532999999999</v>
      </c>
      <c r="D1735" t="s">
        <v>217</v>
      </c>
      <c r="E1735">
        <v>2018</v>
      </c>
      <c r="F1735">
        <v>5</v>
      </c>
    </row>
    <row r="1736" spans="1:6" x14ac:dyDescent="0.55000000000000004">
      <c r="A1736" t="s">
        <v>91</v>
      </c>
      <c r="B1736" t="s">
        <v>60</v>
      </c>
      <c r="C1736">
        <v>3212374.1904000002</v>
      </c>
      <c r="D1736" t="s">
        <v>217</v>
      </c>
      <c r="E1736">
        <v>2018</v>
      </c>
      <c r="F1736">
        <v>5</v>
      </c>
    </row>
    <row r="1737" spans="1:6" x14ac:dyDescent="0.55000000000000004">
      <c r="A1737" t="s">
        <v>91</v>
      </c>
      <c r="B1737" t="s">
        <v>61</v>
      </c>
      <c r="C1737">
        <v>3152.1421999999998</v>
      </c>
      <c r="D1737" t="s">
        <v>217</v>
      </c>
      <c r="E1737">
        <v>2018</v>
      </c>
      <c r="F1737">
        <v>5</v>
      </c>
    </row>
    <row r="1738" spans="1:6" x14ac:dyDescent="0.55000000000000004">
      <c r="A1738" t="s">
        <v>91</v>
      </c>
      <c r="B1738" t="s">
        <v>62</v>
      </c>
      <c r="C1738">
        <v>1587.7474</v>
      </c>
      <c r="D1738" t="s">
        <v>217</v>
      </c>
      <c r="E1738">
        <v>2018</v>
      </c>
      <c r="F1738">
        <v>5</v>
      </c>
    </row>
    <row r="1739" spans="1:6" x14ac:dyDescent="0.55000000000000004">
      <c r="A1739" t="s">
        <v>91</v>
      </c>
      <c r="B1739" t="s">
        <v>63</v>
      </c>
      <c r="C1739">
        <v>2.4792000000000001</v>
      </c>
      <c r="D1739" t="s">
        <v>217</v>
      </c>
      <c r="E1739">
        <v>2018</v>
      </c>
      <c r="F1739">
        <v>5</v>
      </c>
    </row>
    <row r="1740" spans="1:6" x14ac:dyDescent="0.55000000000000004">
      <c r="A1740" t="s">
        <v>92</v>
      </c>
      <c r="B1740" t="s">
        <v>4</v>
      </c>
      <c r="C1740">
        <v>10709855.1832</v>
      </c>
      <c r="D1740" t="s">
        <v>218</v>
      </c>
      <c r="E1740">
        <v>2018</v>
      </c>
      <c r="F1740">
        <v>6</v>
      </c>
    </row>
    <row r="1741" spans="1:6" x14ac:dyDescent="0.55000000000000004">
      <c r="A1741" t="s">
        <v>92</v>
      </c>
      <c r="B1741" t="s">
        <v>5</v>
      </c>
      <c r="C1741">
        <v>1029027.1626</v>
      </c>
      <c r="D1741" t="s">
        <v>218</v>
      </c>
      <c r="E1741">
        <v>2018</v>
      </c>
      <c r="F1741">
        <v>6</v>
      </c>
    </row>
    <row r="1742" spans="1:6" x14ac:dyDescent="0.55000000000000004">
      <c r="A1742" t="s">
        <v>92</v>
      </c>
      <c r="B1742" t="s">
        <v>6</v>
      </c>
      <c r="C1742">
        <v>2900614.7686000001</v>
      </c>
      <c r="D1742" t="s">
        <v>218</v>
      </c>
      <c r="E1742">
        <v>2018</v>
      </c>
      <c r="F1742">
        <v>6</v>
      </c>
    </row>
    <row r="1743" spans="1:6" x14ac:dyDescent="0.55000000000000004">
      <c r="A1743" t="s">
        <v>92</v>
      </c>
      <c r="B1743" t="s">
        <v>7</v>
      </c>
      <c r="C1743">
        <v>2683025.0243000002</v>
      </c>
      <c r="D1743" t="s">
        <v>218</v>
      </c>
      <c r="E1743">
        <v>2018</v>
      </c>
      <c r="F1743">
        <v>6</v>
      </c>
    </row>
    <row r="1744" spans="1:6" x14ac:dyDescent="0.55000000000000004">
      <c r="A1744" t="s">
        <v>92</v>
      </c>
      <c r="B1744" t="s">
        <v>8</v>
      </c>
      <c r="C1744">
        <v>4097188.2277000002</v>
      </c>
      <c r="D1744" t="s">
        <v>218</v>
      </c>
      <c r="E1744">
        <v>2018</v>
      </c>
      <c r="F1744">
        <v>6</v>
      </c>
    </row>
    <row r="1745" spans="1:6" x14ac:dyDescent="0.55000000000000004">
      <c r="A1745" t="s">
        <v>92</v>
      </c>
      <c r="B1745" t="s">
        <v>9</v>
      </c>
      <c r="C1745">
        <v>600</v>
      </c>
      <c r="D1745" t="s">
        <v>218</v>
      </c>
      <c r="E1745">
        <v>2018</v>
      </c>
      <c r="F1745">
        <v>6</v>
      </c>
    </row>
    <row r="1746" spans="1:6" x14ac:dyDescent="0.55000000000000004">
      <c r="A1746" t="s">
        <v>92</v>
      </c>
      <c r="B1746" t="s">
        <v>10</v>
      </c>
      <c r="C1746">
        <v>618.34</v>
      </c>
      <c r="D1746" t="s">
        <v>218</v>
      </c>
      <c r="E1746">
        <v>2018</v>
      </c>
      <c r="F1746">
        <v>6</v>
      </c>
    </row>
    <row r="1747" spans="1:6" x14ac:dyDescent="0.55000000000000004">
      <c r="A1747" t="s">
        <v>92</v>
      </c>
      <c r="B1747" t="s">
        <v>11</v>
      </c>
      <c r="C1747">
        <v>2583614.3931999998</v>
      </c>
      <c r="D1747" t="s">
        <v>218</v>
      </c>
      <c r="E1747">
        <v>2018</v>
      </c>
      <c r="F1747">
        <v>6</v>
      </c>
    </row>
    <row r="1748" spans="1:6" x14ac:dyDescent="0.55000000000000004">
      <c r="A1748" t="s">
        <v>92</v>
      </c>
      <c r="B1748" t="s">
        <v>12</v>
      </c>
      <c r="C1748">
        <v>7989.6832999999997</v>
      </c>
      <c r="D1748" t="s">
        <v>218</v>
      </c>
      <c r="E1748">
        <v>2018</v>
      </c>
      <c r="F1748">
        <v>6</v>
      </c>
    </row>
    <row r="1749" spans="1:6" x14ac:dyDescent="0.55000000000000004">
      <c r="A1749" t="s">
        <v>92</v>
      </c>
      <c r="B1749" t="s">
        <v>13</v>
      </c>
      <c r="C1749">
        <v>35390</v>
      </c>
      <c r="D1749" t="s">
        <v>218</v>
      </c>
      <c r="E1749">
        <v>2018</v>
      </c>
      <c r="F1749">
        <v>6</v>
      </c>
    </row>
    <row r="1750" spans="1:6" x14ac:dyDescent="0.55000000000000004">
      <c r="A1750" t="s">
        <v>92</v>
      </c>
      <c r="B1750" t="s">
        <v>14</v>
      </c>
      <c r="C1750">
        <v>0</v>
      </c>
      <c r="D1750" t="s">
        <v>218</v>
      </c>
      <c r="E1750">
        <v>2018</v>
      </c>
      <c r="F1750">
        <v>6</v>
      </c>
    </row>
    <row r="1751" spans="1:6" x14ac:dyDescent="0.55000000000000004">
      <c r="A1751" t="s">
        <v>92</v>
      </c>
      <c r="B1751" t="s">
        <v>15</v>
      </c>
      <c r="C1751">
        <v>918083.07290000003</v>
      </c>
      <c r="D1751" t="s">
        <v>218</v>
      </c>
      <c r="E1751">
        <v>2018</v>
      </c>
      <c r="F1751">
        <v>6</v>
      </c>
    </row>
    <row r="1752" spans="1:6" x14ac:dyDescent="0.55000000000000004">
      <c r="A1752" t="s">
        <v>92</v>
      </c>
      <c r="B1752" t="s">
        <v>16</v>
      </c>
      <c r="C1752">
        <v>8.3299999999999999E-2</v>
      </c>
      <c r="D1752" t="s">
        <v>218</v>
      </c>
      <c r="E1752">
        <v>2018</v>
      </c>
      <c r="F1752">
        <v>6</v>
      </c>
    </row>
    <row r="1753" spans="1:6" x14ac:dyDescent="0.55000000000000004">
      <c r="A1753" t="s">
        <v>92</v>
      </c>
      <c r="B1753" t="s">
        <v>17</v>
      </c>
      <c r="C1753">
        <v>198327.0111</v>
      </c>
      <c r="D1753" t="s">
        <v>218</v>
      </c>
      <c r="E1753">
        <v>2018</v>
      </c>
      <c r="F1753">
        <v>6</v>
      </c>
    </row>
    <row r="1754" spans="1:6" x14ac:dyDescent="0.55000000000000004">
      <c r="A1754" t="s">
        <v>92</v>
      </c>
      <c r="B1754" t="s">
        <v>18</v>
      </c>
      <c r="C1754">
        <v>68016.016499999998</v>
      </c>
      <c r="D1754" t="s">
        <v>218</v>
      </c>
      <c r="E1754">
        <v>2018</v>
      </c>
      <c r="F1754">
        <v>6</v>
      </c>
    </row>
    <row r="1755" spans="1:6" x14ac:dyDescent="0.55000000000000004">
      <c r="A1755" t="s">
        <v>92</v>
      </c>
      <c r="B1755" t="s">
        <v>19</v>
      </c>
      <c r="C1755">
        <v>4623.2453999999998</v>
      </c>
      <c r="D1755" t="s">
        <v>218</v>
      </c>
      <c r="E1755">
        <v>2018</v>
      </c>
      <c r="F1755">
        <v>6</v>
      </c>
    </row>
    <row r="1756" spans="1:6" x14ac:dyDescent="0.55000000000000004">
      <c r="A1756" t="s">
        <v>92</v>
      </c>
      <c r="B1756" t="s">
        <v>20</v>
      </c>
      <c r="C1756">
        <v>21500</v>
      </c>
      <c r="D1756" t="s">
        <v>218</v>
      </c>
      <c r="E1756">
        <v>2018</v>
      </c>
      <c r="F1756">
        <v>6</v>
      </c>
    </row>
    <row r="1757" spans="1:6" x14ac:dyDescent="0.55000000000000004">
      <c r="A1757" t="s">
        <v>92</v>
      </c>
      <c r="B1757" t="s">
        <v>21</v>
      </c>
      <c r="C1757">
        <v>1836.76</v>
      </c>
      <c r="D1757" t="s">
        <v>218</v>
      </c>
      <c r="E1757">
        <v>2018</v>
      </c>
      <c r="F1757">
        <v>6</v>
      </c>
    </row>
    <row r="1758" spans="1:6" x14ac:dyDescent="0.55000000000000004">
      <c r="A1758" t="s">
        <v>92</v>
      </c>
      <c r="B1758" t="s">
        <v>22</v>
      </c>
      <c r="C1758">
        <v>31068.117999999999</v>
      </c>
      <c r="D1758" t="s">
        <v>218</v>
      </c>
      <c r="E1758">
        <v>2018</v>
      </c>
      <c r="F1758">
        <v>6</v>
      </c>
    </row>
    <row r="1759" spans="1:6" x14ac:dyDescent="0.55000000000000004">
      <c r="A1759" t="s">
        <v>92</v>
      </c>
      <c r="B1759" t="s">
        <v>23</v>
      </c>
      <c r="C1759">
        <v>103682.5425</v>
      </c>
      <c r="D1759" t="s">
        <v>218</v>
      </c>
      <c r="E1759">
        <v>2018</v>
      </c>
      <c r="F1759">
        <v>6</v>
      </c>
    </row>
    <row r="1760" spans="1:6" x14ac:dyDescent="0.55000000000000004">
      <c r="A1760" t="s">
        <v>92</v>
      </c>
      <c r="B1760" t="s">
        <v>24</v>
      </c>
      <c r="C1760">
        <v>32.340000000000003</v>
      </c>
      <c r="D1760" t="s">
        <v>218</v>
      </c>
      <c r="E1760">
        <v>2018</v>
      </c>
      <c r="F1760">
        <v>6</v>
      </c>
    </row>
    <row r="1761" spans="1:6" x14ac:dyDescent="0.55000000000000004">
      <c r="A1761" t="s">
        <v>92</v>
      </c>
      <c r="B1761" t="s">
        <v>25</v>
      </c>
      <c r="C1761">
        <v>399180</v>
      </c>
      <c r="D1761" t="s">
        <v>218</v>
      </c>
      <c r="E1761">
        <v>2018</v>
      </c>
      <c r="F1761">
        <v>6</v>
      </c>
    </row>
    <row r="1762" spans="1:6" x14ac:dyDescent="0.55000000000000004">
      <c r="A1762" t="s">
        <v>92</v>
      </c>
      <c r="B1762" t="s">
        <v>26</v>
      </c>
      <c r="C1762">
        <v>0.85</v>
      </c>
      <c r="D1762" t="s">
        <v>218</v>
      </c>
      <c r="E1762">
        <v>2018</v>
      </c>
      <c r="F1762">
        <v>6</v>
      </c>
    </row>
    <row r="1763" spans="1:6" x14ac:dyDescent="0.55000000000000004">
      <c r="A1763" t="s">
        <v>92</v>
      </c>
      <c r="B1763" t="s">
        <v>27</v>
      </c>
      <c r="C1763">
        <v>1395.056</v>
      </c>
      <c r="D1763" t="s">
        <v>218</v>
      </c>
      <c r="E1763">
        <v>2018</v>
      </c>
      <c r="F1763">
        <v>6</v>
      </c>
    </row>
    <row r="1764" spans="1:6" x14ac:dyDescent="0.55000000000000004">
      <c r="A1764" t="s">
        <v>92</v>
      </c>
      <c r="B1764" t="s">
        <v>28</v>
      </c>
      <c r="C1764">
        <v>457839.59039999999</v>
      </c>
      <c r="D1764" t="s">
        <v>218</v>
      </c>
      <c r="E1764">
        <v>2018</v>
      </c>
      <c r="F1764">
        <v>6</v>
      </c>
    </row>
    <row r="1765" spans="1:6" x14ac:dyDescent="0.55000000000000004">
      <c r="A1765" t="s">
        <v>92</v>
      </c>
      <c r="B1765" t="s">
        <v>29</v>
      </c>
      <c r="C1765">
        <v>12319.022199999999</v>
      </c>
      <c r="D1765" t="s">
        <v>218</v>
      </c>
      <c r="E1765">
        <v>2018</v>
      </c>
      <c r="F1765">
        <v>6</v>
      </c>
    </row>
    <row r="1766" spans="1:6" x14ac:dyDescent="0.55000000000000004">
      <c r="A1766" t="s">
        <v>92</v>
      </c>
      <c r="B1766" t="s">
        <v>30</v>
      </c>
      <c r="C1766">
        <v>62.0533</v>
      </c>
      <c r="D1766" t="s">
        <v>218</v>
      </c>
      <c r="E1766">
        <v>2018</v>
      </c>
      <c r="F1766">
        <v>6</v>
      </c>
    </row>
    <row r="1767" spans="1:6" x14ac:dyDescent="0.55000000000000004">
      <c r="A1767" t="s">
        <v>92</v>
      </c>
      <c r="B1767" t="s">
        <v>31</v>
      </c>
      <c r="C1767">
        <v>595.09079999999994</v>
      </c>
      <c r="D1767" t="s">
        <v>218</v>
      </c>
      <c r="E1767">
        <v>2018</v>
      </c>
      <c r="F1767">
        <v>6</v>
      </c>
    </row>
    <row r="1768" spans="1:6" x14ac:dyDescent="0.55000000000000004">
      <c r="A1768" t="s">
        <v>92</v>
      </c>
      <c r="B1768" t="s">
        <v>32</v>
      </c>
      <c r="C1768">
        <v>856001.09699999995</v>
      </c>
      <c r="D1768" t="s">
        <v>218</v>
      </c>
      <c r="E1768">
        <v>2018</v>
      </c>
      <c r="F1768">
        <v>6</v>
      </c>
    </row>
    <row r="1769" spans="1:6" x14ac:dyDescent="0.55000000000000004">
      <c r="A1769" t="s">
        <v>92</v>
      </c>
      <c r="B1769" t="s">
        <v>33</v>
      </c>
      <c r="C1769">
        <v>591179.79929999996</v>
      </c>
      <c r="D1769" t="s">
        <v>218</v>
      </c>
      <c r="E1769">
        <v>2018</v>
      </c>
      <c r="F1769">
        <v>6</v>
      </c>
    </row>
    <row r="1770" spans="1:6" x14ac:dyDescent="0.55000000000000004">
      <c r="A1770" t="s">
        <v>92</v>
      </c>
      <c r="B1770" t="s">
        <v>34</v>
      </c>
      <c r="C1770">
        <v>288175.86040000001</v>
      </c>
      <c r="D1770" t="s">
        <v>218</v>
      </c>
      <c r="E1770">
        <v>2018</v>
      </c>
      <c r="F1770">
        <v>6</v>
      </c>
    </row>
    <row r="1771" spans="1:6" x14ac:dyDescent="0.55000000000000004">
      <c r="A1771" t="s">
        <v>92</v>
      </c>
      <c r="B1771" t="s">
        <v>35</v>
      </c>
      <c r="C1771">
        <v>1297.6338000000001</v>
      </c>
      <c r="D1771" t="s">
        <v>218</v>
      </c>
      <c r="E1771">
        <v>2018</v>
      </c>
      <c r="F1771">
        <v>6</v>
      </c>
    </row>
    <row r="1772" spans="1:6" x14ac:dyDescent="0.55000000000000004">
      <c r="A1772" t="s">
        <v>92</v>
      </c>
      <c r="B1772" t="s">
        <v>36</v>
      </c>
      <c r="C1772">
        <v>81693.664000000004</v>
      </c>
      <c r="D1772" t="s">
        <v>218</v>
      </c>
      <c r="E1772">
        <v>2018</v>
      </c>
      <c r="F1772">
        <v>6</v>
      </c>
    </row>
    <row r="1773" spans="1:6" x14ac:dyDescent="0.55000000000000004">
      <c r="A1773" t="s">
        <v>92</v>
      </c>
      <c r="B1773" t="s">
        <v>37</v>
      </c>
      <c r="C1773">
        <v>42005.002099999998</v>
      </c>
      <c r="D1773" t="s">
        <v>218</v>
      </c>
      <c r="E1773">
        <v>2018</v>
      </c>
      <c r="F1773">
        <v>6</v>
      </c>
    </row>
    <row r="1774" spans="1:6" x14ac:dyDescent="0.55000000000000004">
      <c r="A1774" t="s">
        <v>92</v>
      </c>
      <c r="B1774" t="s">
        <v>38</v>
      </c>
      <c r="C1774">
        <v>85</v>
      </c>
      <c r="D1774" t="s">
        <v>218</v>
      </c>
      <c r="E1774">
        <v>2018</v>
      </c>
      <c r="F1774">
        <v>6</v>
      </c>
    </row>
    <row r="1775" spans="1:6" x14ac:dyDescent="0.55000000000000004">
      <c r="A1775" t="s">
        <v>92</v>
      </c>
      <c r="B1775" t="s">
        <v>39</v>
      </c>
      <c r="C1775">
        <v>343.65</v>
      </c>
      <c r="D1775" t="s">
        <v>218</v>
      </c>
      <c r="E1775">
        <v>2018</v>
      </c>
      <c r="F1775">
        <v>6</v>
      </c>
    </row>
    <row r="1776" spans="1:6" x14ac:dyDescent="0.55000000000000004">
      <c r="A1776" t="s">
        <v>92</v>
      </c>
      <c r="B1776" t="s">
        <v>40</v>
      </c>
      <c r="C1776">
        <v>990.95320000000004</v>
      </c>
      <c r="D1776" t="s">
        <v>218</v>
      </c>
      <c r="E1776">
        <v>2018</v>
      </c>
      <c r="F1776">
        <v>6</v>
      </c>
    </row>
    <row r="1777" spans="1:6" x14ac:dyDescent="0.55000000000000004">
      <c r="A1777" t="s">
        <v>92</v>
      </c>
      <c r="B1777" t="s">
        <v>41</v>
      </c>
      <c r="C1777">
        <v>275661.76819999999</v>
      </c>
      <c r="D1777" t="s">
        <v>218</v>
      </c>
      <c r="E1777">
        <v>2018</v>
      </c>
      <c r="F1777">
        <v>6</v>
      </c>
    </row>
    <row r="1778" spans="1:6" x14ac:dyDescent="0.55000000000000004">
      <c r="A1778" t="s">
        <v>92</v>
      </c>
      <c r="B1778" t="s">
        <v>42</v>
      </c>
      <c r="C1778">
        <v>231.0539</v>
      </c>
      <c r="D1778" t="s">
        <v>218</v>
      </c>
      <c r="E1778">
        <v>2018</v>
      </c>
      <c r="F1778">
        <v>6</v>
      </c>
    </row>
    <row r="1779" spans="1:6" x14ac:dyDescent="0.55000000000000004">
      <c r="A1779" t="s">
        <v>92</v>
      </c>
      <c r="B1779" t="s">
        <v>43</v>
      </c>
      <c r="C1779">
        <v>261325.0661</v>
      </c>
      <c r="D1779" t="s">
        <v>218</v>
      </c>
      <c r="E1779">
        <v>2018</v>
      </c>
      <c r="F1779">
        <v>6</v>
      </c>
    </row>
    <row r="1780" spans="1:6" x14ac:dyDescent="0.55000000000000004">
      <c r="A1780" t="s">
        <v>92</v>
      </c>
      <c r="B1780" t="s">
        <v>44</v>
      </c>
      <c r="C1780">
        <v>0</v>
      </c>
      <c r="D1780" t="s">
        <v>218</v>
      </c>
      <c r="E1780">
        <v>2018</v>
      </c>
      <c r="F1780">
        <v>6</v>
      </c>
    </row>
    <row r="1781" spans="1:6" x14ac:dyDescent="0.55000000000000004">
      <c r="A1781" t="s">
        <v>92</v>
      </c>
      <c r="B1781" t="s">
        <v>45</v>
      </c>
      <c r="C1781">
        <v>5086.1881999999996</v>
      </c>
      <c r="D1781" t="s">
        <v>218</v>
      </c>
      <c r="E1781">
        <v>2018</v>
      </c>
      <c r="F1781">
        <v>6</v>
      </c>
    </row>
    <row r="1782" spans="1:6" x14ac:dyDescent="0.55000000000000004">
      <c r="A1782" t="s">
        <v>92</v>
      </c>
      <c r="B1782" t="s">
        <v>46</v>
      </c>
      <c r="C1782">
        <v>85116.33</v>
      </c>
      <c r="D1782" t="s">
        <v>218</v>
      </c>
      <c r="E1782">
        <v>2018</v>
      </c>
      <c r="F1782">
        <v>6</v>
      </c>
    </row>
    <row r="1783" spans="1:6" x14ac:dyDescent="0.55000000000000004">
      <c r="A1783" t="s">
        <v>92</v>
      </c>
      <c r="B1783" t="s">
        <v>47</v>
      </c>
      <c r="C1783">
        <v>3.1238000000000001</v>
      </c>
      <c r="D1783" t="s">
        <v>218</v>
      </c>
      <c r="E1783">
        <v>2018</v>
      </c>
      <c r="F1783">
        <v>6</v>
      </c>
    </row>
    <row r="1784" spans="1:6" x14ac:dyDescent="0.55000000000000004">
      <c r="A1784" t="s">
        <v>92</v>
      </c>
      <c r="B1784" t="s">
        <v>48</v>
      </c>
      <c r="C1784">
        <v>225960.15</v>
      </c>
      <c r="D1784" t="s">
        <v>218</v>
      </c>
      <c r="E1784">
        <v>2018</v>
      </c>
      <c r="F1784">
        <v>6</v>
      </c>
    </row>
    <row r="1785" spans="1:6" x14ac:dyDescent="0.55000000000000004">
      <c r="A1785" t="s">
        <v>92</v>
      </c>
      <c r="B1785" t="s">
        <v>49</v>
      </c>
      <c r="C1785">
        <v>441.54469999999998</v>
      </c>
      <c r="D1785" t="s">
        <v>218</v>
      </c>
      <c r="E1785">
        <v>2018</v>
      </c>
      <c r="F1785">
        <v>6</v>
      </c>
    </row>
    <row r="1786" spans="1:6" x14ac:dyDescent="0.55000000000000004">
      <c r="A1786" t="s">
        <v>92</v>
      </c>
      <c r="B1786" t="s">
        <v>50</v>
      </c>
      <c r="C1786">
        <v>24442.629499999999</v>
      </c>
      <c r="D1786" t="s">
        <v>218</v>
      </c>
      <c r="E1786">
        <v>2018</v>
      </c>
      <c r="F1786">
        <v>6</v>
      </c>
    </row>
    <row r="1787" spans="1:6" x14ac:dyDescent="0.55000000000000004">
      <c r="A1787" t="s">
        <v>92</v>
      </c>
      <c r="B1787" t="s">
        <v>51</v>
      </c>
      <c r="C1787">
        <v>5056.3972000000003</v>
      </c>
      <c r="D1787" t="s">
        <v>218</v>
      </c>
      <c r="E1787">
        <v>2018</v>
      </c>
      <c r="F1787">
        <v>6</v>
      </c>
    </row>
    <row r="1788" spans="1:6" x14ac:dyDescent="0.55000000000000004">
      <c r="A1788" t="s">
        <v>92</v>
      </c>
      <c r="B1788" t="s">
        <v>52</v>
      </c>
      <c r="C1788">
        <v>30.2835</v>
      </c>
      <c r="D1788" t="s">
        <v>218</v>
      </c>
      <c r="E1788">
        <v>2018</v>
      </c>
      <c r="F1788">
        <v>6</v>
      </c>
    </row>
    <row r="1789" spans="1:6" x14ac:dyDescent="0.55000000000000004">
      <c r="A1789" t="s">
        <v>92</v>
      </c>
      <c r="B1789" t="s">
        <v>53</v>
      </c>
      <c r="C1789">
        <v>54413.637999999999</v>
      </c>
      <c r="D1789" t="s">
        <v>218</v>
      </c>
      <c r="E1789">
        <v>2018</v>
      </c>
      <c r="F1789">
        <v>6</v>
      </c>
    </row>
    <row r="1790" spans="1:6" x14ac:dyDescent="0.55000000000000004">
      <c r="A1790" t="s">
        <v>92</v>
      </c>
      <c r="B1790" t="s">
        <v>54</v>
      </c>
      <c r="C1790">
        <v>33352.311099999999</v>
      </c>
      <c r="D1790" t="s">
        <v>218</v>
      </c>
      <c r="E1790">
        <v>2018</v>
      </c>
      <c r="F1790">
        <v>6</v>
      </c>
    </row>
    <row r="1791" spans="1:6" x14ac:dyDescent="0.55000000000000004">
      <c r="A1791" t="s">
        <v>92</v>
      </c>
      <c r="B1791" t="s">
        <v>55</v>
      </c>
      <c r="C1791">
        <v>5875.8333000000002</v>
      </c>
      <c r="D1791" t="s">
        <v>218</v>
      </c>
      <c r="E1791">
        <v>2018</v>
      </c>
      <c r="F1791">
        <v>6</v>
      </c>
    </row>
    <row r="1792" spans="1:6" x14ac:dyDescent="0.55000000000000004">
      <c r="A1792" t="s">
        <v>92</v>
      </c>
      <c r="B1792" t="s">
        <v>56</v>
      </c>
      <c r="C1792">
        <v>3827.2667000000001</v>
      </c>
      <c r="D1792" t="s">
        <v>218</v>
      </c>
      <c r="E1792">
        <v>2018</v>
      </c>
      <c r="F1792">
        <v>6</v>
      </c>
    </row>
    <row r="1793" spans="1:6" x14ac:dyDescent="0.55000000000000004">
      <c r="A1793" t="s">
        <v>92</v>
      </c>
      <c r="B1793" t="s">
        <v>57</v>
      </c>
      <c r="C1793">
        <v>145.5018</v>
      </c>
      <c r="D1793" t="s">
        <v>218</v>
      </c>
      <c r="E1793">
        <v>2018</v>
      </c>
      <c r="F1793">
        <v>6</v>
      </c>
    </row>
    <row r="1794" spans="1:6" x14ac:dyDescent="0.55000000000000004">
      <c r="A1794" t="s">
        <v>92</v>
      </c>
      <c r="B1794" t="s">
        <v>58</v>
      </c>
      <c r="C1794">
        <v>320339</v>
      </c>
      <c r="D1794" t="s">
        <v>218</v>
      </c>
      <c r="E1794">
        <v>2018</v>
      </c>
      <c r="F1794">
        <v>6</v>
      </c>
    </row>
    <row r="1795" spans="1:6" x14ac:dyDescent="0.55000000000000004">
      <c r="A1795" t="s">
        <v>92</v>
      </c>
      <c r="B1795" t="s">
        <v>59</v>
      </c>
      <c r="C1795">
        <v>780.38329999999996</v>
      </c>
      <c r="D1795" t="s">
        <v>218</v>
      </c>
      <c r="E1795">
        <v>2018</v>
      </c>
      <c r="F1795">
        <v>6</v>
      </c>
    </row>
    <row r="1796" spans="1:6" x14ac:dyDescent="0.55000000000000004">
      <c r="A1796" t="s">
        <v>92</v>
      </c>
      <c r="B1796" t="s">
        <v>60</v>
      </c>
      <c r="C1796">
        <v>2694177.4056000002</v>
      </c>
      <c r="D1796" t="s">
        <v>218</v>
      </c>
      <c r="E1796">
        <v>2018</v>
      </c>
      <c r="F1796">
        <v>6</v>
      </c>
    </row>
    <row r="1797" spans="1:6" x14ac:dyDescent="0.55000000000000004">
      <c r="A1797" t="s">
        <v>92</v>
      </c>
      <c r="B1797" t="s">
        <v>61</v>
      </c>
      <c r="C1797">
        <v>3111.9122000000002</v>
      </c>
      <c r="D1797" t="s">
        <v>218</v>
      </c>
      <c r="E1797">
        <v>2018</v>
      </c>
      <c r="F1797">
        <v>6</v>
      </c>
    </row>
    <row r="1798" spans="1:6" x14ac:dyDescent="0.55000000000000004">
      <c r="A1798" t="s">
        <v>92</v>
      </c>
      <c r="B1798" t="s">
        <v>62</v>
      </c>
      <c r="C1798">
        <v>1931.4674</v>
      </c>
      <c r="D1798" t="s">
        <v>218</v>
      </c>
      <c r="E1798">
        <v>2018</v>
      </c>
      <c r="F1798">
        <v>6</v>
      </c>
    </row>
    <row r="1799" spans="1:6" x14ac:dyDescent="0.55000000000000004">
      <c r="A1799" t="s">
        <v>92</v>
      </c>
      <c r="B1799" t="s">
        <v>63</v>
      </c>
      <c r="C1799">
        <v>0</v>
      </c>
      <c r="D1799" t="s">
        <v>218</v>
      </c>
      <c r="E1799">
        <v>2018</v>
      </c>
      <c r="F1799">
        <v>6</v>
      </c>
    </row>
    <row r="1800" spans="1:6" x14ac:dyDescent="0.55000000000000004">
      <c r="A1800" t="s">
        <v>93</v>
      </c>
      <c r="B1800" t="s">
        <v>4</v>
      </c>
      <c r="C1800">
        <v>10413653.937799999</v>
      </c>
      <c r="D1800" t="s">
        <v>219</v>
      </c>
      <c r="E1800">
        <v>2018</v>
      </c>
      <c r="F1800">
        <v>7</v>
      </c>
    </row>
    <row r="1801" spans="1:6" x14ac:dyDescent="0.55000000000000004">
      <c r="A1801" t="s">
        <v>93</v>
      </c>
      <c r="B1801" t="s">
        <v>5</v>
      </c>
      <c r="C1801">
        <v>1182063.2923999999</v>
      </c>
      <c r="D1801" t="s">
        <v>219</v>
      </c>
      <c r="E1801">
        <v>2018</v>
      </c>
      <c r="F1801">
        <v>7</v>
      </c>
    </row>
    <row r="1802" spans="1:6" x14ac:dyDescent="0.55000000000000004">
      <c r="A1802" t="s">
        <v>93</v>
      </c>
      <c r="B1802" t="s">
        <v>6</v>
      </c>
      <c r="C1802">
        <v>2572023.7579999999</v>
      </c>
      <c r="D1802" t="s">
        <v>219</v>
      </c>
      <c r="E1802">
        <v>2018</v>
      </c>
      <c r="F1802">
        <v>7</v>
      </c>
    </row>
    <row r="1803" spans="1:6" x14ac:dyDescent="0.55000000000000004">
      <c r="A1803" t="s">
        <v>93</v>
      </c>
      <c r="B1803" t="s">
        <v>7</v>
      </c>
      <c r="C1803">
        <v>2631182.7379000001</v>
      </c>
      <c r="D1803" t="s">
        <v>219</v>
      </c>
      <c r="E1803">
        <v>2018</v>
      </c>
      <c r="F1803">
        <v>7</v>
      </c>
    </row>
    <row r="1804" spans="1:6" x14ac:dyDescent="0.55000000000000004">
      <c r="A1804" t="s">
        <v>93</v>
      </c>
      <c r="B1804" t="s">
        <v>8</v>
      </c>
      <c r="C1804">
        <v>4028384.1494999998</v>
      </c>
      <c r="D1804" t="s">
        <v>219</v>
      </c>
      <c r="E1804">
        <v>2018</v>
      </c>
      <c r="F1804">
        <v>7</v>
      </c>
    </row>
    <row r="1805" spans="1:6" x14ac:dyDescent="0.55000000000000004">
      <c r="A1805" t="s">
        <v>93</v>
      </c>
      <c r="B1805" t="s">
        <v>9</v>
      </c>
      <c r="C1805">
        <v>472</v>
      </c>
      <c r="D1805" t="s">
        <v>219</v>
      </c>
      <c r="E1805">
        <v>2018</v>
      </c>
      <c r="F1805">
        <v>7</v>
      </c>
    </row>
    <row r="1806" spans="1:6" x14ac:dyDescent="0.55000000000000004">
      <c r="A1806" t="s">
        <v>93</v>
      </c>
      <c r="B1806" t="s">
        <v>10</v>
      </c>
      <c r="C1806">
        <v>437.5</v>
      </c>
      <c r="D1806" t="s">
        <v>219</v>
      </c>
      <c r="E1806">
        <v>2018</v>
      </c>
      <c r="F1806">
        <v>7</v>
      </c>
    </row>
    <row r="1807" spans="1:6" x14ac:dyDescent="0.55000000000000004">
      <c r="A1807" t="s">
        <v>93</v>
      </c>
      <c r="B1807" t="s">
        <v>11</v>
      </c>
      <c r="C1807">
        <v>2465428.7014000001</v>
      </c>
      <c r="D1807" t="s">
        <v>219</v>
      </c>
      <c r="E1807">
        <v>2018</v>
      </c>
      <c r="F1807">
        <v>7</v>
      </c>
    </row>
    <row r="1808" spans="1:6" x14ac:dyDescent="0.55000000000000004">
      <c r="A1808" t="s">
        <v>93</v>
      </c>
      <c r="B1808" t="s">
        <v>12</v>
      </c>
      <c r="C1808">
        <v>7192.6666999999998</v>
      </c>
      <c r="D1808" t="s">
        <v>219</v>
      </c>
      <c r="E1808">
        <v>2018</v>
      </c>
      <c r="F1808">
        <v>7</v>
      </c>
    </row>
    <row r="1809" spans="1:6" x14ac:dyDescent="0.55000000000000004">
      <c r="A1809" t="s">
        <v>93</v>
      </c>
      <c r="B1809" t="s">
        <v>13</v>
      </c>
      <c r="C1809">
        <v>38926.583299999998</v>
      </c>
      <c r="D1809" t="s">
        <v>219</v>
      </c>
      <c r="E1809">
        <v>2018</v>
      </c>
      <c r="F1809">
        <v>7</v>
      </c>
    </row>
    <row r="1810" spans="1:6" x14ac:dyDescent="0.55000000000000004">
      <c r="A1810" t="s">
        <v>93</v>
      </c>
      <c r="B1810" t="s">
        <v>14</v>
      </c>
      <c r="C1810">
        <v>0</v>
      </c>
      <c r="D1810" t="s">
        <v>219</v>
      </c>
      <c r="E1810">
        <v>2018</v>
      </c>
      <c r="F1810">
        <v>7</v>
      </c>
    </row>
    <row r="1811" spans="1:6" x14ac:dyDescent="0.55000000000000004">
      <c r="A1811" t="s">
        <v>93</v>
      </c>
      <c r="B1811" t="s">
        <v>15</v>
      </c>
      <c r="C1811">
        <v>1079360.8207</v>
      </c>
      <c r="D1811" t="s">
        <v>219</v>
      </c>
      <c r="E1811">
        <v>2018</v>
      </c>
      <c r="F1811">
        <v>7</v>
      </c>
    </row>
    <row r="1812" spans="1:6" x14ac:dyDescent="0.55000000000000004">
      <c r="A1812" t="s">
        <v>93</v>
      </c>
      <c r="B1812" t="s">
        <v>16</v>
      </c>
      <c r="C1812">
        <v>13</v>
      </c>
      <c r="D1812" t="s">
        <v>219</v>
      </c>
      <c r="E1812">
        <v>2018</v>
      </c>
      <c r="F1812">
        <v>7</v>
      </c>
    </row>
    <row r="1813" spans="1:6" x14ac:dyDescent="0.55000000000000004">
      <c r="A1813" t="s">
        <v>93</v>
      </c>
      <c r="B1813" t="s">
        <v>17</v>
      </c>
      <c r="C1813">
        <v>122835.6528</v>
      </c>
      <c r="D1813" t="s">
        <v>219</v>
      </c>
      <c r="E1813">
        <v>2018</v>
      </c>
      <c r="F1813">
        <v>7</v>
      </c>
    </row>
    <row r="1814" spans="1:6" x14ac:dyDescent="0.55000000000000004">
      <c r="A1814" t="s">
        <v>93</v>
      </c>
      <c r="B1814" t="s">
        <v>18</v>
      </c>
      <c r="C1814">
        <v>182965.31659999999</v>
      </c>
      <c r="D1814" t="s">
        <v>219</v>
      </c>
      <c r="E1814">
        <v>2018</v>
      </c>
      <c r="F1814">
        <v>7</v>
      </c>
    </row>
    <row r="1815" spans="1:6" x14ac:dyDescent="0.55000000000000004">
      <c r="A1815" t="s">
        <v>93</v>
      </c>
      <c r="B1815" t="s">
        <v>19</v>
      </c>
      <c r="C1815">
        <v>1889.9377999999999</v>
      </c>
      <c r="D1815" t="s">
        <v>219</v>
      </c>
      <c r="E1815">
        <v>2018</v>
      </c>
      <c r="F1815">
        <v>7</v>
      </c>
    </row>
    <row r="1816" spans="1:6" x14ac:dyDescent="0.55000000000000004">
      <c r="A1816" t="s">
        <v>93</v>
      </c>
      <c r="B1816" t="s">
        <v>20</v>
      </c>
      <c r="C1816">
        <v>17310</v>
      </c>
      <c r="D1816" t="s">
        <v>219</v>
      </c>
      <c r="E1816">
        <v>2018</v>
      </c>
      <c r="F1816">
        <v>7</v>
      </c>
    </row>
    <row r="1817" spans="1:6" x14ac:dyDescent="0.55000000000000004">
      <c r="A1817" t="s">
        <v>93</v>
      </c>
      <c r="B1817" t="s">
        <v>21</v>
      </c>
      <c r="C1817">
        <v>3388.7656999999999</v>
      </c>
      <c r="D1817" t="s">
        <v>219</v>
      </c>
      <c r="E1817">
        <v>2018</v>
      </c>
      <c r="F1817">
        <v>7</v>
      </c>
    </row>
    <row r="1818" spans="1:6" x14ac:dyDescent="0.55000000000000004">
      <c r="A1818" t="s">
        <v>93</v>
      </c>
      <c r="B1818" t="s">
        <v>22</v>
      </c>
      <c r="C1818">
        <v>29122.266</v>
      </c>
      <c r="D1818" t="s">
        <v>219</v>
      </c>
      <c r="E1818">
        <v>2018</v>
      </c>
      <c r="F1818">
        <v>7</v>
      </c>
    </row>
    <row r="1819" spans="1:6" x14ac:dyDescent="0.55000000000000004">
      <c r="A1819" t="s">
        <v>93</v>
      </c>
      <c r="B1819" t="s">
        <v>23</v>
      </c>
      <c r="C1819">
        <v>58168.823799999998</v>
      </c>
      <c r="D1819" t="s">
        <v>219</v>
      </c>
      <c r="E1819">
        <v>2018</v>
      </c>
      <c r="F1819">
        <v>7</v>
      </c>
    </row>
    <row r="1820" spans="1:6" x14ac:dyDescent="0.55000000000000004">
      <c r="A1820" t="s">
        <v>93</v>
      </c>
      <c r="B1820" t="s">
        <v>24</v>
      </c>
      <c r="C1820">
        <v>2.34</v>
      </c>
      <c r="D1820" t="s">
        <v>219</v>
      </c>
      <c r="E1820">
        <v>2018</v>
      </c>
      <c r="F1820">
        <v>7</v>
      </c>
    </row>
    <row r="1821" spans="1:6" x14ac:dyDescent="0.55000000000000004">
      <c r="A1821" t="s">
        <v>93</v>
      </c>
      <c r="B1821" t="s">
        <v>25</v>
      </c>
      <c r="C1821">
        <v>421897.95</v>
      </c>
      <c r="D1821" t="s">
        <v>219</v>
      </c>
      <c r="E1821">
        <v>2018</v>
      </c>
      <c r="F1821">
        <v>7</v>
      </c>
    </row>
    <row r="1822" spans="1:6" x14ac:dyDescent="0.55000000000000004">
      <c r="A1822" t="s">
        <v>93</v>
      </c>
      <c r="B1822" t="s">
        <v>26</v>
      </c>
      <c r="C1822">
        <v>7.52</v>
      </c>
      <c r="D1822" t="s">
        <v>219</v>
      </c>
      <c r="E1822">
        <v>2018</v>
      </c>
      <c r="F1822">
        <v>7</v>
      </c>
    </row>
    <row r="1823" spans="1:6" x14ac:dyDescent="0.55000000000000004">
      <c r="A1823" t="s">
        <v>93</v>
      </c>
      <c r="B1823" t="s">
        <v>27</v>
      </c>
      <c r="C1823">
        <v>361.21570000000003</v>
      </c>
      <c r="D1823" t="s">
        <v>219</v>
      </c>
      <c r="E1823">
        <v>2018</v>
      </c>
      <c r="F1823">
        <v>7</v>
      </c>
    </row>
    <row r="1824" spans="1:6" x14ac:dyDescent="0.55000000000000004">
      <c r="A1824" t="s">
        <v>93</v>
      </c>
      <c r="B1824" t="s">
        <v>28</v>
      </c>
      <c r="C1824">
        <v>345262.67460000003</v>
      </c>
      <c r="D1824" t="s">
        <v>219</v>
      </c>
      <c r="E1824">
        <v>2018</v>
      </c>
      <c r="F1824">
        <v>7</v>
      </c>
    </row>
    <row r="1825" spans="1:6" x14ac:dyDescent="0.55000000000000004">
      <c r="A1825" t="s">
        <v>93</v>
      </c>
      <c r="B1825" t="s">
        <v>29</v>
      </c>
      <c r="C1825">
        <v>13019.022199999999</v>
      </c>
      <c r="D1825" t="s">
        <v>219</v>
      </c>
      <c r="E1825">
        <v>2018</v>
      </c>
      <c r="F1825">
        <v>7</v>
      </c>
    </row>
    <row r="1826" spans="1:6" x14ac:dyDescent="0.55000000000000004">
      <c r="A1826" t="s">
        <v>93</v>
      </c>
      <c r="B1826" t="s">
        <v>30</v>
      </c>
      <c r="C1826">
        <v>3.952</v>
      </c>
      <c r="D1826" t="s">
        <v>219</v>
      </c>
      <c r="E1826">
        <v>2018</v>
      </c>
      <c r="F1826">
        <v>7</v>
      </c>
    </row>
    <row r="1827" spans="1:6" x14ac:dyDescent="0.55000000000000004">
      <c r="A1827" t="s">
        <v>93</v>
      </c>
      <c r="B1827" t="s">
        <v>31</v>
      </c>
      <c r="C1827">
        <v>397.7208</v>
      </c>
      <c r="D1827" t="s">
        <v>219</v>
      </c>
      <c r="E1827">
        <v>2018</v>
      </c>
      <c r="F1827">
        <v>7</v>
      </c>
    </row>
    <row r="1828" spans="1:6" x14ac:dyDescent="0.55000000000000004">
      <c r="A1828" t="s">
        <v>93</v>
      </c>
      <c r="B1828" t="s">
        <v>32</v>
      </c>
      <c r="C1828">
        <v>688192.88230000006</v>
      </c>
      <c r="D1828" t="s">
        <v>219</v>
      </c>
      <c r="E1828">
        <v>2018</v>
      </c>
      <c r="F1828">
        <v>7</v>
      </c>
    </row>
    <row r="1829" spans="1:6" x14ac:dyDescent="0.55000000000000004">
      <c r="A1829" t="s">
        <v>93</v>
      </c>
      <c r="B1829" t="s">
        <v>33</v>
      </c>
      <c r="C1829">
        <v>408532.13270000002</v>
      </c>
      <c r="D1829" t="s">
        <v>219</v>
      </c>
      <c r="E1829">
        <v>2018</v>
      </c>
      <c r="F1829">
        <v>7</v>
      </c>
    </row>
    <row r="1830" spans="1:6" x14ac:dyDescent="0.55000000000000004">
      <c r="A1830" t="s">
        <v>93</v>
      </c>
      <c r="B1830" t="s">
        <v>34</v>
      </c>
      <c r="C1830">
        <v>687675.23820000002</v>
      </c>
      <c r="D1830" t="s">
        <v>219</v>
      </c>
      <c r="E1830">
        <v>2018</v>
      </c>
      <c r="F1830">
        <v>7</v>
      </c>
    </row>
    <row r="1831" spans="1:6" x14ac:dyDescent="0.55000000000000004">
      <c r="A1831" t="s">
        <v>93</v>
      </c>
      <c r="B1831" t="s">
        <v>35</v>
      </c>
      <c r="C1831">
        <v>1501.6887999999999</v>
      </c>
      <c r="D1831" t="s">
        <v>219</v>
      </c>
      <c r="E1831">
        <v>2018</v>
      </c>
      <c r="F1831">
        <v>7</v>
      </c>
    </row>
    <row r="1832" spans="1:6" x14ac:dyDescent="0.55000000000000004">
      <c r="A1832" t="s">
        <v>93</v>
      </c>
      <c r="B1832" t="s">
        <v>36</v>
      </c>
      <c r="C1832">
        <v>83829.45</v>
      </c>
      <c r="D1832" t="s">
        <v>219</v>
      </c>
      <c r="E1832">
        <v>2018</v>
      </c>
      <c r="F1832">
        <v>7</v>
      </c>
    </row>
    <row r="1833" spans="1:6" x14ac:dyDescent="0.55000000000000004">
      <c r="A1833" t="s">
        <v>93</v>
      </c>
      <c r="B1833" t="s">
        <v>37</v>
      </c>
      <c r="C1833">
        <v>36095.504699999998</v>
      </c>
      <c r="D1833" t="s">
        <v>219</v>
      </c>
      <c r="E1833">
        <v>2018</v>
      </c>
      <c r="F1833">
        <v>7</v>
      </c>
    </row>
    <row r="1834" spans="1:6" x14ac:dyDescent="0.55000000000000004">
      <c r="A1834" t="s">
        <v>93</v>
      </c>
      <c r="B1834" t="s">
        <v>38</v>
      </c>
      <c r="C1834">
        <v>0</v>
      </c>
      <c r="D1834" t="s">
        <v>219</v>
      </c>
      <c r="E1834">
        <v>2018</v>
      </c>
      <c r="F1834">
        <v>7</v>
      </c>
    </row>
    <row r="1835" spans="1:6" x14ac:dyDescent="0.55000000000000004">
      <c r="A1835" t="s">
        <v>93</v>
      </c>
      <c r="B1835" t="s">
        <v>39</v>
      </c>
      <c r="C1835">
        <v>761.99</v>
      </c>
      <c r="D1835" t="s">
        <v>219</v>
      </c>
      <c r="E1835">
        <v>2018</v>
      </c>
      <c r="F1835">
        <v>7</v>
      </c>
    </row>
    <row r="1836" spans="1:6" x14ac:dyDescent="0.55000000000000004">
      <c r="A1836" t="s">
        <v>93</v>
      </c>
      <c r="B1836" t="s">
        <v>40</v>
      </c>
      <c r="C1836">
        <v>630.82169999999996</v>
      </c>
      <c r="D1836" t="s">
        <v>219</v>
      </c>
      <c r="E1836">
        <v>2018</v>
      </c>
      <c r="F1836">
        <v>7</v>
      </c>
    </row>
    <row r="1837" spans="1:6" x14ac:dyDescent="0.55000000000000004">
      <c r="A1837" t="s">
        <v>93</v>
      </c>
      <c r="B1837" t="s">
        <v>41</v>
      </c>
      <c r="C1837">
        <v>254287.0099</v>
      </c>
      <c r="D1837" t="s">
        <v>219</v>
      </c>
      <c r="E1837">
        <v>2018</v>
      </c>
      <c r="F1837">
        <v>7</v>
      </c>
    </row>
    <row r="1838" spans="1:6" x14ac:dyDescent="0.55000000000000004">
      <c r="A1838" t="s">
        <v>93</v>
      </c>
      <c r="B1838" t="s">
        <v>42</v>
      </c>
      <c r="C1838">
        <v>135.4597</v>
      </c>
      <c r="D1838" t="s">
        <v>219</v>
      </c>
      <c r="E1838">
        <v>2018</v>
      </c>
      <c r="F1838">
        <v>7</v>
      </c>
    </row>
    <row r="1839" spans="1:6" x14ac:dyDescent="0.55000000000000004">
      <c r="A1839" t="s">
        <v>93</v>
      </c>
      <c r="B1839" t="s">
        <v>43</v>
      </c>
      <c r="C1839">
        <v>272519.20919999998</v>
      </c>
      <c r="D1839" t="s">
        <v>219</v>
      </c>
      <c r="E1839">
        <v>2018</v>
      </c>
      <c r="F1839">
        <v>7</v>
      </c>
    </row>
    <row r="1840" spans="1:6" x14ac:dyDescent="0.55000000000000004">
      <c r="A1840" t="s">
        <v>93</v>
      </c>
      <c r="B1840" t="s">
        <v>44</v>
      </c>
      <c r="C1840">
        <v>0</v>
      </c>
      <c r="D1840" t="s">
        <v>219</v>
      </c>
      <c r="E1840">
        <v>2018</v>
      </c>
      <c r="F1840">
        <v>7</v>
      </c>
    </row>
    <row r="1841" spans="1:6" x14ac:dyDescent="0.55000000000000004">
      <c r="A1841" t="s">
        <v>93</v>
      </c>
      <c r="B1841" t="s">
        <v>45</v>
      </c>
      <c r="C1841">
        <v>3548.8525</v>
      </c>
      <c r="D1841" t="s">
        <v>219</v>
      </c>
      <c r="E1841">
        <v>2018</v>
      </c>
      <c r="F1841">
        <v>7</v>
      </c>
    </row>
    <row r="1842" spans="1:6" x14ac:dyDescent="0.55000000000000004">
      <c r="A1842" t="s">
        <v>93</v>
      </c>
      <c r="B1842" t="s">
        <v>46</v>
      </c>
      <c r="C1842">
        <v>108514.66</v>
      </c>
      <c r="D1842" t="s">
        <v>219</v>
      </c>
      <c r="E1842">
        <v>2018</v>
      </c>
      <c r="F1842">
        <v>7</v>
      </c>
    </row>
    <row r="1843" spans="1:6" x14ac:dyDescent="0.55000000000000004">
      <c r="A1843" t="s">
        <v>93</v>
      </c>
      <c r="B1843" t="s">
        <v>47</v>
      </c>
      <c r="C1843">
        <v>0</v>
      </c>
      <c r="D1843" t="s">
        <v>219</v>
      </c>
      <c r="E1843">
        <v>2018</v>
      </c>
      <c r="F1843">
        <v>7</v>
      </c>
    </row>
    <row r="1844" spans="1:6" x14ac:dyDescent="0.55000000000000004">
      <c r="A1844" t="s">
        <v>93</v>
      </c>
      <c r="B1844" t="s">
        <v>48</v>
      </c>
      <c r="C1844">
        <v>350236.78</v>
      </c>
      <c r="D1844" t="s">
        <v>219</v>
      </c>
      <c r="E1844">
        <v>2018</v>
      </c>
      <c r="F1844">
        <v>7</v>
      </c>
    </row>
    <row r="1845" spans="1:6" x14ac:dyDescent="0.55000000000000004">
      <c r="A1845" t="s">
        <v>93</v>
      </c>
      <c r="B1845" t="s">
        <v>49</v>
      </c>
      <c r="C1845">
        <v>163.761</v>
      </c>
      <c r="D1845" t="s">
        <v>219</v>
      </c>
      <c r="E1845">
        <v>2018</v>
      </c>
      <c r="F1845">
        <v>7</v>
      </c>
    </row>
    <row r="1846" spans="1:6" x14ac:dyDescent="0.55000000000000004">
      <c r="A1846" t="s">
        <v>93</v>
      </c>
      <c r="B1846" t="s">
        <v>50</v>
      </c>
      <c r="C1846">
        <v>26441.070800000001</v>
      </c>
      <c r="D1846" t="s">
        <v>219</v>
      </c>
      <c r="E1846">
        <v>2018</v>
      </c>
      <c r="F1846">
        <v>7</v>
      </c>
    </row>
    <row r="1847" spans="1:6" x14ac:dyDescent="0.55000000000000004">
      <c r="A1847" t="s">
        <v>93</v>
      </c>
      <c r="B1847" t="s">
        <v>51</v>
      </c>
      <c r="C1847">
        <v>2754.7271999999998</v>
      </c>
      <c r="D1847" t="s">
        <v>219</v>
      </c>
      <c r="E1847">
        <v>2018</v>
      </c>
      <c r="F1847">
        <v>7</v>
      </c>
    </row>
    <row r="1848" spans="1:6" x14ac:dyDescent="0.55000000000000004">
      <c r="A1848" t="s">
        <v>93</v>
      </c>
      <c r="B1848" t="s">
        <v>52</v>
      </c>
      <c r="C1848">
        <v>490.54860000000002</v>
      </c>
      <c r="D1848" t="s">
        <v>219</v>
      </c>
      <c r="E1848">
        <v>2018</v>
      </c>
      <c r="F1848">
        <v>7</v>
      </c>
    </row>
    <row r="1849" spans="1:6" x14ac:dyDescent="0.55000000000000004">
      <c r="A1849" t="s">
        <v>93</v>
      </c>
      <c r="B1849" t="s">
        <v>53</v>
      </c>
      <c r="C1849">
        <v>54498.48</v>
      </c>
      <c r="D1849" t="s">
        <v>219</v>
      </c>
      <c r="E1849">
        <v>2018</v>
      </c>
      <c r="F1849">
        <v>7</v>
      </c>
    </row>
    <row r="1850" spans="1:6" x14ac:dyDescent="0.55000000000000004">
      <c r="A1850" t="s">
        <v>93</v>
      </c>
      <c r="B1850" t="s">
        <v>54</v>
      </c>
      <c r="C1850">
        <v>8356.7297999999992</v>
      </c>
      <c r="D1850" t="s">
        <v>219</v>
      </c>
      <c r="E1850">
        <v>2018</v>
      </c>
      <c r="F1850">
        <v>7</v>
      </c>
    </row>
    <row r="1851" spans="1:6" x14ac:dyDescent="0.55000000000000004">
      <c r="A1851" t="s">
        <v>93</v>
      </c>
      <c r="B1851" t="s">
        <v>55</v>
      </c>
      <c r="C1851">
        <v>25266.966700000001</v>
      </c>
      <c r="D1851" t="s">
        <v>219</v>
      </c>
      <c r="E1851">
        <v>2018</v>
      </c>
      <c r="F1851">
        <v>7</v>
      </c>
    </row>
    <row r="1852" spans="1:6" x14ac:dyDescent="0.55000000000000004">
      <c r="A1852" t="s">
        <v>93</v>
      </c>
      <c r="B1852" t="s">
        <v>56</v>
      </c>
      <c r="C1852">
        <v>6116.5</v>
      </c>
      <c r="D1852" t="s">
        <v>219</v>
      </c>
      <c r="E1852">
        <v>2018</v>
      </c>
      <c r="F1852">
        <v>7</v>
      </c>
    </row>
    <row r="1853" spans="1:6" x14ac:dyDescent="0.55000000000000004">
      <c r="A1853" t="s">
        <v>93</v>
      </c>
      <c r="B1853" t="s">
        <v>57</v>
      </c>
      <c r="C1853">
        <v>37.5334</v>
      </c>
      <c r="D1853" t="s">
        <v>219</v>
      </c>
      <c r="E1853">
        <v>2018</v>
      </c>
      <c r="F1853">
        <v>7</v>
      </c>
    </row>
    <row r="1854" spans="1:6" x14ac:dyDescent="0.55000000000000004">
      <c r="A1854" t="s">
        <v>93</v>
      </c>
      <c r="B1854" t="s">
        <v>58</v>
      </c>
      <c r="C1854">
        <v>393021.99</v>
      </c>
      <c r="D1854" t="s">
        <v>219</v>
      </c>
      <c r="E1854">
        <v>2018</v>
      </c>
      <c r="F1854">
        <v>7</v>
      </c>
    </row>
    <row r="1855" spans="1:6" x14ac:dyDescent="0.55000000000000004">
      <c r="A1855" t="s">
        <v>93</v>
      </c>
      <c r="B1855" t="s">
        <v>59</v>
      </c>
      <c r="C1855">
        <v>1156.5012999999999</v>
      </c>
      <c r="D1855" t="s">
        <v>219</v>
      </c>
      <c r="E1855">
        <v>2018</v>
      </c>
      <c r="F1855">
        <v>7</v>
      </c>
    </row>
    <row r="1856" spans="1:6" x14ac:dyDescent="0.55000000000000004">
      <c r="A1856" t="s">
        <v>93</v>
      </c>
      <c r="B1856" t="s">
        <v>60</v>
      </c>
      <c r="C1856">
        <v>2205288.9596000002</v>
      </c>
      <c r="D1856" t="s">
        <v>219</v>
      </c>
      <c r="E1856">
        <v>2018</v>
      </c>
      <c r="F1856">
        <v>7</v>
      </c>
    </row>
    <row r="1857" spans="1:6" x14ac:dyDescent="0.55000000000000004">
      <c r="A1857" t="s">
        <v>93</v>
      </c>
      <c r="B1857" t="s">
        <v>61</v>
      </c>
      <c r="C1857">
        <v>3481.3121999999998</v>
      </c>
      <c r="D1857" t="s">
        <v>219</v>
      </c>
      <c r="E1857">
        <v>2018</v>
      </c>
      <c r="F1857">
        <v>7</v>
      </c>
    </row>
    <row r="1858" spans="1:6" x14ac:dyDescent="0.55000000000000004">
      <c r="A1858" t="s">
        <v>93</v>
      </c>
      <c r="B1858" t="s">
        <v>62</v>
      </c>
      <c r="C1858">
        <v>1652.7474</v>
      </c>
      <c r="D1858" t="s">
        <v>219</v>
      </c>
      <c r="E1858">
        <v>2018</v>
      </c>
      <c r="F1858">
        <v>7</v>
      </c>
    </row>
    <row r="1859" spans="1:6" x14ac:dyDescent="0.55000000000000004">
      <c r="A1859" t="s">
        <v>93</v>
      </c>
      <c r="B1859" t="s">
        <v>63</v>
      </c>
      <c r="C1859">
        <v>0</v>
      </c>
      <c r="D1859" t="s">
        <v>219</v>
      </c>
      <c r="E1859">
        <v>2018</v>
      </c>
      <c r="F1859">
        <v>7</v>
      </c>
    </row>
    <row r="1860" spans="1:6" x14ac:dyDescent="0.55000000000000004">
      <c r="A1860" t="s">
        <v>94</v>
      </c>
      <c r="B1860" t="s">
        <v>4</v>
      </c>
      <c r="C1860">
        <v>11067157.6128</v>
      </c>
      <c r="D1860" t="s">
        <v>220</v>
      </c>
      <c r="E1860">
        <v>2018</v>
      </c>
      <c r="F1860">
        <v>8</v>
      </c>
    </row>
    <row r="1861" spans="1:6" x14ac:dyDescent="0.55000000000000004">
      <c r="A1861" t="s">
        <v>94</v>
      </c>
      <c r="B1861" t="s">
        <v>5</v>
      </c>
      <c r="C1861">
        <v>1091034.5386999999</v>
      </c>
      <c r="D1861" t="s">
        <v>220</v>
      </c>
      <c r="E1861">
        <v>2018</v>
      </c>
      <c r="F1861">
        <v>8</v>
      </c>
    </row>
    <row r="1862" spans="1:6" x14ac:dyDescent="0.55000000000000004">
      <c r="A1862" t="s">
        <v>94</v>
      </c>
      <c r="B1862" t="s">
        <v>6</v>
      </c>
      <c r="C1862">
        <v>2369979.3061000002</v>
      </c>
      <c r="D1862" t="s">
        <v>220</v>
      </c>
      <c r="E1862">
        <v>2018</v>
      </c>
      <c r="F1862">
        <v>8</v>
      </c>
    </row>
    <row r="1863" spans="1:6" x14ac:dyDescent="0.55000000000000004">
      <c r="A1863" t="s">
        <v>94</v>
      </c>
      <c r="B1863" t="s">
        <v>7</v>
      </c>
      <c r="C1863">
        <v>3272778.7126000002</v>
      </c>
      <c r="D1863" t="s">
        <v>220</v>
      </c>
      <c r="E1863">
        <v>2018</v>
      </c>
      <c r="F1863">
        <v>8</v>
      </c>
    </row>
    <row r="1864" spans="1:6" x14ac:dyDescent="0.55000000000000004">
      <c r="A1864" t="s">
        <v>94</v>
      </c>
      <c r="B1864" t="s">
        <v>8</v>
      </c>
      <c r="C1864">
        <v>4333365.0554</v>
      </c>
      <c r="D1864" t="s">
        <v>220</v>
      </c>
      <c r="E1864">
        <v>2018</v>
      </c>
      <c r="F1864">
        <v>8</v>
      </c>
    </row>
    <row r="1865" spans="1:6" x14ac:dyDescent="0.55000000000000004">
      <c r="A1865" t="s">
        <v>94</v>
      </c>
      <c r="B1865" t="s">
        <v>9</v>
      </c>
      <c r="C1865">
        <v>1410</v>
      </c>
      <c r="D1865" t="s">
        <v>220</v>
      </c>
      <c r="E1865">
        <v>2018</v>
      </c>
      <c r="F1865">
        <v>8</v>
      </c>
    </row>
    <row r="1866" spans="1:6" x14ac:dyDescent="0.55000000000000004">
      <c r="A1866" t="s">
        <v>94</v>
      </c>
      <c r="B1866" t="s">
        <v>10</v>
      </c>
      <c r="C1866">
        <v>2585.42</v>
      </c>
      <c r="D1866" t="s">
        <v>220</v>
      </c>
      <c r="E1866">
        <v>2018</v>
      </c>
      <c r="F1866">
        <v>8</v>
      </c>
    </row>
    <row r="1867" spans="1:6" x14ac:dyDescent="0.55000000000000004">
      <c r="A1867" t="s">
        <v>94</v>
      </c>
      <c r="B1867" t="s">
        <v>11</v>
      </c>
      <c r="C1867">
        <v>3544383.3996000001</v>
      </c>
      <c r="D1867" t="s">
        <v>220</v>
      </c>
      <c r="E1867">
        <v>2018</v>
      </c>
      <c r="F1867">
        <v>8</v>
      </c>
    </row>
    <row r="1868" spans="1:6" x14ac:dyDescent="0.55000000000000004">
      <c r="A1868" t="s">
        <v>94</v>
      </c>
      <c r="B1868" t="s">
        <v>12</v>
      </c>
      <c r="C1868">
        <v>21542.483400000001</v>
      </c>
      <c r="D1868" t="s">
        <v>220</v>
      </c>
      <c r="E1868">
        <v>2018</v>
      </c>
      <c r="F1868">
        <v>8</v>
      </c>
    </row>
    <row r="1869" spans="1:6" x14ac:dyDescent="0.55000000000000004">
      <c r="A1869" t="s">
        <v>94</v>
      </c>
      <c r="B1869" t="s">
        <v>13</v>
      </c>
      <c r="C1869">
        <v>32556</v>
      </c>
      <c r="D1869" t="s">
        <v>220</v>
      </c>
      <c r="E1869">
        <v>2018</v>
      </c>
      <c r="F1869">
        <v>8</v>
      </c>
    </row>
    <row r="1870" spans="1:6" x14ac:dyDescent="0.55000000000000004">
      <c r="A1870" t="s">
        <v>94</v>
      </c>
      <c r="B1870" t="s">
        <v>14</v>
      </c>
      <c r="C1870">
        <v>0</v>
      </c>
      <c r="D1870" t="s">
        <v>220</v>
      </c>
      <c r="E1870">
        <v>2018</v>
      </c>
      <c r="F1870">
        <v>8</v>
      </c>
    </row>
    <row r="1871" spans="1:6" x14ac:dyDescent="0.55000000000000004">
      <c r="A1871" t="s">
        <v>94</v>
      </c>
      <c r="B1871" t="s">
        <v>15</v>
      </c>
      <c r="C1871">
        <v>1031796.6844</v>
      </c>
      <c r="D1871" t="s">
        <v>220</v>
      </c>
      <c r="E1871">
        <v>2018</v>
      </c>
      <c r="F1871">
        <v>8</v>
      </c>
    </row>
    <row r="1872" spans="1:6" x14ac:dyDescent="0.55000000000000004">
      <c r="A1872" t="s">
        <v>94</v>
      </c>
      <c r="B1872" t="s">
        <v>16</v>
      </c>
      <c r="C1872">
        <v>0</v>
      </c>
      <c r="D1872" t="s">
        <v>220</v>
      </c>
      <c r="E1872">
        <v>2018</v>
      </c>
      <c r="F1872">
        <v>8</v>
      </c>
    </row>
    <row r="1873" spans="1:6" x14ac:dyDescent="0.55000000000000004">
      <c r="A1873" t="s">
        <v>94</v>
      </c>
      <c r="B1873" t="s">
        <v>17</v>
      </c>
      <c r="C1873">
        <v>133239.9547</v>
      </c>
      <c r="D1873" t="s">
        <v>220</v>
      </c>
      <c r="E1873">
        <v>2018</v>
      </c>
      <c r="F1873">
        <v>8</v>
      </c>
    </row>
    <row r="1874" spans="1:6" x14ac:dyDescent="0.55000000000000004">
      <c r="A1874" t="s">
        <v>94</v>
      </c>
      <c r="B1874" t="s">
        <v>18</v>
      </c>
      <c r="C1874">
        <v>117405.5003</v>
      </c>
      <c r="D1874" t="s">
        <v>220</v>
      </c>
      <c r="E1874">
        <v>2018</v>
      </c>
      <c r="F1874">
        <v>8</v>
      </c>
    </row>
    <row r="1875" spans="1:6" x14ac:dyDescent="0.55000000000000004">
      <c r="A1875" t="s">
        <v>94</v>
      </c>
      <c r="B1875" t="s">
        <v>19</v>
      </c>
      <c r="C1875">
        <v>5519.9937</v>
      </c>
      <c r="D1875" t="s">
        <v>220</v>
      </c>
      <c r="E1875">
        <v>2018</v>
      </c>
      <c r="F1875">
        <v>8</v>
      </c>
    </row>
    <row r="1876" spans="1:6" x14ac:dyDescent="0.55000000000000004">
      <c r="A1876" t="s">
        <v>94</v>
      </c>
      <c r="B1876" t="s">
        <v>20</v>
      </c>
      <c r="C1876">
        <v>19990</v>
      </c>
      <c r="D1876" t="s">
        <v>220</v>
      </c>
      <c r="E1876">
        <v>2018</v>
      </c>
      <c r="F1876">
        <v>8</v>
      </c>
    </row>
    <row r="1877" spans="1:6" x14ac:dyDescent="0.55000000000000004">
      <c r="A1877" t="s">
        <v>94</v>
      </c>
      <c r="B1877" t="s">
        <v>21</v>
      </c>
      <c r="C1877">
        <v>6158.9660000000003</v>
      </c>
      <c r="D1877" t="s">
        <v>220</v>
      </c>
      <c r="E1877">
        <v>2018</v>
      </c>
      <c r="F1877">
        <v>8</v>
      </c>
    </row>
    <row r="1878" spans="1:6" x14ac:dyDescent="0.55000000000000004">
      <c r="A1878" t="s">
        <v>94</v>
      </c>
      <c r="B1878" t="s">
        <v>22</v>
      </c>
      <c r="C1878">
        <v>44104.827299999997</v>
      </c>
      <c r="D1878" t="s">
        <v>220</v>
      </c>
      <c r="E1878">
        <v>2018</v>
      </c>
      <c r="F1878">
        <v>8</v>
      </c>
    </row>
    <row r="1879" spans="1:6" x14ac:dyDescent="0.55000000000000004">
      <c r="A1879" t="s">
        <v>94</v>
      </c>
      <c r="B1879" t="s">
        <v>23</v>
      </c>
      <c r="C1879">
        <v>36919.968000000001</v>
      </c>
      <c r="D1879" t="s">
        <v>220</v>
      </c>
      <c r="E1879">
        <v>2018</v>
      </c>
      <c r="F1879">
        <v>8</v>
      </c>
    </row>
    <row r="1880" spans="1:6" x14ac:dyDescent="0.55000000000000004">
      <c r="A1880" t="s">
        <v>94</v>
      </c>
      <c r="B1880" t="s">
        <v>24</v>
      </c>
      <c r="C1880">
        <v>2.34</v>
      </c>
      <c r="D1880" t="s">
        <v>220</v>
      </c>
      <c r="E1880">
        <v>2018</v>
      </c>
      <c r="F1880">
        <v>8</v>
      </c>
    </row>
    <row r="1881" spans="1:6" x14ac:dyDescent="0.55000000000000004">
      <c r="A1881" t="s">
        <v>94</v>
      </c>
      <c r="B1881" t="s">
        <v>25</v>
      </c>
      <c r="C1881">
        <v>317765.37</v>
      </c>
      <c r="D1881" t="s">
        <v>220</v>
      </c>
      <c r="E1881">
        <v>2018</v>
      </c>
      <c r="F1881">
        <v>8</v>
      </c>
    </row>
    <row r="1882" spans="1:6" x14ac:dyDescent="0.55000000000000004">
      <c r="A1882" t="s">
        <v>94</v>
      </c>
      <c r="B1882" t="s">
        <v>26</v>
      </c>
      <c r="C1882">
        <v>0.85</v>
      </c>
      <c r="D1882" t="s">
        <v>220</v>
      </c>
      <c r="E1882">
        <v>2018</v>
      </c>
      <c r="F1882">
        <v>8</v>
      </c>
    </row>
    <row r="1883" spans="1:6" x14ac:dyDescent="0.55000000000000004">
      <c r="A1883" t="s">
        <v>94</v>
      </c>
      <c r="B1883" t="s">
        <v>27</v>
      </c>
      <c r="C1883">
        <v>648.09770000000003</v>
      </c>
      <c r="D1883" t="s">
        <v>220</v>
      </c>
      <c r="E1883">
        <v>2018</v>
      </c>
      <c r="F1883">
        <v>8</v>
      </c>
    </row>
    <row r="1884" spans="1:6" x14ac:dyDescent="0.55000000000000004">
      <c r="A1884" t="s">
        <v>94</v>
      </c>
      <c r="B1884" t="s">
        <v>28</v>
      </c>
      <c r="C1884">
        <v>292962.96779999998</v>
      </c>
      <c r="D1884" t="s">
        <v>220</v>
      </c>
      <c r="E1884">
        <v>2018</v>
      </c>
      <c r="F1884">
        <v>8</v>
      </c>
    </row>
    <row r="1885" spans="1:6" x14ac:dyDescent="0.55000000000000004">
      <c r="A1885" t="s">
        <v>94</v>
      </c>
      <c r="B1885" t="s">
        <v>29</v>
      </c>
      <c r="C1885">
        <v>14257.352199999999</v>
      </c>
      <c r="D1885" t="s">
        <v>220</v>
      </c>
      <c r="E1885">
        <v>2018</v>
      </c>
      <c r="F1885">
        <v>8</v>
      </c>
    </row>
    <row r="1886" spans="1:6" x14ac:dyDescent="0.55000000000000004">
      <c r="A1886" t="s">
        <v>94</v>
      </c>
      <c r="B1886" t="s">
        <v>30</v>
      </c>
      <c r="C1886">
        <v>13.433299999999999</v>
      </c>
      <c r="D1886" t="s">
        <v>220</v>
      </c>
      <c r="E1886">
        <v>2018</v>
      </c>
      <c r="F1886">
        <v>8</v>
      </c>
    </row>
    <row r="1887" spans="1:6" x14ac:dyDescent="0.55000000000000004">
      <c r="A1887" t="s">
        <v>94</v>
      </c>
      <c r="B1887" t="s">
        <v>31</v>
      </c>
      <c r="C1887">
        <v>237.35079999999999</v>
      </c>
      <c r="D1887" t="s">
        <v>220</v>
      </c>
      <c r="E1887">
        <v>2018</v>
      </c>
      <c r="F1887">
        <v>8</v>
      </c>
    </row>
    <row r="1888" spans="1:6" x14ac:dyDescent="0.55000000000000004">
      <c r="A1888" t="s">
        <v>94</v>
      </c>
      <c r="B1888" t="s">
        <v>32</v>
      </c>
      <c r="C1888">
        <v>473625.69829999999</v>
      </c>
      <c r="D1888" t="s">
        <v>220</v>
      </c>
      <c r="E1888">
        <v>2018</v>
      </c>
      <c r="F1888">
        <v>8</v>
      </c>
    </row>
    <row r="1889" spans="1:6" x14ac:dyDescent="0.55000000000000004">
      <c r="A1889" t="s">
        <v>94</v>
      </c>
      <c r="B1889" t="s">
        <v>33</v>
      </c>
      <c r="C1889">
        <v>385647.63010000001</v>
      </c>
      <c r="D1889" t="s">
        <v>220</v>
      </c>
      <c r="E1889">
        <v>2018</v>
      </c>
      <c r="F1889">
        <v>8</v>
      </c>
    </row>
    <row r="1890" spans="1:6" x14ac:dyDescent="0.55000000000000004">
      <c r="A1890" t="s">
        <v>94</v>
      </c>
      <c r="B1890" t="s">
        <v>34</v>
      </c>
      <c r="C1890">
        <v>414235.01179999998</v>
      </c>
      <c r="D1890" t="s">
        <v>220</v>
      </c>
      <c r="E1890">
        <v>2018</v>
      </c>
      <c r="F1890">
        <v>8</v>
      </c>
    </row>
    <row r="1891" spans="1:6" x14ac:dyDescent="0.55000000000000004">
      <c r="A1891" t="s">
        <v>94</v>
      </c>
      <c r="B1891" t="s">
        <v>35</v>
      </c>
      <c r="C1891">
        <v>878.5068</v>
      </c>
      <c r="D1891" t="s">
        <v>220</v>
      </c>
      <c r="E1891">
        <v>2018</v>
      </c>
      <c r="F1891">
        <v>8</v>
      </c>
    </row>
    <row r="1892" spans="1:6" x14ac:dyDescent="0.55000000000000004">
      <c r="A1892" t="s">
        <v>94</v>
      </c>
      <c r="B1892" t="s">
        <v>36</v>
      </c>
      <c r="C1892">
        <v>50372.4833</v>
      </c>
      <c r="D1892" t="s">
        <v>220</v>
      </c>
      <c r="E1892">
        <v>2018</v>
      </c>
      <c r="F1892">
        <v>8</v>
      </c>
    </row>
    <row r="1893" spans="1:6" x14ac:dyDescent="0.55000000000000004">
      <c r="A1893" t="s">
        <v>94</v>
      </c>
      <c r="B1893" t="s">
        <v>37</v>
      </c>
      <c r="C1893">
        <v>36737.604299999999</v>
      </c>
      <c r="D1893" t="s">
        <v>220</v>
      </c>
      <c r="E1893">
        <v>2018</v>
      </c>
      <c r="F1893">
        <v>8</v>
      </c>
    </row>
    <row r="1894" spans="1:6" x14ac:dyDescent="0.55000000000000004">
      <c r="A1894" t="s">
        <v>94</v>
      </c>
      <c r="B1894" t="s">
        <v>38</v>
      </c>
      <c r="C1894">
        <v>0</v>
      </c>
      <c r="D1894" t="s">
        <v>220</v>
      </c>
      <c r="E1894">
        <v>2018</v>
      </c>
      <c r="F1894">
        <v>8</v>
      </c>
    </row>
    <row r="1895" spans="1:6" x14ac:dyDescent="0.55000000000000004">
      <c r="A1895" t="s">
        <v>94</v>
      </c>
      <c r="B1895" t="s">
        <v>39</v>
      </c>
      <c r="C1895">
        <v>501.87</v>
      </c>
      <c r="D1895" t="s">
        <v>220</v>
      </c>
      <c r="E1895">
        <v>2018</v>
      </c>
      <c r="F1895">
        <v>8</v>
      </c>
    </row>
    <row r="1896" spans="1:6" x14ac:dyDescent="0.55000000000000004">
      <c r="A1896" t="s">
        <v>94</v>
      </c>
      <c r="B1896" t="s">
        <v>40</v>
      </c>
      <c r="C1896">
        <v>387.49169999999998</v>
      </c>
      <c r="D1896" t="s">
        <v>220</v>
      </c>
      <c r="E1896">
        <v>2018</v>
      </c>
      <c r="F1896">
        <v>8</v>
      </c>
    </row>
    <row r="1897" spans="1:6" x14ac:dyDescent="0.55000000000000004">
      <c r="A1897" t="s">
        <v>94</v>
      </c>
      <c r="B1897" t="s">
        <v>41</v>
      </c>
      <c r="C1897">
        <v>226915.56219999999</v>
      </c>
      <c r="D1897" t="s">
        <v>220</v>
      </c>
      <c r="E1897">
        <v>2018</v>
      </c>
      <c r="F1897">
        <v>8</v>
      </c>
    </row>
    <row r="1898" spans="1:6" x14ac:dyDescent="0.55000000000000004">
      <c r="A1898" t="s">
        <v>94</v>
      </c>
      <c r="B1898" t="s">
        <v>42</v>
      </c>
      <c r="C1898">
        <v>312.80369999999999</v>
      </c>
      <c r="D1898" t="s">
        <v>220</v>
      </c>
      <c r="E1898">
        <v>2018</v>
      </c>
      <c r="F1898">
        <v>8</v>
      </c>
    </row>
    <row r="1899" spans="1:6" x14ac:dyDescent="0.55000000000000004">
      <c r="A1899" t="s">
        <v>94</v>
      </c>
      <c r="B1899" t="s">
        <v>43</v>
      </c>
      <c r="C1899">
        <v>171364.8866</v>
      </c>
      <c r="D1899" t="s">
        <v>220</v>
      </c>
      <c r="E1899">
        <v>2018</v>
      </c>
      <c r="F1899">
        <v>8</v>
      </c>
    </row>
    <row r="1900" spans="1:6" x14ac:dyDescent="0.55000000000000004">
      <c r="A1900" t="s">
        <v>94</v>
      </c>
      <c r="B1900" t="s">
        <v>44</v>
      </c>
      <c r="C1900">
        <v>0</v>
      </c>
      <c r="D1900" t="s">
        <v>220</v>
      </c>
      <c r="E1900">
        <v>2018</v>
      </c>
      <c r="F1900">
        <v>8</v>
      </c>
    </row>
    <row r="1901" spans="1:6" x14ac:dyDescent="0.55000000000000004">
      <c r="A1901" t="s">
        <v>94</v>
      </c>
      <c r="B1901" t="s">
        <v>45</v>
      </c>
      <c r="C1901">
        <v>2482.4884999999999</v>
      </c>
      <c r="D1901" t="s">
        <v>220</v>
      </c>
      <c r="E1901">
        <v>2018</v>
      </c>
      <c r="F1901">
        <v>8</v>
      </c>
    </row>
    <row r="1902" spans="1:6" x14ac:dyDescent="0.55000000000000004">
      <c r="A1902" t="s">
        <v>94</v>
      </c>
      <c r="B1902" t="s">
        <v>46</v>
      </c>
      <c r="C1902">
        <v>122897.636</v>
      </c>
      <c r="D1902" t="s">
        <v>220</v>
      </c>
      <c r="E1902">
        <v>2018</v>
      </c>
      <c r="F1902">
        <v>8</v>
      </c>
    </row>
    <row r="1903" spans="1:6" x14ac:dyDescent="0.55000000000000004">
      <c r="A1903" t="s">
        <v>94</v>
      </c>
      <c r="B1903" t="s">
        <v>47</v>
      </c>
      <c r="C1903">
        <v>3.1238000000000001</v>
      </c>
      <c r="D1903" t="s">
        <v>220</v>
      </c>
      <c r="E1903">
        <v>2018</v>
      </c>
      <c r="F1903">
        <v>8</v>
      </c>
    </row>
    <row r="1904" spans="1:6" x14ac:dyDescent="0.55000000000000004">
      <c r="A1904" t="s">
        <v>94</v>
      </c>
      <c r="B1904" t="s">
        <v>48</v>
      </c>
      <c r="C1904">
        <v>512391.19</v>
      </c>
      <c r="D1904" t="s">
        <v>220</v>
      </c>
      <c r="E1904">
        <v>2018</v>
      </c>
      <c r="F1904">
        <v>8</v>
      </c>
    </row>
    <row r="1905" spans="1:6" x14ac:dyDescent="0.55000000000000004">
      <c r="A1905" t="s">
        <v>94</v>
      </c>
      <c r="B1905" t="s">
        <v>49</v>
      </c>
      <c r="C1905">
        <v>655.46820000000002</v>
      </c>
      <c r="D1905" t="s">
        <v>220</v>
      </c>
      <c r="E1905">
        <v>2018</v>
      </c>
      <c r="F1905">
        <v>8</v>
      </c>
    </row>
    <row r="1906" spans="1:6" x14ac:dyDescent="0.55000000000000004">
      <c r="A1906" t="s">
        <v>94</v>
      </c>
      <c r="B1906" t="s">
        <v>50</v>
      </c>
      <c r="C1906">
        <v>42083.803200000002</v>
      </c>
      <c r="D1906" t="s">
        <v>220</v>
      </c>
      <c r="E1906">
        <v>2018</v>
      </c>
      <c r="F1906">
        <v>8</v>
      </c>
    </row>
    <row r="1907" spans="1:6" x14ac:dyDescent="0.55000000000000004">
      <c r="A1907" t="s">
        <v>94</v>
      </c>
      <c r="B1907" t="s">
        <v>51</v>
      </c>
      <c r="C1907">
        <v>1464.2972</v>
      </c>
      <c r="D1907" t="s">
        <v>220</v>
      </c>
      <c r="E1907">
        <v>2018</v>
      </c>
      <c r="F1907">
        <v>8</v>
      </c>
    </row>
    <row r="1908" spans="1:6" x14ac:dyDescent="0.55000000000000004">
      <c r="A1908" t="s">
        <v>94</v>
      </c>
      <c r="B1908" t="s">
        <v>52</v>
      </c>
      <c r="C1908">
        <v>37.1235</v>
      </c>
      <c r="D1908" t="s">
        <v>220</v>
      </c>
      <c r="E1908">
        <v>2018</v>
      </c>
      <c r="F1908">
        <v>8</v>
      </c>
    </row>
    <row r="1909" spans="1:6" x14ac:dyDescent="0.55000000000000004">
      <c r="A1909" t="s">
        <v>94</v>
      </c>
      <c r="B1909" t="s">
        <v>53</v>
      </c>
      <c r="C1909">
        <v>24621.272000000001</v>
      </c>
      <c r="D1909" t="s">
        <v>220</v>
      </c>
      <c r="E1909">
        <v>2018</v>
      </c>
      <c r="F1909">
        <v>8</v>
      </c>
    </row>
    <row r="1910" spans="1:6" x14ac:dyDescent="0.55000000000000004">
      <c r="A1910" t="s">
        <v>94</v>
      </c>
      <c r="B1910" t="s">
        <v>54</v>
      </c>
      <c r="C1910">
        <v>22437.355800000001</v>
      </c>
      <c r="D1910" t="s">
        <v>220</v>
      </c>
      <c r="E1910">
        <v>2018</v>
      </c>
      <c r="F1910">
        <v>8</v>
      </c>
    </row>
    <row r="1911" spans="1:6" x14ac:dyDescent="0.55000000000000004">
      <c r="A1911" t="s">
        <v>94</v>
      </c>
      <c r="B1911" t="s">
        <v>55</v>
      </c>
      <c r="C1911">
        <v>15058.466700000001</v>
      </c>
      <c r="D1911" t="s">
        <v>220</v>
      </c>
      <c r="E1911">
        <v>2018</v>
      </c>
      <c r="F1911">
        <v>8</v>
      </c>
    </row>
    <row r="1912" spans="1:6" x14ac:dyDescent="0.55000000000000004">
      <c r="A1912" t="s">
        <v>94</v>
      </c>
      <c r="B1912" t="s">
        <v>56</v>
      </c>
      <c r="C1912">
        <v>5747.0667000000003</v>
      </c>
      <c r="D1912" t="s">
        <v>220</v>
      </c>
      <c r="E1912">
        <v>2018</v>
      </c>
      <c r="F1912">
        <v>8</v>
      </c>
    </row>
    <row r="1913" spans="1:6" x14ac:dyDescent="0.55000000000000004">
      <c r="A1913" t="s">
        <v>94</v>
      </c>
      <c r="B1913" t="s">
        <v>57</v>
      </c>
      <c r="C1913">
        <v>103.0163</v>
      </c>
      <c r="D1913" t="s">
        <v>220</v>
      </c>
      <c r="E1913">
        <v>2018</v>
      </c>
      <c r="F1913">
        <v>8</v>
      </c>
    </row>
    <row r="1914" spans="1:6" x14ac:dyDescent="0.55000000000000004">
      <c r="A1914" t="s">
        <v>94</v>
      </c>
      <c r="B1914" t="s">
        <v>58</v>
      </c>
      <c r="C1914">
        <v>348952.01</v>
      </c>
      <c r="D1914" t="s">
        <v>220</v>
      </c>
      <c r="E1914">
        <v>2018</v>
      </c>
      <c r="F1914">
        <v>8</v>
      </c>
    </row>
    <row r="1915" spans="1:6" x14ac:dyDescent="0.55000000000000004">
      <c r="A1915" t="s">
        <v>94</v>
      </c>
      <c r="B1915" t="s">
        <v>59</v>
      </c>
      <c r="C1915">
        <v>1530.6433</v>
      </c>
      <c r="D1915" t="s">
        <v>220</v>
      </c>
      <c r="E1915">
        <v>2018</v>
      </c>
      <c r="F1915">
        <v>8</v>
      </c>
    </row>
    <row r="1916" spans="1:6" x14ac:dyDescent="0.55000000000000004">
      <c r="A1916" t="s">
        <v>94</v>
      </c>
      <c r="B1916" t="s">
        <v>60</v>
      </c>
      <c r="C1916">
        <v>2576753.5414999998</v>
      </c>
      <c r="D1916" t="s">
        <v>220</v>
      </c>
      <c r="E1916">
        <v>2018</v>
      </c>
      <c r="F1916">
        <v>8</v>
      </c>
    </row>
    <row r="1917" spans="1:6" x14ac:dyDescent="0.55000000000000004">
      <c r="A1917" t="s">
        <v>94</v>
      </c>
      <c r="B1917" t="s">
        <v>61</v>
      </c>
      <c r="C1917">
        <v>3665.3562000000002</v>
      </c>
      <c r="D1917" t="s">
        <v>220</v>
      </c>
      <c r="E1917">
        <v>2018</v>
      </c>
      <c r="F1917">
        <v>8</v>
      </c>
    </row>
    <row r="1918" spans="1:6" x14ac:dyDescent="0.55000000000000004">
      <c r="A1918" t="s">
        <v>94</v>
      </c>
      <c r="B1918" t="s">
        <v>62</v>
      </c>
      <c r="C1918">
        <v>1774.4174</v>
      </c>
      <c r="D1918" t="s">
        <v>220</v>
      </c>
      <c r="E1918">
        <v>2018</v>
      </c>
      <c r="F1918">
        <v>8</v>
      </c>
    </row>
    <row r="1919" spans="1:6" x14ac:dyDescent="0.55000000000000004">
      <c r="A1919" t="s">
        <v>94</v>
      </c>
      <c r="B1919" t="s">
        <v>63</v>
      </c>
      <c r="C1919">
        <v>18.828499999999998</v>
      </c>
      <c r="D1919" t="s">
        <v>220</v>
      </c>
      <c r="E1919">
        <v>2018</v>
      </c>
      <c r="F1919">
        <v>8</v>
      </c>
    </row>
    <row r="1920" spans="1:6" x14ac:dyDescent="0.55000000000000004">
      <c r="A1920" t="s">
        <v>95</v>
      </c>
      <c r="B1920" t="s">
        <v>4</v>
      </c>
      <c r="C1920">
        <v>9686522.3005999997</v>
      </c>
      <c r="D1920" t="s">
        <v>221</v>
      </c>
      <c r="E1920">
        <v>2018</v>
      </c>
      <c r="F1920">
        <v>9</v>
      </c>
    </row>
    <row r="1921" spans="1:6" x14ac:dyDescent="0.55000000000000004">
      <c r="A1921" t="s">
        <v>95</v>
      </c>
      <c r="B1921" t="s">
        <v>5</v>
      </c>
      <c r="C1921">
        <v>1181345.4380999999</v>
      </c>
      <c r="D1921" t="s">
        <v>221</v>
      </c>
      <c r="E1921">
        <v>2018</v>
      </c>
      <c r="F1921">
        <v>9</v>
      </c>
    </row>
    <row r="1922" spans="1:6" x14ac:dyDescent="0.55000000000000004">
      <c r="A1922" t="s">
        <v>95</v>
      </c>
      <c r="B1922" t="s">
        <v>6</v>
      </c>
      <c r="C1922">
        <v>1911481.8670000001</v>
      </c>
      <c r="D1922" t="s">
        <v>221</v>
      </c>
      <c r="E1922">
        <v>2018</v>
      </c>
      <c r="F1922">
        <v>9</v>
      </c>
    </row>
    <row r="1923" spans="1:6" x14ac:dyDescent="0.55000000000000004">
      <c r="A1923" t="s">
        <v>95</v>
      </c>
      <c r="B1923" t="s">
        <v>7</v>
      </c>
      <c r="C1923">
        <v>3074917.6697999998</v>
      </c>
      <c r="D1923" t="s">
        <v>221</v>
      </c>
      <c r="E1923">
        <v>2018</v>
      </c>
      <c r="F1923">
        <v>9</v>
      </c>
    </row>
    <row r="1924" spans="1:6" x14ac:dyDescent="0.55000000000000004">
      <c r="A1924" t="s">
        <v>95</v>
      </c>
      <c r="B1924" t="s">
        <v>8</v>
      </c>
      <c r="C1924">
        <v>3518777.3256999999</v>
      </c>
      <c r="D1924" t="s">
        <v>221</v>
      </c>
      <c r="E1924">
        <v>2018</v>
      </c>
      <c r="F1924">
        <v>9</v>
      </c>
    </row>
    <row r="1925" spans="1:6" x14ac:dyDescent="0.55000000000000004">
      <c r="A1925" t="s">
        <v>95</v>
      </c>
      <c r="B1925" t="s">
        <v>9</v>
      </c>
      <c r="C1925">
        <v>610</v>
      </c>
      <c r="D1925" t="s">
        <v>221</v>
      </c>
      <c r="E1925">
        <v>2018</v>
      </c>
      <c r="F1925">
        <v>9</v>
      </c>
    </row>
    <row r="1926" spans="1:6" x14ac:dyDescent="0.55000000000000004">
      <c r="A1926" t="s">
        <v>95</v>
      </c>
      <c r="B1926" t="s">
        <v>10</v>
      </c>
      <c r="C1926">
        <v>1674.19</v>
      </c>
      <c r="D1926" t="s">
        <v>221</v>
      </c>
      <c r="E1926">
        <v>2018</v>
      </c>
      <c r="F1926">
        <v>9</v>
      </c>
    </row>
    <row r="1927" spans="1:6" x14ac:dyDescent="0.55000000000000004">
      <c r="A1927" t="s">
        <v>95</v>
      </c>
      <c r="B1927" t="s">
        <v>11</v>
      </c>
      <c r="C1927">
        <v>3150780.2096000002</v>
      </c>
      <c r="D1927" t="s">
        <v>221</v>
      </c>
      <c r="E1927">
        <v>2018</v>
      </c>
      <c r="F1927">
        <v>9</v>
      </c>
    </row>
    <row r="1928" spans="1:6" x14ac:dyDescent="0.55000000000000004">
      <c r="A1928" t="s">
        <v>95</v>
      </c>
      <c r="B1928" t="s">
        <v>12</v>
      </c>
      <c r="C1928">
        <v>21071.5134</v>
      </c>
      <c r="D1928" t="s">
        <v>221</v>
      </c>
      <c r="E1928">
        <v>2018</v>
      </c>
      <c r="F1928">
        <v>9</v>
      </c>
    </row>
    <row r="1929" spans="1:6" x14ac:dyDescent="0.55000000000000004">
      <c r="A1929" t="s">
        <v>95</v>
      </c>
      <c r="B1929" t="s">
        <v>13</v>
      </c>
      <c r="C1929">
        <v>25000</v>
      </c>
      <c r="D1929" t="s">
        <v>221</v>
      </c>
      <c r="E1929">
        <v>2018</v>
      </c>
      <c r="F1929">
        <v>9</v>
      </c>
    </row>
    <row r="1930" spans="1:6" x14ac:dyDescent="0.55000000000000004">
      <c r="A1930" t="s">
        <v>95</v>
      </c>
      <c r="B1930" t="s">
        <v>14</v>
      </c>
      <c r="C1930">
        <v>0</v>
      </c>
      <c r="D1930" t="s">
        <v>221</v>
      </c>
      <c r="E1930">
        <v>2018</v>
      </c>
      <c r="F1930">
        <v>9</v>
      </c>
    </row>
    <row r="1931" spans="1:6" x14ac:dyDescent="0.55000000000000004">
      <c r="A1931" t="s">
        <v>95</v>
      </c>
      <c r="B1931" t="s">
        <v>15</v>
      </c>
      <c r="C1931">
        <v>1104944.4325000001</v>
      </c>
      <c r="D1931" t="s">
        <v>221</v>
      </c>
      <c r="E1931">
        <v>2018</v>
      </c>
      <c r="F1931">
        <v>9</v>
      </c>
    </row>
    <row r="1932" spans="1:6" x14ac:dyDescent="0.55000000000000004">
      <c r="A1932" t="s">
        <v>95</v>
      </c>
      <c r="B1932" t="s">
        <v>16</v>
      </c>
      <c r="C1932">
        <v>0</v>
      </c>
      <c r="D1932" t="s">
        <v>221</v>
      </c>
      <c r="E1932">
        <v>2018</v>
      </c>
      <c r="F1932">
        <v>9</v>
      </c>
    </row>
    <row r="1933" spans="1:6" x14ac:dyDescent="0.55000000000000004">
      <c r="A1933" t="s">
        <v>95</v>
      </c>
      <c r="B1933" t="s">
        <v>17</v>
      </c>
      <c r="C1933">
        <v>45180.985999999997</v>
      </c>
      <c r="D1933" t="s">
        <v>221</v>
      </c>
      <c r="E1933">
        <v>2018</v>
      </c>
      <c r="F1933">
        <v>9</v>
      </c>
    </row>
    <row r="1934" spans="1:6" x14ac:dyDescent="0.55000000000000004">
      <c r="A1934" t="s">
        <v>95</v>
      </c>
      <c r="B1934" t="s">
        <v>18</v>
      </c>
      <c r="C1934">
        <v>117506.16680000001</v>
      </c>
      <c r="D1934" t="s">
        <v>221</v>
      </c>
      <c r="E1934">
        <v>2018</v>
      </c>
      <c r="F1934">
        <v>9</v>
      </c>
    </row>
    <row r="1935" spans="1:6" x14ac:dyDescent="0.55000000000000004">
      <c r="A1935" t="s">
        <v>95</v>
      </c>
      <c r="B1935" t="s">
        <v>19</v>
      </c>
      <c r="C1935">
        <v>1329.0297</v>
      </c>
      <c r="D1935" t="s">
        <v>221</v>
      </c>
      <c r="E1935">
        <v>2018</v>
      </c>
      <c r="F1935">
        <v>9</v>
      </c>
    </row>
    <row r="1936" spans="1:6" x14ac:dyDescent="0.55000000000000004">
      <c r="A1936" t="s">
        <v>95</v>
      </c>
      <c r="B1936" t="s">
        <v>20</v>
      </c>
      <c r="C1936">
        <v>11405</v>
      </c>
      <c r="D1936" t="s">
        <v>221</v>
      </c>
      <c r="E1936">
        <v>2018</v>
      </c>
      <c r="F1936">
        <v>9</v>
      </c>
    </row>
    <row r="1937" spans="1:6" x14ac:dyDescent="0.55000000000000004">
      <c r="A1937" t="s">
        <v>95</v>
      </c>
      <c r="B1937" t="s">
        <v>21</v>
      </c>
      <c r="C1937">
        <v>6922.2347</v>
      </c>
      <c r="D1937" t="s">
        <v>221</v>
      </c>
      <c r="E1937">
        <v>2018</v>
      </c>
      <c r="F1937">
        <v>9</v>
      </c>
    </row>
    <row r="1938" spans="1:6" x14ac:dyDescent="0.55000000000000004">
      <c r="A1938" t="s">
        <v>95</v>
      </c>
      <c r="B1938" t="s">
        <v>22</v>
      </c>
      <c r="C1938">
        <v>43522.839800000002</v>
      </c>
      <c r="D1938" t="s">
        <v>221</v>
      </c>
      <c r="E1938">
        <v>2018</v>
      </c>
      <c r="F1938">
        <v>9</v>
      </c>
    </row>
    <row r="1939" spans="1:6" x14ac:dyDescent="0.55000000000000004">
      <c r="A1939" t="s">
        <v>95</v>
      </c>
      <c r="B1939" t="s">
        <v>23</v>
      </c>
      <c r="C1939">
        <v>25762.343700000001</v>
      </c>
      <c r="D1939" t="s">
        <v>221</v>
      </c>
      <c r="E1939">
        <v>2018</v>
      </c>
      <c r="F1939">
        <v>9</v>
      </c>
    </row>
    <row r="1940" spans="1:6" x14ac:dyDescent="0.55000000000000004">
      <c r="A1940" t="s">
        <v>95</v>
      </c>
      <c r="B1940" t="s">
        <v>24</v>
      </c>
      <c r="C1940">
        <v>2.34</v>
      </c>
      <c r="D1940" t="s">
        <v>221</v>
      </c>
      <c r="E1940">
        <v>2018</v>
      </c>
      <c r="F1940">
        <v>9</v>
      </c>
    </row>
    <row r="1941" spans="1:6" x14ac:dyDescent="0.55000000000000004">
      <c r="A1941" t="s">
        <v>95</v>
      </c>
      <c r="B1941" t="s">
        <v>25</v>
      </c>
      <c r="C1941">
        <v>259363.23329999999</v>
      </c>
      <c r="D1941" t="s">
        <v>221</v>
      </c>
      <c r="E1941">
        <v>2018</v>
      </c>
      <c r="F1941">
        <v>9</v>
      </c>
    </row>
    <row r="1942" spans="1:6" x14ac:dyDescent="0.55000000000000004">
      <c r="A1942" t="s">
        <v>95</v>
      </c>
      <c r="B1942" t="s">
        <v>26</v>
      </c>
      <c r="C1942">
        <v>0.85</v>
      </c>
      <c r="D1942" t="s">
        <v>221</v>
      </c>
      <c r="E1942">
        <v>2018</v>
      </c>
      <c r="F1942">
        <v>9</v>
      </c>
    </row>
    <row r="1943" spans="1:6" x14ac:dyDescent="0.55000000000000004">
      <c r="A1943" t="s">
        <v>95</v>
      </c>
      <c r="B1943" t="s">
        <v>27</v>
      </c>
      <c r="C1943">
        <v>530.86800000000005</v>
      </c>
      <c r="D1943" t="s">
        <v>221</v>
      </c>
      <c r="E1943">
        <v>2018</v>
      </c>
      <c r="F1943">
        <v>9</v>
      </c>
    </row>
    <row r="1944" spans="1:6" x14ac:dyDescent="0.55000000000000004">
      <c r="A1944" t="s">
        <v>95</v>
      </c>
      <c r="B1944" t="s">
        <v>28</v>
      </c>
      <c r="C1944">
        <v>164271.1758</v>
      </c>
      <c r="D1944" t="s">
        <v>221</v>
      </c>
      <c r="E1944">
        <v>2018</v>
      </c>
      <c r="F1944">
        <v>9</v>
      </c>
    </row>
    <row r="1945" spans="1:6" x14ac:dyDescent="0.55000000000000004">
      <c r="A1945" t="s">
        <v>95</v>
      </c>
      <c r="B1945" t="s">
        <v>29</v>
      </c>
      <c r="C1945">
        <v>12594.022199999999</v>
      </c>
      <c r="D1945" t="s">
        <v>221</v>
      </c>
      <c r="E1945">
        <v>2018</v>
      </c>
      <c r="F1945">
        <v>9</v>
      </c>
    </row>
    <row r="1946" spans="1:6" x14ac:dyDescent="0.55000000000000004">
      <c r="A1946" t="s">
        <v>95</v>
      </c>
      <c r="B1946" t="s">
        <v>30</v>
      </c>
      <c r="C1946">
        <v>225.8</v>
      </c>
      <c r="D1946" t="s">
        <v>221</v>
      </c>
      <c r="E1946">
        <v>2018</v>
      </c>
      <c r="F1946">
        <v>9</v>
      </c>
    </row>
    <row r="1947" spans="1:6" x14ac:dyDescent="0.55000000000000004">
      <c r="A1947" t="s">
        <v>95</v>
      </c>
      <c r="B1947" t="s">
        <v>31</v>
      </c>
      <c r="C1947">
        <v>14.6251</v>
      </c>
      <c r="D1947" t="s">
        <v>221</v>
      </c>
      <c r="E1947">
        <v>2018</v>
      </c>
      <c r="F1947">
        <v>9</v>
      </c>
    </row>
    <row r="1948" spans="1:6" x14ac:dyDescent="0.55000000000000004">
      <c r="A1948" t="s">
        <v>95</v>
      </c>
      <c r="B1948" t="s">
        <v>32</v>
      </c>
      <c r="C1948">
        <v>296639.54070000001</v>
      </c>
      <c r="D1948" t="s">
        <v>221</v>
      </c>
      <c r="E1948">
        <v>2018</v>
      </c>
      <c r="F1948">
        <v>9</v>
      </c>
    </row>
    <row r="1949" spans="1:6" x14ac:dyDescent="0.55000000000000004">
      <c r="A1949" t="s">
        <v>95</v>
      </c>
      <c r="B1949" t="s">
        <v>33</v>
      </c>
      <c r="C1949">
        <v>439147.70539999998</v>
      </c>
      <c r="D1949" t="s">
        <v>221</v>
      </c>
      <c r="E1949">
        <v>2018</v>
      </c>
      <c r="F1949">
        <v>9</v>
      </c>
    </row>
    <row r="1950" spans="1:6" x14ac:dyDescent="0.55000000000000004">
      <c r="A1950" t="s">
        <v>95</v>
      </c>
      <c r="B1950" t="s">
        <v>34</v>
      </c>
      <c r="C1950">
        <v>429838.08620000002</v>
      </c>
      <c r="D1950" t="s">
        <v>221</v>
      </c>
      <c r="E1950">
        <v>2018</v>
      </c>
      <c r="F1950">
        <v>9</v>
      </c>
    </row>
    <row r="1951" spans="1:6" x14ac:dyDescent="0.55000000000000004">
      <c r="A1951" t="s">
        <v>95</v>
      </c>
      <c r="B1951" t="s">
        <v>35</v>
      </c>
      <c r="C1951">
        <v>687.92240000000004</v>
      </c>
      <c r="D1951" t="s">
        <v>221</v>
      </c>
      <c r="E1951">
        <v>2018</v>
      </c>
      <c r="F1951">
        <v>9</v>
      </c>
    </row>
    <row r="1952" spans="1:6" x14ac:dyDescent="0.55000000000000004">
      <c r="A1952" t="s">
        <v>95</v>
      </c>
      <c r="B1952" t="s">
        <v>36</v>
      </c>
      <c r="C1952">
        <v>51723.255599999997</v>
      </c>
      <c r="D1952" t="s">
        <v>221</v>
      </c>
      <c r="E1952">
        <v>2018</v>
      </c>
      <c r="F1952">
        <v>9</v>
      </c>
    </row>
    <row r="1953" spans="1:6" x14ac:dyDescent="0.55000000000000004">
      <c r="A1953" t="s">
        <v>95</v>
      </c>
      <c r="B1953" t="s">
        <v>37</v>
      </c>
      <c r="C1953">
        <v>25531.524099999999</v>
      </c>
      <c r="D1953" t="s">
        <v>221</v>
      </c>
      <c r="E1953">
        <v>2018</v>
      </c>
      <c r="F1953">
        <v>9</v>
      </c>
    </row>
    <row r="1954" spans="1:6" x14ac:dyDescent="0.55000000000000004">
      <c r="A1954" t="s">
        <v>95</v>
      </c>
      <c r="B1954" t="s">
        <v>38</v>
      </c>
      <c r="C1954">
        <v>0</v>
      </c>
      <c r="D1954" t="s">
        <v>221</v>
      </c>
      <c r="E1954">
        <v>2018</v>
      </c>
      <c r="F1954">
        <v>9</v>
      </c>
    </row>
    <row r="1955" spans="1:6" x14ac:dyDescent="0.55000000000000004">
      <c r="A1955" t="s">
        <v>95</v>
      </c>
      <c r="B1955" t="s">
        <v>39</v>
      </c>
      <c r="C1955">
        <v>350.32</v>
      </c>
      <c r="D1955" t="s">
        <v>221</v>
      </c>
      <c r="E1955">
        <v>2018</v>
      </c>
      <c r="F1955">
        <v>9</v>
      </c>
    </row>
    <row r="1956" spans="1:6" x14ac:dyDescent="0.55000000000000004">
      <c r="A1956" t="s">
        <v>95</v>
      </c>
      <c r="B1956" t="s">
        <v>40</v>
      </c>
      <c r="C1956">
        <v>636.149</v>
      </c>
      <c r="D1956" t="s">
        <v>221</v>
      </c>
      <c r="E1956">
        <v>2018</v>
      </c>
      <c r="F1956">
        <v>9</v>
      </c>
    </row>
    <row r="1957" spans="1:6" x14ac:dyDescent="0.55000000000000004">
      <c r="A1957" t="s">
        <v>95</v>
      </c>
      <c r="B1957" t="s">
        <v>41</v>
      </c>
      <c r="C1957">
        <v>208422.35740000001</v>
      </c>
      <c r="D1957" t="s">
        <v>221</v>
      </c>
      <c r="E1957">
        <v>2018</v>
      </c>
      <c r="F1957">
        <v>9</v>
      </c>
    </row>
    <row r="1958" spans="1:6" x14ac:dyDescent="0.55000000000000004">
      <c r="A1958" t="s">
        <v>95</v>
      </c>
      <c r="B1958" t="s">
        <v>42</v>
      </c>
      <c r="C1958">
        <v>70.239699999999999</v>
      </c>
      <c r="D1958" t="s">
        <v>221</v>
      </c>
      <c r="E1958">
        <v>2018</v>
      </c>
      <c r="F1958">
        <v>9</v>
      </c>
    </row>
    <row r="1959" spans="1:6" x14ac:dyDescent="0.55000000000000004">
      <c r="A1959" t="s">
        <v>95</v>
      </c>
      <c r="B1959" t="s">
        <v>43</v>
      </c>
      <c r="C1959">
        <v>90929.609100000001</v>
      </c>
      <c r="D1959" t="s">
        <v>221</v>
      </c>
      <c r="E1959">
        <v>2018</v>
      </c>
      <c r="F1959">
        <v>9</v>
      </c>
    </row>
    <row r="1960" spans="1:6" x14ac:dyDescent="0.55000000000000004">
      <c r="A1960" t="s">
        <v>95</v>
      </c>
      <c r="B1960" t="s">
        <v>44</v>
      </c>
      <c r="C1960">
        <v>0</v>
      </c>
      <c r="D1960" t="s">
        <v>221</v>
      </c>
      <c r="E1960">
        <v>2018</v>
      </c>
      <c r="F1960">
        <v>9</v>
      </c>
    </row>
    <row r="1961" spans="1:6" x14ac:dyDescent="0.55000000000000004">
      <c r="A1961" t="s">
        <v>95</v>
      </c>
      <c r="B1961" t="s">
        <v>45</v>
      </c>
      <c r="C1961">
        <v>1160.6033</v>
      </c>
      <c r="D1961" t="s">
        <v>221</v>
      </c>
      <c r="E1961">
        <v>2018</v>
      </c>
      <c r="F1961">
        <v>9</v>
      </c>
    </row>
    <row r="1962" spans="1:6" x14ac:dyDescent="0.55000000000000004">
      <c r="A1962" t="s">
        <v>95</v>
      </c>
      <c r="B1962" t="s">
        <v>46</v>
      </c>
      <c r="C1962">
        <v>103528.01</v>
      </c>
      <c r="D1962" t="s">
        <v>221</v>
      </c>
      <c r="E1962">
        <v>2018</v>
      </c>
      <c r="F1962">
        <v>9</v>
      </c>
    </row>
    <row r="1963" spans="1:6" x14ac:dyDescent="0.55000000000000004">
      <c r="A1963" t="s">
        <v>95</v>
      </c>
      <c r="B1963" t="s">
        <v>47</v>
      </c>
      <c r="C1963">
        <v>0</v>
      </c>
      <c r="D1963" t="s">
        <v>221</v>
      </c>
      <c r="E1963">
        <v>2018</v>
      </c>
      <c r="F1963">
        <v>9</v>
      </c>
    </row>
    <row r="1964" spans="1:6" x14ac:dyDescent="0.55000000000000004">
      <c r="A1964" t="s">
        <v>95</v>
      </c>
      <c r="B1964" t="s">
        <v>48</v>
      </c>
      <c r="C1964">
        <v>568018</v>
      </c>
      <c r="D1964" t="s">
        <v>221</v>
      </c>
      <c r="E1964">
        <v>2018</v>
      </c>
      <c r="F1964">
        <v>9</v>
      </c>
    </row>
    <row r="1965" spans="1:6" x14ac:dyDescent="0.55000000000000004">
      <c r="A1965" t="s">
        <v>95</v>
      </c>
      <c r="B1965" t="s">
        <v>49</v>
      </c>
      <c r="C1965">
        <v>119.66370000000001</v>
      </c>
      <c r="D1965" t="s">
        <v>221</v>
      </c>
      <c r="E1965">
        <v>2018</v>
      </c>
      <c r="F1965">
        <v>9</v>
      </c>
    </row>
    <row r="1966" spans="1:6" x14ac:dyDescent="0.55000000000000004">
      <c r="A1966" t="s">
        <v>95</v>
      </c>
      <c r="B1966" t="s">
        <v>50</v>
      </c>
      <c r="C1966">
        <v>37744.512499999997</v>
      </c>
      <c r="D1966" t="s">
        <v>221</v>
      </c>
      <c r="E1966">
        <v>2018</v>
      </c>
      <c r="F1966">
        <v>9</v>
      </c>
    </row>
    <row r="1967" spans="1:6" x14ac:dyDescent="0.55000000000000004">
      <c r="A1967" t="s">
        <v>95</v>
      </c>
      <c r="B1967" t="s">
        <v>51</v>
      </c>
      <c r="C1967">
        <v>1303.0672</v>
      </c>
      <c r="D1967" t="s">
        <v>221</v>
      </c>
      <c r="E1967">
        <v>2018</v>
      </c>
      <c r="F1967">
        <v>9</v>
      </c>
    </row>
    <row r="1968" spans="1:6" x14ac:dyDescent="0.55000000000000004">
      <c r="A1968" t="s">
        <v>95</v>
      </c>
      <c r="B1968" t="s">
        <v>52</v>
      </c>
      <c r="C1968">
        <v>28.613499999999998</v>
      </c>
      <c r="D1968" t="s">
        <v>221</v>
      </c>
      <c r="E1968">
        <v>2018</v>
      </c>
      <c r="F1968">
        <v>9</v>
      </c>
    </row>
    <row r="1969" spans="1:6" x14ac:dyDescent="0.55000000000000004">
      <c r="A1969" t="s">
        <v>95</v>
      </c>
      <c r="B1969" t="s">
        <v>53</v>
      </c>
      <c r="C1969">
        <v>42839.15</v>
      </c>
      <c r="D1969" t="s">
        <v>221</v>
      </c>
      <c r="E1969">
        <v>2018</v>
      </c>
      <c r="F1969">
        <v>9</v>
      </c>
    </row>
    <row r="1970" spans="1:6" x14ac:dyDescent="0.55000000000000004">
      <c r="A1970" t="s">
        <v>95</v>
      </c>
      <c r="B1970" t="s">
        <v>54</v>
      </c>
      <c r="C1970">
        <v>19402.9879</v>
      </c>
      <c r="D1970" t="s">
        <v>221</v>
      </c>
      <c r="E1970">
        <v>2018</v>
      </c>
      <c r="F1970">
        <v>9</v>
      </c>
    </row>
    <row r="1971" spans="1:6" x14ac:dyDescent="0.55000000000000004">
      <c r="A1971" t="s">
        <v>95</v>
      </c>
      <c r="B1971" t="s">
        <v>55</v>
      </c>
      <c r="C1971">
        <v>20920.5</v>
      </c>
      <c r="D1971" t="s">
        <v>221</v>
      </c>
      <c r="E1971">
        <v>2018</v>
      </c>
      <c r="F1971">
        <v>9</v>
      </c>
    </row>
    <row r="1972" spans="1:6" x14ac:dyDescent="0.55000000000000004">
      <c r="A1972" t="s">
        <v>95</v>
      </c>
      <c r="B1972" t="s">
        <v>56</v>
      </c>
      <c r="C1972">
        <v>44935.916700000002</v>
      </c>
      <c r="D1972" t="s">
        <v>221</v>
      </c>
      <c r="E1972">
        <v>2018</v>
      </c>
      <c r="F1972">
        <v>9</v>
      </c>
    </row>
    <row r="1973" spans="1:6" x14ac:dyDescent="0.55000000000000004">
      <c r="A1973" t="s">
        <v>95</v>
      </c>
      <c r="B1973" t="s">
        <v>57</v>
      </c>
      <c r="C1973">
        <v>196.23830000000001</v>
      </c>
      <c r="D1973" t="s">
        <v>221</v>
      </c>
      <c r="E1973">
        <v>2018</v>
      </c>
      <c r="F1973">
        <v>9</v>
      </c>
    </row>
    <row r="1974" spans="1:6" x14ac:dyDescent="0.55000000000000004">
      <c r="A1974" t="s">
        <v>95</v>
      </c>
      <c r="B1974" t="s">
        <v>58</v>
      </c>
      <c r="C1974">
        <v>293199</v>
      </c>
      <c r="D1974" t="s">
        <v>221</v>
      </c>
      <c r="E1974">
        <v>2018</v>
      </c>
      <c r="F1974">
        <v>9</v>
      </c>
    </row>
    <row r="1975" spans="1:6" x14ac:dyDescent="0.55000000000000004">
      <c r="A1975" t="s">
        <v>95</v>
      </c>
      <c r="B1975" t="s">
        <v>59</v>
      </c>
      <c r="C1975">
        <v>705.77329999999995</v>
      </c>
      <c r="D1975" t="s">
        <v>221</v>
      </c>
      <c r="E1975">
        <v>2018</v>
      </c>
      <c r="F1975">
        <v>9</v>
      </c>
    </row>
    <row r="1976" spans="1:6" x14ac:dyDescent="0.55000000000000004">
      <c r="A1976" t="s">
        <v>95</v>
      </c>
      <c r="B1976" t="s">
        <v>60</v>
      </c>
      <c r="C1976">
        <v>2008470.0544</v>
      </c>
      <c r="D1976" t="s">
        <v>221</v>
      </c>
      <c r="E1976">
        <v>2018</v>
      </c>
      <c r="F1976">
        <v>9</v>
      </c>
    </row>
    <row r="1977" spans="1:6" x14ac:dyDescent="0.55000000000000004">
      <c r="A1977" t="s">
        <v>95</v>
      </c>
      <c r="B1977" t="s">
        <v>61</v>
      </c>
      <c r="C1977">
        <v>3387.2222000000002</v>
      </c>
      <c r="D1977" t="s">
        <v>221</v>
      </c>
      <c r="E1977">
        <v>2018</v>
      </c>
      <c r="F1977">
        <v>9</v>
      </c>
    </row>
    <row r="1978" spans="1:6" x14ac:dyDescent="0.55000000000000004">
      <c r="A1978" t="s">
        <v>95</v>
      </c>
      <c r="B1978" t="s">
        <v>62</v>
      </c>
      <c r="C1978">
        <v>3874.4173999999998</v>
      </c>
      <c r="D1978" t="s">
        <v>221</v>
      </c>
      <c r="E1978">
        <v>2018</v>
      </c>
      <c r="F1978">
        <v>9</v>
      </c>
    </row>
    <row r="1979" spans="1:6" x14ac:dyDescent="0.55000000000000004">
      <c r="A1979" t="s">
        <v>95</v>
      </c>
      <c r="B1979" t="s">
        <v>63</v>
      </c>
      <c r="C1979">
        <v>0</v>
      </c>
      <c r="D1979" t="s">
        <v>221</v>
      </c>
      <c r="E1979">
        <v>2018</v>
      </c>
      <c r="F1979">
        <v>9</v>
      </c>
    </row>
    <row r="1980" spans="1:6" x14ac:dyDescent="0.55000000000000004">
      <c r="A1980" t="s">
        <v>96</v>
      </c>
      <c r="B1980" t="s">
        <v>4</v>
      </c>
      <c r="C1980">
        <v>10397562.096100001</v>
      </c>
      <c r="D1980" t="s">
        <v>222</v>
      </c>
      <c r="E1980">
        <v>2018</v>
      </c>
      <c r="F1980">
        <v>10</v>
      </c>
    </row>
    <row r="1981" spans="1:6" x14ac:dyDescent="0.55000000000000004">
      <c r="A1981" t="s">
        <v>96</v>
      </c>
      <c r="B1981" t="s">
        <v>5</v>
      </c>
      <c r="C1981">
        <v>1153747.2246999999</v>
      </c>
      <c r="D1981" t="s">
        <v>222</v>
      </c>
      <c r="E1981">
        <v>2018</v>
      </c>
      <c r="F1981">
        <v>10</v>
      </c>
    </row>
    <row r="1982" spans="1:6" x14ac:dyDescent="0.55000000000000004">
      <c r="A1982" t="s">
        <v>96</v>
      </c>
      <c r="B1982" t="s">
        <v>6</v>
      </c>
      <c r="C1982">
        <v>1774809.1913999999</v>
      </c>
      <c r="D1982" t="s">
        <v>222</v>
      </c>
      <c r="E1982">
        <v>2018</v>
      </c>
      <c r="F1982">
        <v>10</v>
      </c>
    </row>
    <row r="1983" spans="1:6" x14ac:dyDescent="0.55000000000000004">
      <c r="A1983" t="s">
        <v>96</v>
      </c>
      <c r="B1983" t="s">
        <v>7</v>
      </c>
      <c r="C1983">
        <v>3716639.4062000001</v>
      </c>
      <c r="D1983" t="s">
        <v>222</v>
      </c>
      <c r="E1983">
        <v>2018</v>
      </c>
      <c r="F1983">
        <v>10</v>
      </c>
    </row>
    <row r="1984" spans="1:6" x14ac:dyDescent="0.55000000000000004">
      <c r="A1984" t="s">
        <v>96</v>
      </c>
      <c r="B1984" t="s">
        <v>8</v>
      </c>
      <c r="C1984">
        <v>3752366.2738000001</v>
      </c>
      <c r="D1984" t="s">
        <v>222</v>
      </c>
      <c r="E1984">
        <v>2018</v>
      </c>
      <c r="F1984">
        <v>10</v>
      </c>
    </row>
    <row r="1985" spans="1:6" x14ac:dyDescent="0.55000000000000004">
      <c r="A1985" t="s">
        <v>96</v>
      </c>
      <c r="B1985" t="s">
        <v>9</v>
      </c>
      <c r="C1985">
        <v>1544.3167000000001</v>
      </c>
      <c r="D1985" t="s">
        <v>222</v>
      </c>
      <c r="E1985">
        <v>2018</v>
      </c>
      <c r="F1985">
        <v>10</v>
      </c>
    </row>
    <row r="1986" spans="1:6" x14ac:dyDescent="0.55000000000000004">
      <c r="A1986" t="s">
        <v>96</v>
      </c>
      <c r="B1986" t="s">
        <v>10</v>
      </c>
      <c r="C1986">
        <v>4305.62</v>
      </c>
      <c r="D1986" t="s">
        <v>222</v>
      </c>
      <c r="E1986">
        <v>2018</v>
      </c>
      <c r="F1986">
        <v>10</v>
      </c>
    </row>
    <row r="1987" spans="1:6" x14ac:dyDescent="0.55000000000000004">
      <c r="A1987" t="s">
        <v>96</v>
      </c>
      <c r="B1987" t="s">
        <v>11</v>
      </c>
      <c r="C1987">
        <v>3937859.0506000002</v>
      </c>
      <c r="D1987" t="s">
        <v>222</v>
      </c>
      <c r="E1987">
        <v>2018</v>
      </c>
      <c r="F1987">
        <v>10</v>
      </c>
    </row>
    <row r="1988" spans="1:6" x14ac:dyDescent="0.55000000000000004">
      <c r="A1988" t="s">
        <v>96</v>
      </c>
      <c r="B1988" t="s">
        <v>12</v>
      </c>
      <c r="C1988">
        <v>38971.85</v>
      </c>
      <c r="D1988" t="s">
        <v>222</v>
      </c>
      <c r="E1988">
        <v>2018</v>
      </c>
      <c r="F1988">
        <v>10</v>
      </c>
    </row>
    <row r="1989" spans="1:6" x14ac:dyDescent="0.55000000000000004">
      <c r="A1989" t="s">
        <v>96</v>
      </c>
      <c r="B1989" t="s">
        <v>13</v>
      </c>
      <c r="C1989">
        <v>13973.3333</v>
      </c>
      <c r="D1989" t="s">
        <v>222</v>
      </c>
      <c r="E1989">
        <v>2018</v>
      </c>
      <c r="F1989">
        <v>10</v>
      </c>
    </row>
    <row r="1990" spans="1:6" x14ac:dyDescent="0.55000000000000004">
      <c r="A1990" t="s">
        <v>96</v>
      </c>
      <c r="B1990" t="s">
        <v>14</v>
      </c>
      <c r="C1990">
        <v>0</v>
      </c>
      <c r="D1990" t="s">
        <v>222</v>
      </c>
      <c r="E1990">
        <v>2018</v>
      </c>
      <c r="F1990">
        <v>10</v>
      </c>
    </row>
    <row r="1991" spans="1:6" x14ac:dyDescent="0.55000000000000004">
      <c r="A1991" t="s">
        <v>96</v>
      </c>
      <c r="B1991" t="s">
        <v>15</v>
      </c>
      <c r="C1991">
        <v>1063521.4783999999</v>
      </c>
      <c r="D1991" t="s">
        <v>222</v>
      </c>
      <c r="E1991">
        <v>2018</v>
      </c>
      <c r="F1991">
        <v>10</v>
      </c>
    </row>
    <row r="1992" spans="1:6" x14ac:dyDescent="0.55000000000000004">
      <c r="A1992" t="s">
        <v>96</v>
      </c>
      <c r="B1992" t="s">
        <v>16</v>
      </c>
      <c r="C1992">
        <v>0</v>
      </c>
      <c r="D1992" t="s">
        <v>222</v>
      </c>
      <c r="E1992">
        <v>2018</v>
      </c>
      <c r="F1992">
        <v>10</v>
      </c>
    </row>
    <row r="1993" spans="1:6" x14ac:dyDescent="0.55000000000000004">
      <c r="A1993" t="s">
        <v>96</v>
      </c>
      <c r="B1993" t="s">
        <v>17</v>
      </c>
      <c r="C1993">
        <v>35018.663200000003</v>
      </c>
      <c r="D1993" t="s">
        <v>222</v>
      </c>
      <c r="E1993">
        <v>2018</v>
      </c>
      <c r="F1993">
        <v>10</v>
      </c>
    </row>
    <row r="1994" spans="1:6" x14ac:dyDescent="0.55000000000000004">
      <c r="A1994" t="s">
        <v>96</v>
      </c>
      <c r="B1994" t="s">
        <v>18</v>
      </c>
      <c r="C1994">
        <v>170789.76199999999</v>
      </c>
      <c r="D1994" t="s">
        <v>222</v>
      </c>
      <c r="E1994">
        <v>2018</v>
      </c>
      <c r="F1994">
        <v>10</v>
      </c>
    </row>
    <row r="1995" spans="1:6" x14ac:dyDescent="0.55000000000000004">
      <c r="A1995" t="s">
        <v>96</v>
      </c>
      <c r="B1995" t="s">
        <v>19</v>
      </c>
      <c r="C1995">
        <v>3759.7937000000002</v>
      </c>
      <c r="D1995" t="s">
        <v>222</v>
      </c>
      <c r="E1995">
        <v>2018</v>
      </c>
      <c r="F1995">
        <v>10</v>
      </c>
    </row>
    <row r="1996" spans="1:6" x14ac:dyDescent="0.55000000000000004">
      <c r="A1996" t="s">
        <v>96</v>
      </c>
      <c r="B1996" t="s">
        <v>20</v>
      </c>
      <c r="C1996">
        <v>7116.6666999999998</v>
      </c>
      <c r="D1996" t="s">
        <v>222</v>
      </c>
      <c r="E1996">
        <v>2018</v>
      </c>
      <c r="F1996">
        <v>10</v>
      </c>
    </row>
    <row r="1997" spans="1:6" x14ac:dyDescent="0.55000000000000004">
      <c r="A1997" t="s">
        <v>96</v>
      </c>
      <c r="B1997" t="s">
        <v>21</v>
      </c>
      <c r="C1997">
        <v>3253.7251000000001</v>
      </c>
      <c r="D1997" t="s">
        <v>222</v>
      </c>
      <c r="E1997">
        <v>2018</v>
      </c>
      <c r="F1997">
        <v>10</v>
      </c>
    </row>
    <row r="1998" spans="1:6" x14ac:dyDescent="0.55000000000000004">
      <c r="A1998" t="s">
        <v>96</v>
      </c>
      <c r="B1998" t="s">
        <v>22</v>
      </c>
      <c r="C1998">
        <v>42224.839800000002</v>
      </c>
      <c r="D1998" t="s">
        <v>222</v>
      </c>
      <c r="E1998">
        <v>2018</v>
      </c>
      <c r="F1998">
        <v>10</v>
      </c>
    </row>
    <row r="1999" spans="1:6" x14ac:dyDescent="0.55000000000000004">
      <c r="A1999" t="s">
        <v>96</v>
      </c>
      <c r="B1999" t="s">
        <v>23</v>
      </c>
      <c r="C1999">
        <v>14475.833199999999</v>
      </c>
      <c r="D1999" t="s">
        <v>222</v>
      </c>
      <c r="E1999">
        <v>2018</v>
      </c>
      <c r="F1999">
        <v>10</v>
      </c>
    </row>
    <row r="2000" spans="1:6" x14ac:dyDescent="0.55000000000000004">
      <c r="A2000" t="s">
        <v>96</v>
      </c>
      <c r="B2000" t="s">
        <v>24</v>
      </c>
      <c r="C2000">
        <v>2.34</v>
      </c>
      <c r="D2000" t="s">
        <v>222</v>
      </c>
      <c r="E2000">
        <v>2018</v>
      </c>
      <c r="F2000">
        <v>10</v>
      </c>
    </row>
    <row r="2001" spans="1:6" x14ac:dyDescent="0.55000000000000004">
      <c r="A2001" t="s">
        <v>96</v>
      </c>
      <c r="B2001" t="s">
        <v>25</v>
      </c>
      <c r="C2001">
        <v>363702.37</v>
      </c>
      <c r="D2001" t="s">
        <v>222</v>
      </c>
      <c r="E2001">
        <v>2018</v>
      </c>
      <c r="F2001">
        <v>10</v>
      </c>
    </row>
    <row r="2002" spans="1:6" x14ac:dyDescent="0.55000000000000004">
      <c r="A2002" t="s">
        <v>96</v>
      </c>
      <c r="B2002" t="s">
        <v>26</v>
      </c>
      <c r="C2002">
        <v>0.85</v>
      </c>
      <c r="D2002" t="s">
        <v>222</v>
      </c>
      <c r="E2002">
        <v>2018</v>
      </c>
      <c r="F2002">
        <v>10</v>
      </c>
    </row>
    <row r="2003" spans="1:6" x14ac:dyDescent="0.55000000000000004">
      <c r="A2003" t="s">
        <v>96</v>
      </c>
      <c r="B2003" t="s">
        <v>27</v>
      </c>
      <c r="C2003">
        <v>1126.6277</v>
      </c>
      <c r="D2003" t="s">
        <v>222</v>
      </c>
      <c r="E2003">
        <v>2018</v>
      </c>
      <c r="F2003">
        <v>10</v>
      </c>
    </row>
    <row r="2004" spans="1:6" x14ac:dyDescent="0.55000000000000004">
      <c r="A2004" t="s">
        <v>96</v>
      </c>
      <c r="B2004" t="s">
        <v>28</v>
      </c>
      <c r="C2004">
        <v>76489.879700000005</v>
      </c>
      <c r="D2004" t="s">
        <v>222</v>
      </c>
      <c r="E2004">
        <v>2018</v>
      </c>
      <c r="F2004">
        <v>10</v>
      </c>
    </row>
    <row r="2005" spans="1:6" x14ac:dyDescent="0.55000000000000004">
      <c r="A2005" t="s">
        <v>96</v>
      </c>
      <c r="B2005" t="s">
        <v>29</v>
      </c>
      <c r="C2005">
        <v>14354.680200000001</v>
      </c>
      <c r="D2005" t="s">
        <v>222</v>
      </c>
      <c r="E2005">
        <v>2018</v>
      </c>
      <c r="F2005">
        <v>10</v>
      </c>
    </row>
    <row r="2006" spans="1:6" x14ac:dyDescent="0.55000000000000004">
      <c r="A2006" t="s">
        <v>96</v>
      </c>
      <c r="B2006" t="s">
        <v>30</v>
      </c>
      <c r="C2006">
        <v>93.8733</v>
      </c>
      <c r="D2006" t="s">
        <v>222</v>
      </c>
      <c r="E2006">
        <v>2018</v>
      </c>
      <c r="F2006">
        <v>10</v>
      </c>
    </row>
    <row r="2007" spans="1:6" x14ac:dyDescent="0.55000000000000004">
      <c r="A2007" t="s">
        <v>96</v>
      </c>
      <c r="B2007" t="s">
        <v>31</v>
      </c>
      <c r="C2007">
        <v>6.3308</v>
      </c>
      <c r="D2007" t="s">
        <v>222</v>
      </c>
      <c r="E2007">
        <v>2018</v>
      </c>
      <c r="F2007">
        <v>10</v>
      </c>
    </row>
    <row r="2008" spans="1:6" x14ac:dyDescent="0.55000000000000004">
      <c r="A2008" t="s">
        <v>96</v>
      </c>
      <c r="B2008" t="s">
        <v>32</v>
      </c>
      <c r="C2008">
        <v>101053.145</v>
      </c>
      <c r="D2008" t="s">
        <v>222</v>
      </c>
      <c r="E2008">
        <v>2018</v>
      </c>
      <c r="F2008">
        <v>10</v>
      </c>
    </row>
    <row r="2009" spans="1:6" x14ac:dyDescent="0.55000000000000004">
      <c r="A2009" t="s">
        <v>96</v>
      </c>
      <c r="B2009" t="s">
        <v>33</v>
      </c>
      <c r="C2009">
        <v>358942.45319999999</v>
      </c>
      <c r="D2009" t="s">
        <v>222</v>
      </c>
      <c r="E2009">
        <v>2018</v>
      </c>
      <c r="F2009">
        <v>10</v>
      </c>
    </row>
    <row r="2010" spans="1:6" x14ac:dyDescent="0.55000000000000004">
      <c r="A2010" t="s">
        <v>96</v>
      </c>
      <c r="B2010" t="s">
        <v>34</v>
      </c>
      <c r="C2010">
        <v>168985.2078</v>
      </c>
      <c r="D2010" t="s">
        <v>222</v>
      </c>
      <c r="E2010">
        <v>2018</v>
      </c>
      <c r="F2010">
        <v>10</v>
      </c>
    </row>
    <row r="2011" spans="1:6" x14ac:dyDescent="0.55000000000000004">
      <c r="A2011" t="s">
        <v>96</v>
      </c>
      <c r="B2011" t="s">
        <v>35</v>
      </c>
      <c r="C2011">
        <v>1063.2615000000001</v>
      </c>
      <c r="D2011" t="s">
        <v>222</v>
      </c>
      <c r="E2011">
        <v>2018</v>
      </c>
      <c r="F2011">
        <v>10</v>
      </c>
    </row>
    <row r="2012" spans="1:6" x14ac:dyDescent="0.55000000000000004">
      <c r="A2012" t="s">
        <v>96</v>
      </c>
      <c r="B2012" t="s">
        <v>36</v>
      </c>
      <c r="C2012">
        <v>56480.652300000002</v>
      </c>
      <c r="D2012" t="s">
        <v>222</v>
      </c>
      <c r="E2012">
        <v>2018</v>
      </c>
      <c r="F2012">
        <v>10</v>
      </c>
    </row>
    <row r="2013" spans="1:6" x14ac:dyDescent="0.55000000000000004">
      <c r="A2013" t="s">
        <v>96</v>
      </c>
      <c r="B2013" t="s">
        <v>37</v>
      </c>
      <c r="C2013">
        <v>20761.1554</v>
      </c>
      <c r="D2013" t="s">
        <v>222</v>
      </c>
      <c r="E2013">
        <v>2018</v>
      </c>
      <c r="F2013">
        <v>10</v>
      </c>
    </row>
    <row r="2014" spans="1:6" x14ac:dyDescent="0.55000000000000004">
      <c r="A2014" t="s">
        <v>96</v>
      </c>
      <c r="B2014" t="s">
        <v>38</v>
      </c>
      <c r="C2014">
        <v>30</v>
      </c>
      <c r="D2014" t="s">
        <v>222</v>
      </c>
      <c r="E2014">
        <v>2018</v>
      </c>
      <c r="F2014">
        <v>10</v>
      </c>
    </row>
    <row r="2015" spans="1:6" x14ac:dyDescent="0.55000000000000004">
      <c r="A2015" t="s">
        <v>96</v>
      </c>
      <c r="B2015" t="s">
        <v>39</v>
      </c>
      <c r="C2015">
        <v>341.99</v>
      </c>
      <c r="D2015" t="s">
        <v>222</v>
      </c>
      <c r="E2015">
        <v>2018</v>
      </c>
      <c r="F2015">
        <v>10</v>
      </c>
    </row>
    <row r="2016" spans="1:6" x14ac:dyDescent="0.55000000000000004">
      <c r="A2016" t="s">
        <v>96</v>
      </c>
      <c r="B2016" t="s">
        <v>40</v>
      </c>
      <c r="C2016">
        <v>437.49169999999998</v>
      </c>
      <c r="D2016" t="s">
        <v>222</v>
      </c>
      <c r="E2016">
        <v>2018</v>
      </c>
      <c r="F2016">
        <v>10</v>
      </c>
    </row>
    <row r="2017" spans="1:6" x14ac:dyDescent="0.55000000000000004">
      <c r="A2017" t="s">
        <v>96</v>
      </c>
      <c r="B2017" t="s">
        <v>41</v>
      </c>
      <c r="C2017">
        <v>189131.15410000001</v>
      </c>
      <c r="D2017" t="s">
        <v>222</v>
      </c>
      <c r="E2017">
        <v>2018</v>
      </c>
      <c r="F2017">
        <v>10</v>
      </c>
    </row>
    <row r="2018" spans="1:6" x14ac:dyDescent="0.55000000000000004">
      <c r="A2018" t="s">
        <v>96</v>
      </c>
      <c r="B2018" t="s">
        <v>42</v>
      </c>
      <c r="C2018">
        <v>138.90700000000001</v>
      </c>
      <c r="D2018" t="s">
        <v>222</v>
      </c>
      <c r="E2018">
        <v>2018</v>
      </c>
      <c r="F2018">
        <v>10</v>
      </c>
    </row>
    <row r="2019" spans="1:6" x14ac:dyDescent="0.55000000000000004">
      <c r="A2019" t="s">
        <v>96</v>
      </c>
      <c r="B2019" t="s">
        <v>43</v>
      </c>
      <c r="C2019">
        <v>46261.814899999998</v>
      </c>
      <c r="D2019" t="s">
        <v>222</v>
      </c>
      <c r="E2019">
        <v>2018</v>
      </c>
      <c r="F2019">
        <v>10</v>
      </c>
    </row>
    <row r="2020" spans="1:6" x14ac:dyDescent="0.55000000000000004">
      <c r="A2020" t="s">
        <v>96</v>
      </c>
      <c r="B2020" t="s">
        <v>44</v>
      </c>
      <c r="C2020">
        <v>0</v>
      </c>
      <c r="D2020" t="s">
        <v>222</v>
      </c>
      <c r="E2020">
        <v>2018</v>
      </c>
      <c r="F2020">
        <v>10</v>
      </c>
    </row>
    <row r="2021" spans="1:6" x14ac:dyDescent="0.55000000000000004">
      <c r="A2021" t="s">
        <v>96</v>
      </c>
      <c r="B2021" t="s">
        <v>45</v>
      </c>
      <c r="C2021">
        <v>16779.473000000002</v>
      </c>
      <c r="D2021" t="s">
        <v>222</v>
      </c>
      <c r="E2021">
        <v>2018</v>
      </c>
      <c r="F2021">
        <v>10</v>
      </c>
    </row>
    <row r="2022" spans="1:6" x14ac:dyDescent="0.55000000000000004">
      <c r="A2022" t="s">
        <v>96</v>
      </c>
      <c r="B2022" t="s">
        <v>46</v>
      </c>
      <c r="C2022">
        <v>98757.599000000002</v>
      </c>
      <c r="D2022" t="s">
        <v>222</v>
      </c>
      <c r="E2022">
        <v>2018</v>
      </c>
      <c r="F2022">
        <v>10</v>
      </c>
    </row>
    <row r="2023" spans="1:6" x14ac:dyDescent="0.55000000000000004">
      <c r="A2023" t="s">
        <v>96</v>
      </c>
      <c r="B2023" t="s">
        <v>47</v>
      </c>
      <c r="C2023">
        <v>2.0825</v>
      </c>
      <c r="D2023" t="s">
        <v>222</v>
      </c>
      <c r="E2023">
        <v>2018</v>
      </c>
      <c r="F2023">
        <v>10</v>
      </c>
    </row>
    <row r="2024" spans="1:6" x14ac:dyDescent="0.55000000000000004">
      <c r="A2024" t="s">
        <v>96</v>
      </c>
      <c r="B2024" t="s">
        <v>48</v>
      </c>
      <c r="C2024">
        <v>741188.62</v>
      </c>
      <c r="D2024" t="s">
        <v>222</v>
      </c>
      <c r="E2024">
        <v>2018</v>
      </c>
      <c r="F2024">
        <v>10</v>
      </c>
    </row>
    <row r="2025" spans="1:6" x14ac:dyDescent="0.55000000000000004">
      <c r="A2025" t="s">
        <v>96</v>
      </c>
      <c r="B2025" t="s">
        <v>49</v>
      </c>
      <c r="C2025">
        <v>397.8</v>
      </c>
      <c r="D2025" t="s">
        <v>222</v>
      </c>
      <c r="E2025">
        <v>2018</v>
      </c>
      <c r="F2025">
        <v>10</v>
      </c>
    </row>
    <row r="2026" spans="1:6" x14ac:dyDescent="0.55000000000000004">
      <c r="A2026" t="s">
        <v>96</v>
      </c>
      <c r="B2026" t="s">
        <v>50</v>
      </c>
      <c r="C2026">
        <v>48201.408799999997</v>
      </c>
      <c r="D2026" t="s">
        <v>222</v>
      </c>
      <c r="E2026">
        <v>2018</v>
      </c>
      <c r="F2026">
        <v>10</v>
      </c>
    </row>
    <row r="2027" spans="1:6" x14ac:dyDescent="0.55000000000000004">
      <c r="A2027" t="s">
        <v>96</v>
      </c>
      <c r="B2027" t="s">
        <v>51</v>
      </c>
      <c r="C2027">
        <v>1473.8972000000001</v>
      </c>
      <c r="D2027" t="s">
        <v>222</v>
      </c>
      <c r="E2027">
        <v>2018</v>
      </c>
      <c r="F2027">
        <v>10</v>
      </c>
    </row>
    <row r="2028" spans="1:6" x14ac:dyDescent="0.55000000000000004">
      <c r="A2028" t="s">
        <v>96</v>
      </c>
      <c r="B2028" t="s">
        <v>52</v>
      </c>
      <c r="C2028">
        <v>30.077200000000001</v>
      </c>
      <c r="D2028" t="s">
        <v>222</v>
      </c>
      <c r="E2028">
        <v>2018</v>
      </c>
      <c r="F2028">
        <v>10</v>
      </c>
    </row>
    <row r="2029" spans="1:6" x14ac:dyDescent="0.55000000000000004">
      <c r="A2029" t="s">
        <v>96</v>
      </c>
      <c r="B2029" t="s">
        <v>53</v>
      </c>
      <c r="C2029">
        <v>46668.567999999999</v>
      </c>
      <c r="D2029" t="s">
        <v>222</v>
      </c>
      <c r="E2029">
        <v>2018</v>
      </c>
      <c r="F2029">
        <v>10</v>
      </c>
    </row>
    <row r="2030" spans="1:6" x14ac:dyDescent="0.55000000000000004">
      <c r="A2030" t="s">
        <v>96</v>
      </c>
      <c r="B2030" t="s">
        <v>54</v>
      </c>
      <c r="C2030">
        <v>24553.8472</v>
      </c>
      <c r="D2030" t="s">
        <v>222</v>
      </c>
      <c r="E2030">
        <v>2018</v>
      </c>
      <c r="F2030">
        <v>10</v>
      </c>
    </row>
    <row r="2031" spans="1:6" x14ac:dyDescent="0.55000000000000004">
      <c r="A2031" t="s">
        <v>96</v>
      </c>
      <c r="B2031" t="s">
        <v>55</v>
      </c>
      <c r="C2031">
        <v>26041.7333</v>
      </c>
      <c r="D2031" t="s">
        <v>222</v>
      </c>
      <c r="E2031">
        <v>2018</v>
      </c>
      <c r="F2031">
        <v>10</v>
      </c>
    </row>
    <row r="2032" spans="1:6" x14ac:dyDescent="0.55000000000000004">
      <c r="A2032" t="s">
        <v>96</v>
      </c>
      <c r="B2032" t="s">
        <v>56</v>
      </c>
      <c r="C2032">
        <v>0</v>
      </c>
      <c r="D2032" t="s">
        <v>222</v>
      </c>
      <c r="E2032">
        <v>2018</v>
      </c>
      <c r="F2032">
        <v>10</v>
      </c>
    </row>
    <row r="2033" spans="1:6" x14ac:dyDescent="0.55000000000000004">
      <c r="A2033" t="s">
        <v>96</v>
      </c>
      <c r="B2033" t="s">
        <v>57</v>
      </c>
      <c r="C2033">
        <v>155.58080000000001</v>
      </c>
      <c r="D2033" t="s">
        <v>222</v>
      </c>
      <c r="E2033">
        <v>2018</v>
      </c>
      <c r="F2033">
        <v>10</v>
      </c>
    </row>
    <row r="2034" spans="1:6" x14ac:dyDescent="0.55000000000000004">
      <c r="A2034" t="s">
        <v>96</v>
      </c>
      <c r="B2034" t="s">
        <v>58</v>
      </c>
      <c r="C2034">
        <v>350742.99</v>
      </c>
      <c r="D2034" t="s">
        <v>222</v>
      </c>
      <c r="E2034">
        <v>2018</v>
      </c>
      <c r="F2034">
        <v>10</v>
      </c>
    </row>
    <row r="2035" spans="1:6" x14ac:dyDescent="0.55000000000000004">
      <c r="A2035" t="s">
        <v>96</v>
      </c>
      <c r="B2035" t="s">
        <v>59</v>
      </c>
      <c r="C2035">
        <v>30.383299999999998</v>
      </c>
      <c r="D2035" t="s">
        <v>222</v>
      </c>
      <c r="E2035">
        <v>2018</v>
      </c>
      <c r="F2035">
        <v>10</v>
      </c>
    </row>
    <row r="2036" spans="1:6" x14ac:dyDescent="0.55000000000000004">
      <c r="A2036" t="s">
        <v>96</v>
      </c>
      <c r="B2036" t="s">
        <v>60</v>
      </c>
      <c r="C2036">
        <v>2299875.7296000002</v>
      </c>
      <c r="D2036" t="s">
        <v>222</v>
      </c>
      <c r="E2036">
        <v>2018</v>
      </c>
      <c r="F2036">
        <v>10</v>
      </c>
    </row>
    <row r="2037" spans="1:6" x14ac:dyDescent="0.55000000000000004">
      <c r="A2037" t="s">
        <v>96</v>
      </c>
      <c r="B2037" t="s">
        <v>61</v>
      </c>
      <c r="C2037">
        <v>4077.6922</v>
      </c>
      <c r="D2037" t="s">
        <v>222</v>
      </c>
      <c r="E2037">
        <v>2018</v>
      </c>
      <c r="F2037">
        <v>10</v>
      </c>
    </row>
    <row r="2038" spans="1:6" x14ac:dyDescent="0.55000000000000004">
      <c r="A2038" t="s">
        <v>96</v>
      </c>
      <c r="B2038" t="s">
        <v>62</v>
      </c>
      <c r="C2038">
        <v>2045.4174</v>
      </c>
      <c r="D2038" t="s">
        <v>222</v>
      </c>
      <c r="E2038">
        <v>2018</v>
      </c>
      <c r="F2038">
        <v>10</v>
      </c>
    </row>
    <row r="2039" spans="1:6" x14ac:dyDescent="0.55000000000000004">
      <c r="A2039" t="s">
        <v>96</v>
      </c>
      <c r="B2039" t="s">
        <v>63</v>
      </c>
      <c r="C2039">
        <v>320.07929999999999</v>
      </c>
      <c r="D2039" t="s">
        <v>222</v>
      </c>
      <c r="E2039">
        <v>2018</v>
      </c>
      <c r="F2039">
        <v>10</v>
      </c>
    </row>
    <row r="2040" spans="1:6" x14ac:dyDescent="0.55000000000000004">
      <c r="A2040" t="s">
        <v>97</v>
      </c>
      <c r="B2040" t="s">
        <v>4</v>
      </c>
      <c r="C2040">
        <v>10352191.1205</v>
      </c>
      <c r="D2040" t="s">
        <v>223</v>
      </c>
      <c r="E2040">
        <v>2018</v>
      </c>
      <c r="F2040">
        <v>11</v>
      </c>
    </row>
    <row r="2041" spans="1:6" x14ac:dyDescent="0.55000000000000004">
      <c r="A2041" t="s">
        <v>97</v>
      </c>
      <c r="B2041" t="s">
        <v>5</v>
      </c>
      <c r="C2041">
        <v>1391546.9731999999</v>
      </c>
      <c r="D2041" t="s">
        <v>223</v>
      </c>
      <c r="E2041">
        <v>2018</v>
      </c>
      <c r="F2041">
        <v>11</v>
      </c>
    </row>
    <row r="2042" spans="1:6" x14ac:dyDescent="0.55000000000000004">
      <c r="A2042" t="s">
        <v>97</v>
      </c>
      <c r="B2042" t="s">
        <v>6</v>
      </c>
      <c r="C2042">
        <v>1525949.6232</v>
      </c>
      <c r="D2042" t="s">
        <v>223</v>
      </c>
      <c r="E2042">
        <v>2018</v>
      </c>
      <c r="F2042">
        <v>11</v>
      </c>
    </row>
    <row r="2043" spans="1:6" x14ac:dyDescent="0.55000000000000004">
      <c r="A2043" t="s">
        <v>97</v>
      </c>
      <c r="B2043" t="s">
        <v>7</v>
      </c>
      <c r="C2043">
        <v>3794471.8574999999</v>
      </c>
      <c r="D2043" t="s">
        <v>223</v>
      </c>
      <c r="E2043">
        <v>2018</v>
      </c>
      <c r="F2043">
        <v>11</v>
      </c>
    </row>
    <row r="2044" spans="1:6" x14ac:dyDescent="0.55000000000000004">
      <c r="A2044" t="s">
        <v>97</v>
      </c>
      <c r="B2044" t="s">
        <v>8</v>
      </c>
      <c r="C2044">
        <v>3640222.6666000001</v>
      </c>
      <c r="D2044" t="s">
        <v>223</v>
      </c>
      <c r="E2044">
        <v>2018</v>
      </c>
      <c r="F2044">
        <v>11</v>
      </c>
    </row>
    <row r="2045" spans="1:6" x14ac:dyDescent="0.55000000000000004">
      <c r="A2045" t="s">
        <v>97</v>
      </c>
      <c r="B2045" t="s">
        <v>9</v>
      </c>
      <c r="C2045">
        <v>632.75</v>
      </c>
      <c r="D2045" t="s">
        <v>223</v>
      </c>
      <c r="E2045">
        <v>2018</v>
      </c>
      <c r="F2045">
        <v>11</v>
      </c>
    </row>
    <row r="2046" spans="1:6" x14ac:dyDescent="0.55000000000000004">
      <c r="A2046" t="s">
        <v>97</v>
      </c>
      <c r="B2046" t="s">
        <v>10</v>
      </c>
      <c r="C2046">
        <v>3879.17</v>
      </c>
      <c r="D2046" t="s">
        <v>223</v>
      </c>
      <c r="E2046">
        <v>2018</v>
      </c>
      <c r="F2046">
        <v>11</v>
      </c>
    </row>
    <row r="2047" spans="1:6" x14ac:dyDescent="0.55000000000000004">
      <c r="A2047" t="s">
        <v>97</v>
      </c>
      <c r="B2047" t="s">
        <v>11</v>
      </c>
      <c r="C2047">
        <v>3902855.5162</v>
      </c>
      <c r="D2047" t="s">
        <v>223</v>
      </c>
      <c r="E2047">
        <v>2018</v>
      </c>
      <c r="F2047">
        <v>11</v>
      </c>
    </row>
    <row r="2048" spans="1:6" x14ac:dyDescent="0.55000000000000004">
      <c r="A2048" t="s">
        <v>97</v>
      </c>
      <c r="B2048" t="s">
        <v>12</v>
      </c>
      <c r="C2048">
        <v>50457.840700000001</v>
      </c>
      <c r="D2048" t="s">
        <v>223</v>
      </c>
      <c r="E2048">
        <v>2018</v>
      </c>
      <c r="F2048">
        <v>11</v>
      </c>
    </row>
    <row r="2049" spans="1:6" x14ac:dyDescent="0.55000000000000004">
      <c r="A2049" t="s">
        <v>97</v>
      </c>
      <c r="B2049" t="s">
        <v>13</v>
      </c>
      <c r="C2049">
        <v>2678.67</v>
      </c>
      <c r="D2049" t="s">
        <v>223</v>
      </c>
      <c r="E2049">
        <v>2018</v>
      </c>
      <c r="F2049">
        <v>11</v>
      </c>
    </row>
    <row r="2050" spans="1:6" x14ac:dyDescent="0.55000000000000004">
      <c r="A2050" t="s">
        <v>97</v>
      </c>
      <c r="B2050" t="s">
        <v>14</v>
      </c>
      <c r="C2050">
        <v>0</v>
      </c>
      <c r="D2050" t="s">
        <v>223</v>
      </c>
      <c r="E2050">
        <v>2018</v>
      </c>
      <c r="F2050">
        <v>11</v>
      </c>
    </row>
    <row r="2051" spans="1:6" x14ac:dyDescent="0.55000000000000004">
      <c r="A2051" t="s">
        <v>97</v>
      </c>
      <c r="B2051" t="s">
        <v>15</v>
      </c>
      <c r="C2051">
        <v>1239136.4805999999</v>
      </c>
      <c r="D2051" t="s">
        <v>223</v>
      </c>
      <c r="E2051">
        <v>2018</v>
      </c>
      <c r="F2051">
        <v>11</v>
      </c>
    </row>
    <row r="2052" spans="1:6" x14ac:dyDescent="0.55000000000000004">
      <c r="A2052" t="s">
        <v>97</v>
      </c>
      <c r="B2052" t="s">
        <v>16</v>
      </c>
      <c r="C2052">
        <v>0</v>
      </c>
      <c r="D2052" t="s">
        <v>223</v>
      </c>
      <c r="E2052">
        <v>2018</v>
      </c>
      <c r="F2052">
        <v>11</v>
      </c>
    </row>
    <row r="2053" spans="1:6" x14ac:dyDescent="0.55000000000000004">
      <c r="A2053" t="s">
        <v>97</v>
      </c>
      <c r="B2053" t="s">
        <v>17</v>
      </c>
      <c r="C2053">
        <v>27840.792799999999</v>
      </c>
      <c r="D2053" t="s">
        <v>223</v>
      </c>
      <c r="E2053">
        <v>2018</v>
      </c>
      <c r="F2053">
        <v>11</v>
      </c>
    </row>
    <row r="2054" spans="1:6" x14ac:dyDescent="0.55000000000000004">
      <c r="A2054" t="s">
        <v>97</v>
      </c>
      <c r="B2054" t="s">
        <v>18</v>
      </c>
      <c r="C2054">
        <v>233875.46</v>
      </c>
      <c r="D2054" t="s">
        <v>223</v>
      </c>
      <c r="E2054">
        <v>2018</v>
      </c>
      <c r="F2054">
        <v>11</v>
      </c>
    </row>
    <row r="2055" spans="1:6" x14ac:dyDescent="0.55000000000000004">
      <c r="A2055" t="s">
        <v>97</v>
      </c>
      <c r="B2055" t="s">
        <v>19</v>
      </c>
      <c r="C2055">
        <v>1612.6177</v>
      </c>
      <c r="D2055" t="s">
        <v>223</v>
      </c>
      <c r="E2055">
        <v>2018</v>
      </c>
      <c r="F2055">
        <v>11</v>
      </c>
    </row>
    <row r="2056" spans="1:6" x14ac:dyDescent="0.55000000000000004">
      <c r="A2056" t="s">
        <v>97</v>
      </c>
      <c r="B2056" t="s">
        <v>20</v>
      </c>
      <c r="C2056">
        <v>15740</v>
      </c>
      <c r="D2056" t="s">
        <v>223</v>
      </c>
      <c r="E2056">
        <v>2018</v>
      </c>
      <c r="F2056">
        <v>11</v>
      </c>
    </row>
    <row r="2057" spans="1:6" x14ac:dyDescent="0.55000000000000004">
      <c r="A2057" t="s">
        <v>97</v>
      </c>
      <c r="B2057" t="s">
        <v>21</v>
      </c>
      <c r="C2057">
        <v>2203.759</v>
      </c>
      <c r="D2057" t="s">
        <v>223</v>
      </c>
      <c r="E2057">
        <v>2018</v>
      </c>
      <c r="F2057">
        <v>11</v>
      </c>
    </row>
    <row r="2058" spans="1:6" x14ac:dyDescent="0.55000000000000004">
      <c r="A2058" t="s">
        <v>97</v>
      </c>
      <c r="B2058" t="s">
        <v>22</v>
      </c>
      <c r="C2058">
        <v>41449.727599999998</v>
      </c>
      <c r="D2058" t="s">
        <v>223</v>
      </c>
      <c r="E2058">
        <v>2018</v>
      </c>
      <c r="F2058">
        <v>11</v>
      </c>
    </row>
    <row r="2059" spans="1:6" x14ac:dyDescent="0.55000000000000004">
      <c r="A2059" t="s">
        <v>97</v>
      </c>
      <c r="B2059" t="s">
        <v>23</v>
      </c>
      <c r="C2059">
        <v>5699.0995000000003</v>
      </c>
      <c r="D2059" t="s">
        <v>223</v>
      </c>
      <c r="E2059">
        <v>2018</v>
      </c>
      <c r="F2059">
        <v>11</v>
      </c>
    </row>
    <row r="2060" spans="1:6" x14ac:dyDescent="0.55000000000000004">
      <c r="A2060" t="s">
        <v>97</v>
      </c>
      <c r="B2060" t="s">
        <v>24</v>
      </c>
      <c r="C2060">
        <v>2.34</v>
      </c>
      <c r="D2060" t="s">
        <v>223</v>
      </c>
      <c r="E2060">
        <v>2018</v>
      </c>
      <c r="F2060">
        <v>11</v>
      </c>
    </row>
    <row r="2061" spans="1:6" x14ac:dyDescent="0.55000000000000004">
      <c r="A2061" t="s">
        <v>97</v>
      </c>
      <c r="B2061" t="s">
        <v>25</v>
      </c>
      <c r="C2061">
        <v>233457.86660000001</v>
      </c>
      <c r="D2061" t="s">
        <v>223</v>
      </c>
      <c r="E2061">
        <v>2018</v>
      </c>
      <c r="F2061">
        <v>11</v>
      </c>
    </row>
    <row r="2062" spans="1:6" x14ac:dyDescent="0.55000000000000004">
      <c r="A2062" t="s">
        <v>97</v>
      </c>
      <c r="B2062" t="s">
        <v>26</v>
      </c>
      <c r="C2062">
        <v>0.85</v>
      </c>
      <c r="D2062" t="s">
        <v>223</v>
      </c>
      <c r="E2062">
        <v>2018</v>
      </c>
      <c r="F2062">
        <v>11</v>
      </c>
    </row>
    <row r="2063" spans="1:6" x14ac:dyDescent="0.55000000000000004">
      <c r="A2063" t="s">
        <v>97</v>
      </c>
      <c r="B2063" t="s">
        <v>27</v>
      </c>
      <c r="C2063">
        <v>1600.482</v>
      </c>
      <c r="D2063" t="s">
        <v>223</v>
      </c>
      <c r="E2063">
        <v>2018</v>
      </c>
      <c r="F2063">
        <v>11</v>
      </c>
    </row>
    <row r="2064" spans="1:6" x14ac:dyDescent="0.55000000000000004">
      <c r="A2064" t="s">
        <v>97</v>
      </c>
      <c r="B2064" t="s">
        <v>28</v>
      </c>
      <c r="C2064">
        <v>59448.616499999996</v>
      </c>
      <c r="D2064" t="s">
        <v>223</v>
      </c>
      <c r="E2064">
        <v>2018</v>
      </c>
      <c r="F2064">
        <v>11</v>
      </c>
    </row>
    <row r="2065" spans="1:6" x14ac:dyDescent="0.55000000000000004">
      <c r="A2065" t="s">
        <v>97</v>
      </c>
      <c r="B2065" t="s">
        <v>29</v>
      </c>
      <c r="C2065">
        <v>12775.022199999999</v>
      </c>
      <c r="D2065" t="s">
        <v>223</v>
      </c>
      <c r="E2065">
        <v>2018</v>
      </c>
      <c r="F2065">
        <v>11</v>
      </c>
    </row>
    <row r="2066" spans="1:6" x14ac:dyDescent="0.55000000000000004">
      <c r="A2066" t="s">
        <v>97</v>
      </c>
      <c r="B2066" t="s">
        <v>30</v>
      </c>
      <c r="C2066">
        <v>272.35000000000002</v>
      </c>
      <c r="D2066" t="s">
        <v>223</v>
      </c>
      <c r="E2066">
        <v>2018</v>
      </c>
      <c r="F2066">
        <v>11</v>
      </c>
    </row>
    <row r="2067" spans="1:6" x14ac:dyDescent="0.55000000000000004">
      <c r="A2067" t="s">
        <v>97</v>
      </c>
      <c r="B2067" t="s">
        <v>31</v>
      </c>
      <c r="C2067">
        <v>332.7826</v>
      </c>
      <c r="D2067" t="s">
        <v>223</v>
      </c>
      <c r="E2067">
        <v>2018</v>
      </c>
      <c r="F2067">
        <v>11</v>
      </c>
    </row>
    <row r="2068" spans="1:6" x14ac:dyDescent="0.55000000000000004">
      <c r="A2068" t="s">
        <v>97</v>
      </c>
      <c r="B2068" t="s">
        <v>32</v>
      </c>
      <c r="C2068">
        <v>113896.47530000001</v>
      </c>
      <c r="D2068" t="s">
        <v>223</v>
      </c>
      <c r="E2068">
        <v>2018</v>
      </c>
      <c r="F2068">
        <v>11</v>
      </c>
    </row>
    <row r="2069" spans="1:6" x14ac:dyDescent="0.55000000000000004">
      <c r="A2069" t="s">
        <v>97</v>
      </c>
      <c r="B2069" t="s">
        <v>33</v>
      </c>
      <c r="C2069">
        <v>365162.78419999999</v>
      </c>
      <c r="D2069" t="s">
        <v>223</v>
      </c>
      <c r="E2069">
        <v>2018</v>
      </c>
      <c r="F2069">
        <v>11</v>
      </c>
    </row>
    <row r="2070" spans="1:6" x14ac:dyDescent="0.55000000000000004">
      <c r="A2070" t="s">
        <v>97</v>
      </c>
      <c r="B2070" t="s">
        <v>34</v>
      </c>
      <c r="C2070">
        <v>204376.7218</v>
      </c>
      <c r="D2070" t="s">
        <v>223</v>
      </c>
      <c r="E2070">
        <v>2018</v>
      </c>
      <c r="F2070">
        <v>11</v>
      </c>
    </row>
    <row r="2071" spans="1:6" x14ac:dyDescent="0.55000000000000004">
      <c r="A2071" t="s">
        <v>97</v>
      </c>
      <c r="B2071" t="s">
        <v>35</v>
      </c>
      <c r="C2071">
        <v>463.04020000000003</v>
      </c>
      <c r="D2071" t="s">
        <v>223</v>
      </c>
      <c r="E2071">
        <v>2018</v>
      </c>
      <c r="F2071">
        <v>11</v>
      </c>
    </row>
    <row r="2072" spans="1:6" x14ac:dyDescent="0.55000000000000004">
      <c r="A2072" t="s">
        <v>97</v>
      </c>
      <c r="B2072" t="s">
        <v>36</v>
      </c>
      <c r="C2072">
        <v>72962.272599999997</v>
      </c>
      <c r="D2072" t="s">
        <v>223</v>
      </c>
      <c r="E2072">
        <v>2018</v>
      </c>
      <c r="F2072">
        <v>11</v>
      </c>
    </row>
    <row r="2073" spans="1:6" x14ac:dyDescent="0.55000000000000004">
      <c r="A2073" t="s">
        <v>97</v>
      </c>
      <c r="B2073" t="s">
        <v>37</v>
      </c>
      <c r="C2073">
        <v>20860.428800000002</v>
      </c>
      <c r="D2073" t="s">
        <v>223</v>
      </c>
      <c r="E2073">
        <v>2018</v>
      </c>
      <c r="F2073">
        <v>11</v>
      </c>
    </row>
    <row r="2074" spans="1:6" x14ac:dyDescent="0.55000000000000004">
      <c r="A2074" t="s">
        <v>97</v>
      </c>
      <c r="B2074" t="s">
        <v>38</v>
      </c>
      <c r="C2074">
        <v>0</v>
      </c>
      <c r="D2074" t="s">
        <v>223</v>
      </c>
      <c r="E2074">
        <v>2018</v>
      </c>
      <c r="F2074">
        <v>11</v>
      </c>
    </row>
    <row r="2075" spans="1:6" x14ac:dyDescent="0.55000000000000004">
      <c r="A2075" t="s">
        <v>97</v>
      </c>
      <c r="B2075" t="s">
        <v>39</v>
      </c>
      <c r="C2075">
        <v>45.32</v>
      </c>
      <c r="D2075" t="s">
        <v>223</v>
      </c>
      <c r="E2075">
        <v>2018</v>
      </c>
      <c r="F2075">
        <v>11</v>
      </c>
    </row>
    <row r="2076" spans="1:6" x14ac:dyDescent="0.55000000000000004">
      <c r="A2076" t="s">
        <v>97</v>
      </c>
      <c r="B2076" t="s">
        <v>40</v>
      </c>
      <c r="C2076">
        <v>709.1617</v>
      </c>
      <c r="D2076" t="s">
        <v>223</v>
      </c>
      <c r="E2076">
        <v>2018</v>
      </c>
      <c r="F2076">
        <v>11</v>
      </c>
    </row>
    <row r="2077" spans="1:6" x14ac:dyDescent="0.55000000000000004">
      <c r="A2077" t="s">
        <v>97</v>
      </c>
      <c r="B2077" t="s">
        <v>41</v>
      </c>
      <c r="C2077">
        <v>138961.5459</v>
      </c>
      <c r="D2077" t="s">
        <v>223</v>
      </c>
      <c r="E2077">
        <v>2018</v>
      </c>
      <c r="F2077">
        <v>11</v>
      </c>
    </row>
    <row r="2078" spans="1:6" x14ac:dyDescent="0.55000000000000004">
      <c r="A2078" t="s">
        <v>97</v>
      </c>
      <c r="B2078" t="s">
        <v>42</v>
      </c>
      <c r="C2078">
        <v>151.39699999999999</v>
      </c>
      <c r="D2078" t="s">
        <v>223</v>
      </c>
      <c r="E2078">
        <v>2018</v>
      </c>
      <c r="F2078">
        <v>11</v>
      </c>
    </row>
    <row r="2079" spans="1:6" x14ac:dyDescent="0.55000000000000004">
      <c r="A2079" t="s">
        <v>97</v>
      </c>
      <c r="B2079" t="s">
        <v>43</v>
      </c>
      <c r="C2079">
        <v>47918.800999999999</v>
      </c>
      <c r="D2079" t="s">
        <v>223</v>
      </c>
      <c r="E2079">
        <v>2018</v>
      </c>
      <c r="F2079">
        <v>11</v>
      </c>
    </row>
    <row r="2080" spans="1:6" x14ac:dyDescent="0.55000000000000004">
      <c r="A2080" t="s">
        <v>97</v>
      </c>
      <c r="B2080" t="s">
        <v>44</v>
      </c>
      <c r="C2080">
        <v>0</v>
      </c>
      <c r="D2080" t="s">
        <v>223</v>
      </c>
      <c r="E2080">
        <v>2018</v>
      </c>
      <c r="F2080">
        <v>11</v>
      </c>
    </row>
    <row r="2081" spans="1:6" x14ac:dyDescent="0.55000000000000004">
      <c r="A2081" t="s">
        <v>97</v>
      </c>
      <c r="B2081" t="s">
        <v>45</v>
      </c>
      <c r="C2081">
        <v>185.6643</v>
      </c>
      <c r="D2081" t="s">
        <v>223</v>
      </c>
      <c r="E2081">
        <v>2018</v>
      </c>
      <c r="F2081">
        <v>11</v>
      </c>
    </row>
    <row r="2082" spans="1:6" x14ac:dyDescent="0.55000000000000004">
      <c r="A2082" t="s">
        <v>97</v>
      </c>
      <c r="B2082" t="s">
        <v>46</v>
      </c>
      <c r="C2082">
        <v>102934.74</v>
      </c>
      <c r="D2082" t="s">
        <v>223</v>
      </c>
      <c r="E2082">
        <v>2018</v>
      </c>
      <c r="F2082">
        <v>11</v>
      </c>
    </row>
    <row r="2083" spans="1:6" x14ac:dyDescent="0.55000000000000004">
      <c r="A2083" t="s">
        <v>97</v>
      </c>
      <c r="B2083" t="s">
        <v>47</v>
      </c>
      <c r="C2083">
        <v>0</v>
      </c>
      <c r="D2083" t="s">
        <v>223</v>
      </c>
      <c r="E2083">
        <v>2018</v>
      </c>
      <c r="F2083">
        <v>11</v>
      </c>
    </row>
    <row r="2084" spans="1:6" x14ac:dyDescent="0.55000000000000004">
      <c r="A2084" t="s">
        <v>97</v>
      </c>
      <c r="B2084" t="s">
        <v>48</v>
      </c>
      <c r="C2084">
        <v>582738</v>
      </c>
      <c r="D2084" t="s">
        <v>223</v>
      </c>
      <c r="E2084">
        <v>2018</v>
      </c>
      <c r="F2084">
        <v>11</v>
      </c>
    </row>
    <row r="2085" spans="1:6" x14ac:dyDescent="0.55000000000000004">
      <c r="A2085" t="s">
        <v>97</v>
      </c>
      <c r="B2085" t="s">
        <v>49</v>
      </c>
      <c r="C2085">
        <v>638.53800000000001</v>
      </c>
      <c r="D2085" t="s">
        <v>223</v>
      </c>
      <c r="E2085">
        <v>2018</v>
      </c>
      <c r="F2085">
        <v>11</v>
      </c>
    </row>
    <row r="2086" spans="1:6" x14ac:dyDescent="0.55000000000000004">
      <c r="A2086" t="s">
        <v>97</v>
      </c>
      <c r="B2086" t="s">
        <v>50</v>
      </c>
      <c r="C2086">
        <v>35952.171699999999</v>
      </c>
      <c r="D2086" t="s">
        <v>223</v>
      </c>
      <c r="E2086">
        <v>2018</v>
      </c>
      <c r="F2086">
        <v>11</v>
      </c>
    </row>
    <row r="2087" spans="1:6" x14ac:dyDescent="0.55000000000000004">
      <c r="A2087" t="s">
        <v>97</v>
      </c>
      <c r="B2087" t="s">
        <v>51</v>
      </c>
      <c r="C2087">
        <v>1541.3972000000001</v>
      </c>
      <c r="D2087" t="s">
        <v>223</v>
      </c>
      <c r="E2087">
        <v>2018</v>
      </c>
      <c r="F2087">
        <v>11</v>
      </c>
    </row>
    <row r="2088" spans="1:6" x14ac:dyDescent="0.55000000000000004">
      <c r="A2088" t="s">
        <v>97</v>
      </c>
      <c r="B2088" t="s">
        <v>52</v>
      </c>
      <c r="C2088">
        <v>30.286000000000001</v>
      </c>
      <c r="D2088" t="s">
        <v>223</v>
      </c>
      <c r="E2088">
        <v>2018</v>
      </c>
      <c r="F2088">
        <v>11</v>
      </c>
    </row>
    <row r="2089" spans="1:6" x14ac:dyDescent="0.55000000000000004">
      <c r="A2089" t="s">
        <v>97</v>
      </c>
      <c r="B2089" t="s">
        <v>53</v>
      </c>
      <c r="C2089">
        <v>101290.27</v>
      </c>
      <c r="D2089" t="s">
        <v>223</v>
      </c>
      <c r="E2089">
        <v>2018</v>
      </c>
      <c r="F2089">
        <v>11</v>
      </c>
    </row>
    <row r="2090" spans="1:6" x14ac:dyDescent="0.55000000000000004">
      <c r="A2090" t="s">
        <v>97</v>
      </c>
      <c r="B2090" t="s">
        <v>54</v>
      </c>
      <c r="C2090">
        <v>15441.5717</v>
      </c>
      <c r="D2090" t="s">
        <v>223</v>
      </c>
      <c r="E2090">
        <v>2018</v>
      </c>
      <c r="F2090">
        <v>11</v>
      </c>
    </row>
    <row r="2091" spans="1:6" x14ac:dyDescent="0.55000000000000004">
      <c r="A2091" t="s">
        <v>97</v>
      </c>
      <c r="B2091" t="s">
        <v>55</v>
      </c>
      <c r="C2091">
        <v>12603.8</v>
      </c>
      <c r="D2091" t="s">
        <v>223</v>
      </c>
      <c r="E2091">
        <v>2018</v>
      </c>
      <c r="F2091">
        <v>11</v>
      </c>
    </row>
    <row r="2092" spans="1:6" x14ac:dyDescent="0.55000000000000004">
      <c r="A2092" t="s">
        <v>97</v>
      </c>
      <c r="B2092" t="s">
        <v>56</v>
      </c>
      <c r="C2092">
        <v>1589</v>
      </c>
      <c r="D2092" t="s">
        <v>223</v>
      </c>
      <c r="E2092">
        <v>2018</v>
      </c>
      <c r="F2092">
        <v>11</v>
      </c>
    </row>
    <row r="2093" spans="1:6" x14ac:dyDescent="0.55000000000000004">
      <c r="A2093" t="s">
        <v>97</v>
      </c>
      <c r="B2093" t="s">
        <v>57</v>
      </c>
      <c r="C2093">
        <v>106.9834</v>
      </c>
      <c r="D2093" t="s">
        <v>223</v>
      </c>
      <c r="E2093">
        <v>2018</v>
      </c>
      <c r="F2093">
        <v>11</v>
      </c>
    </row>
    <row r="2094" spans="1:6" x14ac:dyDescent="0.55000000000000004">
      <c r="A2094" t="s">
        <v>97</v>
      </c>
      <c r="B2094" t="s">
        <v>58</v>
      </c>
      <c r="C2094">
        <v>410240</v>
      </c>
      <c r="D2094" t="s">
        <v>223</v>
      </c>
      <c r="E2094">
        <v>2018</v>
      </c>
      <c r="F2094">
        <v>11</v>
      </c>
    </row>
    <row r="2095" spans="1:6" x14ac:dyDescent="0.55000000000000004">
      <c r="A2095" t="s">
        <v>97</v>
      </c>
      <c r="B2095" t="s">
        <v>59</v>
      </c>
      <c r="C2095">
        <v>30.305299999999999</v>
      </c>
      <c r="D2095" t="s">
        <v>223</v>
      </c>
      <c r="E2095">
        <v>2018</v>
      </c>
      <c r="F2095">
        <v>11</v>
      </c>
    </row>
    <row r="2096" spans="1:6" x14ac:dyDescent="0.55000000000000004">
      <c r="A2096" t="s">
        <v>97</v>
      </c>
      <c r="B2096" t="s">
        <v>60</v>
      </c>
      <c r="C2096">
        <v>2278219.2014000001</v>
      </c>
      <c r="D2096" t="s">
        <v>223</v>
      </c>
      <c r="E2096">
        <v>2018</v>
      </c>
      <c r="F2096">
        <v>11</v>
      </c>
    </row>
    <row r="2097" spans="1:6" x14ac:dyDescent="0.55000000000000004">
      <c r="A2097" t="s">
        <v>97</v>
      </c>
      <c r="B2097" t="s">
        <v>61</v>
      </c>
      <c r="C2097">
        <v>4553.9422000000004</v>
      </c>
      <c r="D2097" t="s">
        <v>223</v>
      </c>
      <c r="E2097">
        <v>2018</v>
      </c>
      <c r="F2097">
        <v>11</v>
      </c>
    </row>
    <row r="2098" spans="1:6" x14ac:dyDescent="0.55000000000000004">
      <c r="A2098" t="s">
        <v>97</v>
      </c>
      <c r="B2098" t="s">
        <v>62</v>
      </c>
      <c r="C2098">
        <v>1837.7274</v>
      </c>
      <c r="D2098" t="s">
        <v>223</v>
      </c>
      <c r="E2098">
        <v>2018</v>
      </c>
      <c r="F2098">
        <v>11</v>
      </c>
    </row>
    <row r="2099" spans="1:6" x14ac:dyDescent="0.55000000000000004">
      <c r="A2099" t="s">
        <v>97</v>
      </c>
      <c r="B2099" t="s">
        <v>63</v>
      </c>
      <c r="C2099">
        <v>797.37940000000003</v>
      </c>
      <c r="D2099" t="s">
        <v>223</v>
      </c>
      <c r="E2099">
        <v>2018</v>
      </c>
      <c r="F2099">
        <v>11</v>
      </c>
    </row>
    <row r="2100" spans="1:6" x14ac:dyDescent="0.55000000000000004">
      <c r="A2100" t="s">
        <v>98</v>
      </c>
      <c r="B2100" t="s">
        <v>4</v>
      </c>
      <c r="C2100">
        <v>10874896.1951</v>
      </c>
      <c r="D2100" t="s">
        <v>224</v>
      </c>
      <c r="E2100">
        <v>2018</v>
      </c>
      <c r="F2100">
        <v>12</v>
      </c>
    </row>
    <row r="2101" spans="1:6" x14ac:dyDescent="0.55000000000000004">
      <c r="A2101" t="s">
        <v>98</v>
      </c>
      <c r="B2101" t="s">
        <v>5</v>
      </c>
      <c r="C2101">
        <v>1425664.4752</v>
      </c>
      <c r="D2101" t="s">
        <v>224</v>
      </c>
      <c r="E2101">
        <v>2018</v>
      </c>
      <c r="F2101">
        <v>12</v>
      </c>
    </row>
    <row r="2102" spans="1:6" x14ac:dyDescent="0.55000000000000004">
      <c r="A2102" t="s">
        <v>98</v>
      </c>
      <c r="B2102" t="s">
        <v>6</v>
      </c>
      <c r="C2102">
        <v>1696659.3136</v>
      </c>
      <c r="D2102" t="s">
        <v>224</v>
      </c>
      <c r="E2102">
        <v>2018</v>
      </c>
      <c r="F2102">
        <v>12</v>
      </c>
    </row>
    <row r="2103" spans="1:6" x14ac:dyDescent="0.55000000000000004">
      <c r="A2103" t="s">
        <v>98</v>
      </c>
      <c r="B2103" t="s">
        <v>7</v>
      </c>
      <c r="C2103">
        <v>3903927.3339</v>
      </c>
      <c r="D2103" t="s">
        <v>224</v>
      </c>
      <c r="E2103">
        <v>2018</v>
      </c>
      <c r="F2103">
        <v>12</v>
      </c>
    </row>
    <row r="2104" spans="1:6" x14ac:dyDescent="0.55000000000000004">
      <c r="A2104" t="s">
        <v>98</v>
      </c>
      <c r="B2104" t="s">
        <v>8</v>
      </c>
      <c r="C2104">
        <v>3848645.0723999999</v>
      </c>
      <c r="D2104" t="s">
        <v>224</v>
      </c>
      <c r="E2104">
        <v>2018</v>
      </c>
      <c r="F2104">
        <v>12</v>
      </c>
    </row>
    <row r="2105" spans="1:6" x14ac:dyDescent="0.55000000000000004">
      <c r="A2105" t="s">
        <v>98</v>
      </c>
      <c r="B2105" t="s">
        <v>9</v>
      </c>
      <c r="C2105">
        <v>18.329999999999998</v>
      </c>
      <c r="D2105" t="s">
        <v>224</v>
      </c>
      <c r="E2105">
        <v>2018</v>
      </c>
      <c r="F2105">
        <v>12</v>
      </c>
    </row>
    <row r="2106" spans="1:6" x14ac:dyDescent="0.55000000000000004">
      <c r="A2106" t="s">
        <v>98</v>
      </c>
      <c r="B2106" t="s">
        <v>10</v>
      </c>
      <c r="C2106">
        <v>3909.01</v>
      </c>
      <c r="D2106" t="s">
        <v>224</v>
      </c>
      <c r="E2106">
        <v>2018</v>
      </c>
      <c r="F2106">
        <v>12</v>
      </c>
    </row>
    <row r="2107" spans="1:6" x14ac:dyDescent="0.55000000000000004">
      <c r="A2107" t="s">
        <v>98</v>
      </c>
      <c r="B2107" t="s">
        <v>11</v>
      </c>
      <c r="C2107">
        <v>4004539.2878</v>
      </c>
      <c r="D2107" t="s">
        <v>224</v>
      </c>
      <c r="E2107">
        <v>2018</v>
      </c>
      <c r="F2107">
        <v>12</v>
      </c>
    </row>
    <row r="2108" spans="1:6" x14ac:dyDescent="0.55000000000000004">
      <c r="A2108" t="s">
        <v>98</v>
      </c>
      <c r="B2108" t="s">
        <v>12</v>
      </c>
      <c r="C2108">
        <v>51366.580900000001</v>
      </c>
      <c r="D2108" t="s">
        <v>224</v>
      </c>
      <c r="E2108">
        <v>2018</v>
      </c>
      <c r="F2108">
        <v>12</v>
      </c>
    </row>
    <row r="2109" spans="1:6" x14ac:dyDescent="0.55000000000000004">
      <c r="A2109" t="s">
        <v>98</v>
      </c>
      <c r="B2109" t="s">
        <v>13</v>
      </c>
      <c r="C2109">
        <v>4736.33</v>
      </c>
      <c r="D2109" t="s">
        <v>224</v>
      </c>
      <c r="E2109">
        <v>2018</v>
      </c>
      <c r="F2109">
        <v>12</v>
      </c>
    </row>
    <row r="2110" spans="1:6" x14ac:dyDescent="0.55000000000000004">
      <c r="A2110" t="s">
        <v>98</v>
      </c>
      <c r="B2110" t="s">
        <v>14</v>
      </c>
      <c r="C2110">
        <v>0</v>
      </c>
      <c r="D2110" t="s">
        <v>224</v>
      </c>
      <c r="E2110">
        <v>2018</v>
      </c>
      <c r="F2110">
        <v>12</v>
      </c>
    </row>
    <row r="2111" spans="1:6" x14ac:dyDescent="0.55000000000000004">
      <c r="A2111" t="s">
        <v>98</v>
      </c>
      <c r="B2111" t="s">
        <v>15</v>
      </c>
      <c r="C2111">
        <v>1287455.8085</v>
      </c>
      <c r="D2111" t="s">
        <v>224</v>
      </c>
      <c r="E2111">
        <v>2018</v>
      </c>
      <c r="F2111">
        <v>12</v>
      </c>
    </row>
    <row r="2112" spans="1:6" x14ac:dyDescent="0.55000000000000004">
      <c r="A2112" t="s">
        <v>98</v>
      </c>
      <c r="B2112" t="s">
        <v>16</v>
      </c>
      <c r="C2112">
        <v>0</v>
      </c>
      <c r="D2112" t="s">
        <v>224</v>
      </c>
      <c r="E2112">
        <v>2018</v>
      </c>
      <c r="F2112">
        <v>12</v>
      </c>
    </row>
    <row r="2113" spans="1:6" x14ac:dyDescent="0.55000000000000004">
      <c r="A2113" t="s">
        <v>98</v>
      </c>
      <c r="B2113" t="s">
        <v>17</v>
      </c>
      <c r="C2113">
        <v>30857.7359</v>
      </c>
      <c r="D2113" t="s">
        <v>224</v>
      </c>
      <c r="E2113">
        <v>2018</v>
      </c>
      <c r="F2113">
        <v>12</v>
      </c>
    </row>
    <row r="2114" spans="1:6" x14ac:dyDescent="0.55000000000000004">
      <c r="A2114" t="s">
        <v>98</v>
      </c>
      <c r="B2114" t="s">
        <v>18</v>
      </c>
      <c r="C2114">
        <v>17032.716899999999</v>
      </c>
      <c r="D2114" t="s">
        <v>224</v>
      </c>
      <c r="E2114">
        <v>2018</v>
      </c>
      <c r="F2114">
        <v>12</v>
      </c>
    </row>
    <row r="2115" spans="1:6" x14ac:dyDescent="0.55000000000000004">
      <c r="A2115" t="s">
        <v>98</v>
      </c>
      <c r="B2115" t="s">
        <v>19</v>
      </c>
      <c r="C2115">
        <v>736.63919999999996</v>
      </c>
      <c r="D2115" t="s">
        <v>224</v>
      </c>
      <c r="E2115">
        <v>2018</v>
      </c>
      <c r="F2115">
        <v>12</v>
      </c>
    </row>
    <row r="2116" spans="1:6" x14ac:dyDescent="0.55000000000000004">
      <c r="A2116" t="s">
        <v>98</v>
      </c>
      <c r="B2116" t="s">
        <v>20</v>
      </c>
      <c r="C2116">
        <v>10360</v>
      </c>
      <c r="D2116" t="s">
        <v>224</v>
      </c>
      <c r="E2116">
        <v>2018</v>
      </c>
      <c r="F2116">
        <v>12</v>
      </c>
    </row>
    <row r="2117" spans="1:6" x14ac:dyDescent="0.55000000000000004">
      <c r="A2117" t="s">
        <v>98</v>
      </c>
      <c r="B2117" t="s">
        <v>21</v>
      </c>
      <c r="C2117">
        <v>486.87520000000001</v>
      </c>
      <c r="D2117" t="s">
        <v>224</v>
      </c>
      <c r="E2117">
        <v>2018</v>
      </c>
      <c r="F2117">
        <v>12</v>
      </c>
    </row>
    <row r="2118" spans="1:6" x14ac:dyDescent="0.55000000000000004">
      <c r="A2118" t="s">
        <v>98</v>
      </c>
      <c r="B2118" t="s">
        <v>22</v>
      </c>
      <c r="C2118">
        <v>43161.823299999996</v>
      </c>
      <c r="D2118" t="s">
        <v>224</v>
      </c>
      <c r="E2118">
        <v>2018</v>
      </c>
      <c r="F2118">
        <v>12</v>
      </c>
    </row>
    <row r="2119" spans="1:6" x14ac:dyDescent="0.55000000000000004">
      <c r="A2119" t="s">
        <v>98</v>
      </c>
      <c r="B2119" t="s">
        <v>23</v>
      </c>
      <c r="C2119">
        <v>26077.962800000001</v>
      </c>
      <c r="D2119" t="s">
        <v>224</v>
      </c>
      <c r="E2119">
        <v>2018</v>
      </c>
      <c r="F2119">
        <v>12</v>
      </c>
    </row>
    <row r="2120" spans="1:6" x14ac:dyDescent="0.55000000000000004">
      <c r="A2120" t="s">
        <v>98</v>
      </c>
      <c r="B2120" t="s">
        <v>24</v>
      </c>
      <c r="C2120">
        <v>2.34</v>
      </c>
      <c r="D2120" t="s">
        <v>224</v>
      </c>
      <c r="E2120">
        <v>2018</v>
      </c>
      <c r="F2120">
        <v>12</v>
      </c>
    </row>
    <row r="2121" spans="1:6" x14ac:dyDescent="0.55000000000000004">
      <c r="A2121" t="s">
        <v>98</v>
      </c>
      <c r="B2121" t="s">
        <v>25</v>
      </c>
      <c r="C2121">
        <v>209494.65</v>
      </c>
      <c r="D2121" t="s">
        <v>224</v>
      </c>
      <c r="E2121">
        <v>2018</v>
      </c>
      <c r="F2121">
        <v>12</v>
      </c>
    </row>
    <row r="2122" spans="1:6" x14ac:dyDescent="0.55000000000000004">
      <c r="A2122" t="s">
        <v>98</v>
      </c>
      <c r="B2122" t="s">
        <v>26</v>
      </c>
      <c r="C2122">
        <v>0.85</v>
      </c>
      <c r="D2122" t="s">
        <v>224</v>
      </c>
      <c r="E2122">
        <v>2018</v>
      </c>
      <c r="F2122">
        <v>12</v>
      </c>
    </row>
    <row r="2123" spans="1:6" x14ac:dyDescent="0.55000000000000004">
      <c r="A2123" t="s">
        <v>98</v>
      </c>
      <c r="B2123" t="s">
        <v>27</v>
      </c>
      <c r="C2123">
        <v>654.57169999999996</v>
      </c>
      <c r="D2123" t="s">
        <v>224</v>
      </c>
      <c r="E2123">
        <v>2018</v>
      </c>
      <c r="F2123">
        <v>12</v>
      </c>
    </row>
    <row r="2124" spans="1:6" x14ac:dyDescent="0.55000000000000004">
      <c r="A2124" t="s">
        <v>98</v>
      </c>
      <c r="B2124" t="s">
        <v>28</v>
      </c>
      <c r="C2124">
        <v>138547.5552</v>
      </c>
      <c r="D2124" t="s">
        <v>224</v>
      </c>
      <c r="E2124">
        <v>2018</v>
      </c>
      <c r="F2124">
        <v>12</v>
      </c>
    </row>
    <row r="2125" spans="1:6" x14ac:dyDescent="0.55000000000000004">
      <c r="A2125" t="s">
        <v>98</v>
      </c>
      <c r="B2125" t="s">
        <v>29</v>
      </c>
      <c r="C2125">
        <v>12294.022199999999</v>
      </c>
      <c r="D2125" t="s">
        <v>224</v>
      </c>
      <c r="E2125">
        <v>2018</v>
      </c>
      <c r="F2125">
        <v>12</v>
      </c>
    </row>
    <row r="2126" spans="1:6" x14ac:dyDescent="0.55000000000000004">
      <c r="A2126" t="s">
        <v>98</v>
      </c>
      <c r="B2126" t="s">
        <v>30</v>
      </c>
      <c r="C2126">
        <v>179.84</v>
      </c>
      <c r="D2126" t="s">
        <v>224</v>
      </c>
      <c r="E2126">
        <v>2018</v>
      </c>
      <c r="F2126">
        <v>12</v>
      </c>
    </row>
    <row r="2127" spans="1:6" x14ac:dyDescent="0.55000000000000004">
      <c r="A2127" t="s">
        <v>98</v>
      </c>
      <c r="B2127" t="s">
        <v>31</v>
      </c>
      <c r="C2127">
        <v>11.0608</v>
      </c>
      <c r="D2127" t="s">
        <v>224</v>
      </c>
      <c r="E2127">
        <v>2018</v>
      </c>
      <c r="F2127">
        <v>12</v>
      </c>
    </row>
    <row r="2128" spans="1:6" x14ac:dyDescent="0.55000000000000004">
      <c r="A2128" t="s">
        <v>98</v>
      </c>
      <c r="B2128" t="s">
        <v>32</v>
      </c>
      <c r="C2128">
        <v>354121.15600000002</v>
      </c>
      <c r="D2128" t="s">
        <v>224</v>
      </c>
      <c r="E2128">
        <v>2018</v>
      </c>
      <c r="F2128">
        <v>12</v>
      </c>
    </row>
    <row r="2129" spans="1:6" x14ac:dyDescent="0.55000000000000004">
      <c r="A2129" t="s">
        <v>98</v>
      </c>
      <c r="B2129" t="s">
        <v>33</v>
      </c>
      <c r="C2129">
        <v>335936.04869999998</v>
      </c>
      <c r="D2129" t="s">
        <v>224</v>
      </c>
      <c r="E2129">
        <v>2018</v>
      </c>
      <c r="F2129">
        <v>12</v>
      </c>
    </row>
    <row r="2130" spans="1:6" x14ac:dyDescent="0.55000000000000004">
      <c r="A2130" t="s">
        <v>98</v>
      </c>
      <c r="B2130" t="s">
        <v>34</v>
      </c>
      <c r="C2130">
        <v>300547.29519999999</v>
      </c>
      <c r="D2130" t="s">
        <v>224</v>
      </c>
      <c r="E2130">
        <v>2018</v>
      </c>
      <c r="F2130">
        <v>12</v>
      </c>
    </row>
    <row r="2131" spans="1:6" x14ac:dyDescent="0.55000000000000004">
      <c r="A2131" t="s">
        <v>98</v>
      </c>
      <c r="B2131" t="s">
        <v>35</v>
      </c>
      <c r="C2131">
        <v>361.8614</v>
      </c>
      <c r="D2131" t="s">
        <v>224</v>
      </c>
      <c r="E2131">
        <v>2018</v>
      </c>
      <c r="F2131">
        <v>12</v>
      </c>
    </row>
    <row r="2132" spans="1:6" x14ac:dyDescent="0.55000000000000004">
      <c r="A2132" t="s">
        <v>98</v>
      </c>
      <c r="B2132" t="s">
        <v>36</v>
      </c>
      <c r="C2132">
        <v>52870.7667</v>
      </c>
      <c r="D2132" t="s">
        <v>224</v>
      </c>
      <c r="E2132">
        <v>2018</v>
      </c>
      <c r="F2132">
        <v>12</v>
      </c>
    </row>
    <row r="2133" spans="1:6" x14ac:dyDescent="0.55000000000000004">
      <c r="A2133" t="s">
        <v>98</v>
      </c>
      <c r="B2133" t="s">
        <v>37</v>
      </c>
      <c r="C2133">
        <v>17669.285400000001</v>
      </c>
      <c r="D2133" t="s">
        <v>224</v>
      </c>
      <c r="E2133">
        <v>2018</v>
      </c>
      <c r="F2133">
        <v>12</v>
      </c>
    </row>
    <row r="2134" spans="1:6" x14ac:dyDescent="0.55000000000000004">
      <c r="A2134" t="s">
        <v>98</v>
      </c>
      <c r="B2134" t="s">
        <v>38</v>
      </c>
      <c r="C2134">
        <v>323.33</v>
      </c>
      <c r="D2134" t="s">
        <v>224</v>
      </c>
      <c r="E2134">
        <v>2018</v>
      </c>
      <c r="F2134">
        <v>12</v>
      </c>
    </row>
    <row r="2135" spans="1:6" x14ac:dyDescent="0.55000000000000004">
      <c r="A2135" t="s">
        <v>98</v>
      </c>
      <c r="B2135" t="s">
        <v>39</v>
      </c>
      <c r="C2135">
        <v>640.32000000000005</v>
      </c>
      <c r="D2135" t="s">
        <v>224</v>
      </c>
      <c r="E2135">
        <v>2018</v>
      </c>
      <c r="F2135">
        <v>12</v>
      </c>
    </row>
    <row r="2136" spans="1:6" x14ac:dyDescent="0.55000000000000004">
      <c r="A2136" t="s">
        <v>98</v>
      </c>
      <c r="B2136" t="s">
        <v>40</v>
      </c>
      <c r="C2136">
        <v>1390.8416999999999</v>
      </c>
      <c r="D2136" t="s">
        <v>224</v>
      </c>
      <c r="E2136">
        <v>2018</v>
      </c>
      <c r="F2136">
        <v>12</v>
      </c>
    </row>
    <row r="2137" spans="1:6" x14ac:dyDescent="0.55000000000000004">
      <c r="A2137" t="s">
        <v>98</v>
      </c>
      <c r="B2137" t="s">
        <v>41</v>
      </c>
      <c r="C2137">
        <v>176439.2409</v>
      </c>
      <c r="D2137" t="s">
        <v>224</v>
      </c>
      <c r="E2137">
        <v>2018</v>
      </c>
      <c r="F2137">
        <v>12</v>
      </c>
    </row>
    <row r="2138" spans="1:6" x14ac:dyDescent="0.55000000000000004">
      <c r="A2138" t="s">
        <v>98</v>
      </c>
      <c r="B2138" t="s">
        <v>42</v>
      </c>
      <c r="C2138">
        <v>112.9293</v>
      </c>
      <c r="D2138" t="s">
        <v>224</v>
      </c>
      <c r="E2138">
        <v>2018</v>
      </c>
      <c r="F2138">
        <v>12</v>
      </c>
    </row>
    <row r="2139" spans="1:6" x14ac:dyDescent="0.55000000000000004">
      <c r="A2139" t="s">
        <v>98</v>
      </c>
      <c r="B2139" t="s">
        <v>43</v>
      </c>
      <c r="C2139">
        <v>64526.299400000004</v>
      </c>
      <c r="D2139" t="s">
        <v>224</v>
      </c>
      <c r="E2139">
        <v>2018</v>
      </c>
      <c r="F2139">
        <v>12</v>
      </c>
    </row>
    <row r="2140" spans="1:6" x14ac:dyDescent="0.55000000000000004">
      <c r="A2140" t="s">
        <v>98</v>
      </c>
      <c r="B2140" t="s">
        <v>44</v>
      </c>
      <c r="C2140">
        <v>0</v>
      </c>
      <c r="D2140" t="s">
        <v>224</v>
      </c>
      <c r="E2140">
        <v>2018</v>
      </c>
      <c r="F2140">
        <v>12</v>
      </c>
    </row>
    <row r="2141" spans="1:6" x14ac:dyDescent="0.55000000000000004">
      <c r="A2141" t="s">
        <v>98</v>
      </c>
      <c r="B2141" t="s">
        <v>45</v>
      </c>
      <c r="C2141">
        <v>305.63330000000002</v>
      </c>
      <c r="D2141" t="s">
        <v>224</v>
      </c>
      <c r="E2141">
        <v>2018</v>
      </c>
      <c r="F2141">
        <v>12</v>
      </c>
    </row>
    <row r="2142" spans="1:6" x14ac:dyDescent="0.55000000000000004">
      <c r="A2142" t="s">
        <v>98</v>
      </c>
      <c r="B2142" t="s">
        <v>46</v>
      </c>
      <c r="C2142">
        <v>67080.38</v>
      </c>
      <c r="D2142" t="s">
        <v>224</v>
      </c>
      <c r="E2142">
        <v>2018</v>
      </c>
      <c r="F2142">
        <v>12</v>
      </c>
    </row>
    <row r="2143" spans="1:6" x14ac:dyDescent="0.55000000000000004">
      <c r="A2143" t="s">
        <v>98</v>
      </c>
      <c r="B2143" t="s">
        <v>47</v>
      </c>
      <c r="C2143">
        <v>5.2062999999999997</v>
      </c>
      <c r="D2143" t="s">
        <v>224</v>
      </c>
      <c r="E2143">
        <v>2018</v>
      </c>
      <c r="F2143">
        <v>12</v>
      </c>
    </row>
    <row r="2144" spans="1:6" x14ac:dyDescent="0.55000000000000004">
      <c r="A2144" t="s">
        <v>98</v>
      </c>
      <c r="B2144" t="s">
        <v>48</v>
      </c>
      <c r="C2144">
        <v>431359.79</v>
      </c>
      <c r="D2144" t="s">
        <v>224</v>
      </c>
      <c r="E2144">
        <v>2018</v>
      </c>
      <c r="F2144">
        <v>12</v>
      </c>
    </row>
    <row r="2145" spans="1:6" x14ac:dyDescent="0.55000000000000004">
      <c r="A2145" t="s">
        <v>98</v>
      </c>
      <c r="B2145" t="s">
        <v>49</v>
      </c>
      <c r="C2145">
        <v>678.87400000000002</v>
      </c>
      <c r="D2145" t="s">
        <v>224</v>
      </c>
      <c r="E2145">
        <v>2018</v>
      </c>
      <c r="F2145">
        <v>12</v>
      </c>
    </row>
    <row r="2146" spans="1:6" x14ac:dyDescent="0.55000000000000004">
      <c r="A2146" t="s">
        <v>98</v>
      </c>
      <c r="B2146" t="s">
        <v>50</v>
      </c>
      <c r="C2146">
        <v>32697.4859</v>
      </c>
      <c r="D2146" t="s">
        <v>224</v>
      </c>
      <c r="E2146">
        <v>2018</v>
      </c>
      <c r="F2146">
        <v>12</v>
      </c>
    </row>
    <row r="2147" spans="1:6" x14ac:dyDescent="0.55000000000000004">
      <c r="A2147" t="s">
        <v>98</v>
      </c>
      <c r="B2147" t="s">
        <v>51</v>
      </c>
      <c r="C2147">
        <v>1774.7272</v>
      </c>
      <c r="D2147" t="s">
        <v>224</v>
      </c>
      <c r="E2147">
        <v>2018</v>
      </c>
      <c r="F2147">
        <v>12</v>
      </c>
    </row>
    <row r="2148" spans="1:6" x14ac:dyDescent="0.55000000000000004">
      <c r="A2148" t="s">
        <v>98</v>
      </c>
      <c r="B2148" t="s">
        <v>52</v>
      </c>
      <c r="C2148">
        <v>30.636500000000002</v>
      </c>
      <c r="D2148" t="s">
        <v>224</v>
      </c>
      <c r="E2148">
        <v>2018</v>
      </c>
      <c r="F2148">
        <v>12</v>
      </c>
    </row>
    <row r="2149" spans="1:6" x14ac:dyDescent="0.55000000000000004">
      <c r="A2149" t="s">
        <v>98</v>
      </c>
      <c r="B2149" t="s">
        <v>53</v>
      </c>
      <c r="C2149">
        <v>150550.48000000001</v>
      </c>
      <c r="D2149" t="s">
        <v>224</v>
      </c>
      <c r="E2149">
        <v>2018</v>
      </c>
      <c r="F2149">
        <v>12</v>
      </c>
    </row>
    <row r="2150" spans="1:6" x14ac:dyDescent="0.55000000000000004">
      <c r="A2150" t="s">
        <v>98</v>
      </c>
      <c r="B2150" t="s">
        <v>54</v>
      </c>
      <c r="C2150">
        <v>16861.010699999999</v>
      </c>
      <c r="D2150" t="s">
        <v>224</v>
      </c>
      <c r="E2150">
        <v>2018</v>
      </c>
      <c r="F2150">
        <v>12</v>
      </c>
    </row>
    <row r="2151" spans="1:6" x14ac:dyDescent="0.55000000000000004">
      <c r="A2151" t="s">
        <v>98</v>
      </c>
      <c r="B2151" t="s">
        <v>55</v>
      </c>
      <c r="C2151">
        <v>7921</v>
      </c>
      <c r="D2151" t="s">
        <v>224</v>
      </c>
      <c r="E2151">
        <v>2018</v>
      </c>
      <c r="F2151">
        <v>12</v>
      </c>
    </row>
    <row r="2152" spans="1:6" x14ac:dyDescent="0.55000000000000004">
      <c r="A2152" t="s">
        <v>98</v>
      </c>
      <c r="B2152" t="s">
        <v>56</v>
      </c>
      <c r="C2152">
        <v>2831.6333</v>
      </c>
      <c r="D2152" t="s">
        <v>224</v>
      </c>
      <c r="E2152">
        <v>2018</v>
      </c>
      <c r="F2152">
        <v>12</v>
      </c>
    </row>
    <row r="2153" spans="1:6" x14ac:dyDescent="0.55000000000000004">
      <c r="A2153" t="s">
        <v>98</v>
      </c>
      <c r="B2153" t="s">
        <v>57</v>
      </c>
      <c r="C2153">
        <v>59.3703</v>
      </c>
      <c r="D2153" t="s">
        <v>224</v>
      </c>
      <c r="E2153">
        <v>2018</v>
      </c>
      <c r="F2153">
        <v>12</v>
      </c>
    </row>
    <row r="2154" spans="1:6" x14ac:dyDescent="0.55000000000000004">
      <c r="A2154" t="s">
        <v>98</v>
      </c>
      <c r="B2154" t="s">
        <v>58</v>
      </c>
      <c r="C2154">
        <v>314439</v>
      </c>
      <c r="D2154" t="s">
        <v>224</v>
      </c>
      <c r="E2154">
        <v>2018</v>
      </c>
      <c r="F2154">
        <v>12</v>
      </c>
    </row>
    <row r="2155" spans="1:6" x14ac:dyDescent="0.55000000000000004">
      <c r="A2155" t="s">
        <v>98</v>
      </c>
      <c r="B2155" t="s">
        <v>59</v>
      </c>
      <c r="C2155">
        <v>199.56559999999999</v>
      </c>
      <c r="D2155" t="s">
        <v>224</v>
      </c>
      <c r="E2155">
        <v>2018</v>
      </c>
      <c r="F2155">
        <v>12</v>
      </c>
    </row>
    <row r="2156" spans="1:6" x14ac:dyDescent="0.55000000000000004">
      <c r="A2156" t="s">
        <v>98</v>
      </c>
      <c r="B2156" t="s">
        <v>60</v>
      </c>
      <c r="C2156">
        <v>2691982.5373</v>
      </c>
      <c r="D2156" t="s">
        <v>224</v>
      </c>
      <c r="E2156">
        <v>2018</v>
      </c>
      <c r="F2156">
        <v>12</v>
      </c>
    </row>
    <row r="2157" spans="1:6" x14ac:dyDescent="0.55000000000000004">
      <c r="A2157" t="s">
        <v>98</v>
      </c>
      <c r="B2157" t="s">
        <v>61</v>
      </c>
      <c r="C2157">
        <v>3441.7521999999999</v>
      </c>
      <c r="D2157" t="s">
        <v>224</v>
      </c>
      <c r="E2157">
        <v>2018</v>
      </c>
      <c r="F2157">
        <v>12</v>
      </c>
    </row>
    <row r="2158" spans="1:6" x14ac:dyDescent="0.55000000000000004">
      <c r="A2158" t="s">
        <v>98</v>
      </c>
      <c r="B2158" t="s">
        <v>62</v>
      </c>
      <c r="C2158">
        <v>3163.7474000000002</v>
      </c>
      <c r="D2158" t="s">
        <v>224</v>
      </c>
      <c r="E2158">
        <v>2018</v>
      </c>
      <c r="F2158">
        <v>12</v>
      </c>
    </row>
    <row r="2159" spans="1:6" x14ac:dyDescent="0.55000000000000004">
      <c r="A2159" t="s">
        <v>98</v>
      </c>
      <c r="B2159" t="s">
        <v>63</v>
      </c>
      <c r="C2159">
        <v>2650</v>
      </c>
      <c r="D2159" t="s">
        <v>224</v>
      </c>
      <c r="E2159">
        <v>2018</v>
      </c>
      <c r="F2159">
        <v>12</v>
      </c>
    </row>
    <row r="2160" spans="1:6" x14ac:dyDescent="0.55000000000000004">
      <c r="A2160" t="s">
        <v>99</v>
      </c>
      <c r="B2160" t="s">
        <v>4</v>
      </c>
      <c r="C2160">
        <v>11242266.3123</v>
      </c>
      <c r="D2160" t="s">
        <v>225</v>
      </c>
      <c r="E2160">
        <v>2019</v>
      </c>
      <c r="F2160">
        <v>1</v>
      </c>
    </row>
    <row r="2161" spans="1:6" x14ac:dyDescent="0.55000000000000004">
      <c r="A2161" t="s">
        <v>99</v>
      </c>
      <c r="B2161" t="s">
        <v>5</v>
      </c>
      <c r="C2161">
        <v>1274565.4197</v>
      </c>
      <c r="D2161" t="s">
        <v>225</v>
      </c>
      <c r="E2161">
        <v>2019</v>
      </c>
      <c r="F2161">
        <v>1</v>
      </c>
    </row>
    <row r="2162" spans="1:6" x14ac:dyDescent="0.55000000000000004">
      <c r="A2162" t="s">
        <v>99</v>
      </c>
      <c r="B2162" t="s">
        <v>6</v>
      </c>
      <c r="C2162">
        <v>2026835.9132999999</v>
      </c>
      <c r="D2162" t="s">
        <v>225</v>
      </c>
      <c r="E2162">
        <v>2019</v>
      </c>
      <c r="F2162">
        <v>1</v>
      </c>
    </row>
    <row r="2163" spans="1:6" x14ac:dyDescent="0.55000000000000004">
      <c r="A2163" t="s">
        <v>99</v>
      </c>
      <c r="B2163" t="s">
        <v>7</v>
      </c>
      <c r="C2163">
        <v>3477452.1301000002</v>
      </c>
      <c r="D2163" t="s">
        <v>225</v>
      </c>
      <c r="E2163">
        <v>2019</v>
      </c>
      <c r="F2163">
        <v>1</v>
      </c>
    </row>
    <row r="2164" spans="1:6" x14ac:dyDescent="0.55000000000000004">
      <c r="A2164" t="s">
        <v>99</v>
      </c>
      <c r="B2164" t="s">
        <v>8</v>
      </c>
      <c r="C2164">
        <v>4463412.8492000001</v>
      </c>
      <c r="D2164" t="s">
        <v>225</v>
      </c>
      <c r="E2164">
        <v>2019</v>
      </c>
      <c r="F2164">
        <v>1</v>
      </c>
    </row>
    <row r="2165" spans="1:6" x14ac:dyDescent="0.55000000000000004">
      <c r="A2165" t="s">
        <v>99</v>
      </c>
      <c r="B2165" t="s">
        <v>9</v>
      </c>
      <c r="C2165">
        <v>1233.0867000000001</v>
      </c>
      <c r="D2165" t="s">
        <v>225</v>
      </c>
      <c r="E2165">
        <v>2019</v>
      </c>
      <c r="F2165">
        <v>1</v>
      </c>
    </row>
    <row r="2166" spans="1:6" x14ac:dyDescent="0.55000000000000004">
      <c r="A2166" t="s">
        <v>99</v>
      </c>
      <c r="B2166" t="s">
        <v>10</v>
      </c>
      <c r="C2166">
        <v>3119</v>
      </c>
      <c r="D2166" t="s">
        <v>225</v>
      </c>
      <c r="E2166">
        <v>2019</v>
      </c>
      <c r="F2166">
        <v>1</v>
      </c>
    </row>
    <row r="2167" spans="1:6" x14ac:dyDescent="0.55000000000000004">
      <c r="A2167" t="s">
        <v>99</v>
      </c>
      <c r="B2167" t="s">
        <v>11</v>
      </c>
      <c r="C2167">
        <v>3470505.8177999998</v>
      </c>
      <c r="D2167" t="s">
        <v>225</v>
      </c>
      <c r="E2167">
        <v>2019</v>
      </c>
      <c r="F2167">
        <v>1</v>
      </c>
    </row>
    <row r="2168" spans="1:6" x14ac:dyDescent="0.55000000000000004">
      <c r="A2168" t="s">
        <v>99</v>
      </c>
      <c r="B2168" t="s">
        <v>12</v>
      </c>
      <c r="C2168">
        <v>32209.774300000001</v>
      </c>
      <c r="D2168" t="s">
        <v>225</v>
      </c>
      <c r="E2168">
        <v>2019</v>
      </c>
      <c r="F2168">
        <v>1</v>
      </c>
    </row>
    <row r="2169" spans="1:6" x14ac:dyDescent="0.55000000000000004">
      <c r="A2169" t="s">
        <v>99</v>
      </c>
      <c r="B2169" t="s">
        <v>13</v>
      </c>
      <c r="C2169">
        <v>16828.98</v>
      </c>
      <c r="D2169" t="s">
        <v>225</v>
      </c>
      <c r="E2169">
        <v>2019</v>
      </c>
      <c r="F2169">
        <v>1</v>
      </c>
    </row>
    <row r="2170" spans="1:6" x14ac:dyDescent="0.55000000000000004">
      <c r="A2170" t="s">
        <v>99</v>
      </c>
      <c r="B2170" t="s">
        <v>14</v>
      </c>
      <c r="C2170">
        <v>0</v>
      </c>
      <c r="D2170" t="s">
        <v>225</v>
      </c>
      <c r="E2170">
        <v>2019</v>
      </c>
      <c r="F2170">
        <v>1</v>
      </c>
    </row>
    <row r="2171" spans="1:6" x14ac:dyDescent="0.55000000000000004">
      <c r="A2171" t="s">
        <v>99</v>
      </c>
      <c r="B2171" t="s">
        <v>15</v>
      </c>
      <c r="C2171">
        <v>1166592.2164</v>
      </c>
      <c r="D2171" t="s">
        <v>225</v>
      </c>
      <c r="E2171">
        <v>2019</v>
      </c>
      <c r="F2171">
        <v>1</v>
      </c>
    </row>
    <row r="2172" spans="1:6" x14ac:dyDescent="0.55000000000000004">
      <c r="A2172" t="s">
        <v>99</v>
      </c>
      <c r="B2172" t="s">
        <v>16</v>
      </c>
      <c r="C2172">
        <v>0</v>
      </c>
      <c r="D2172" t="s">
        <v>225</v>
      </c>
      <c r="E2172">
        <v>2019</v>
      </c>
      <c r="F2172">
        <v>1</v>
      </c>
    </row>
    <row r="2173" spans="1:6" x14ac:dyDescent="0.55000000000000004">
      <c r="A2173" t="s">
        <v>99</v>
      </c>
      <c r="B2173" t="s">
        <v>17</v>
      </c>
      <c r="C2173">
        <v>54351.188699999999</v>
      </c>
      <c r="D2173" t="s">
        <v>225</v>
      </c>
      <c r="E2173">
        <v>2019</v>
      </c>
      <c r="F2173">
        <v>1</v>
      </c>
    </row>
    <row r="2174" spans="1:6" x14ac:dyDescent="0.55000000000000004">
      <c r="A2174" t="s">
        <v>99</v>
      </c>
      <c r="B2174" t="s">
        <v>18</v>
      </c>
      <c r="C2174">
        <v>106780.7332</v>
      </c>
      <c r="D2174" t="s">
        <v>225</v>
      </c>
      <c r="E2174">
        <v>2019</v>
      </c>
      <c r="F2174">
        <v>1</v>
      </c>
    </row>
    <row r="2175" spans="1:6" x14ac:dyDescent="0.55000000000000004">
      <c r="A2175" t="s">
        <v>99</v>
      </c>
      <c r="B2175" t="s">
        <v>19</v>
      </c>
      <c r="C2175">
        <v>1349.6353999999999</v>
      </c>
      <c r="D2175" t="s">
        <v>225</v>
      </c>
      <c r="E2175">
        <v>2019</v>
      </c>
      <c r="F2175">
        <v>1</v>
      </c>
    </row>
    <row r="2176" spans="1:6" x14ac:dyDescent="0.55000000000000004">
      <c r="A2176" t="s">
        <v>99</v>
      </c>
      <c r="B2176" t="s">
        <v>20</v>
      </c>
      <c r="C2176">
        <v>11531</v>
      </c>
      <c r="D2176" t="s">
        <v>225</v>
      </c>
      <c r="E2176">
        <v>2019</v>
      </c>
      <c r="F2176">
        <v>1</v>
      </c>
    </row>
    <row r="2177" spans="1:6" x14ac:dyDescent="0.55000000000000004">
      <c r="A2177" t="s">
        <v>99</v>
      </c>
      <c r="B2177" t="s">
        <v>21</v>
      </c>
      <c r="C2177">
        <v>1220.4002</v>
      </c>
      <c r="D2177" t="s">
        <v>225</v>
      </c>
      <c r="E2177">
        <v>2019</v>
      </c>
      <c r="F2177">
        <v>1</v>
      </c>
    </row>
    <row r="2178" spans="1:6" x14ac:dyDescent="0.55000000000000004">
      <c r="A2178" t="s">
        <v>99</v>
      </c>
      <c r="B2178" t="s">
        <v>22</v>
      </c>
      <c r="C2178">
        <v>18013.513999999999</v>
      </c>
      <c r="D2178" t="s">
        <v>225</v>
      </c>
      <c r="E2178">
        <v>2019</v>
      </c>
      <c r="F2178">
        <v>1</v>
      </c>
    </row>
    <row r="2179" spans="1:6" x14ac:dyDescent="0.55000000000000004">
      <c r="A2179" t="s">
        <v>99</v>
      </c>
      <c r="B2179" t="s">
        <v>23</v>
      </c>
      <c r="C2179">
        <v>35334.073499999999</v>
      </c>
      <c r="D2179" t="s">
        <v>225</v>
      </c>
      <c r="E2179">
        <v>2019</v>
      </c>
      <c r="F2179">
        <v>1</v>
      </c>
    </row>
    <row r="2180" spans="1:6" x14ac:dyDescent="0.55000000000000004">
      <c r="A2180" t="s">
        <v>99</v>
      </c>
      <c r="B2180" t="s">
        <v>24</v>
      </c>
      <c r="C2180">
        <v>0</v>
      </c>
      <c r="D2180" t="s">
        <v>225</v>
      </c>
      <c r="E2180">
        <v>2019</v>
      </c>
      <c r="F2180">
        <v>1</v>
      </c>
    </row>
    <row r="2181" spans="1:6" x14ac:dyDescent="0.55000000000000004">
      <c r="A2181" t="s">
        <v>99</v>
      </c>
      <c r="B2181" t="s">
        <v>25</v>
      </c>
      <c r="C2181">
        <v>180903.76670000001</v>
      </c>
      <c r="D2181" t="s">
        <v>225</v>
      </c>
      <c r="E2181">
        <v>2019</v>
      </c>
      <c r="F2181">
        <v>1</v>
      </c>
    </row>
    <row r="2182" spans="1:6" x14ac:dyDescent="0.55000000000000004">
      <c r="A2182" t="s">
        <v>99</v>
      </c>
      <c r="B2182" t="s">
        <v>26</v>
      </c>
      <c r="C2182">
        <v>1.67</v>
      </c>
      <c r="D2182" t="s">
        <v>225</v>
      </c>
      <c r="E2182">
        <v>2019</v>
      </c>
      <c r="F2182">
        <v>1</v>
      </c>
    </row>
    <row r="2183" spans="1:6" x14ac:dyDescent="0.55000000000000004">
      <c r="A2183" t="s">
        <v>99</v>
      </c>
      <c r="B2183" t="s">
        <v>27</v>
      </c>
      <c r="C2183">
        <v>864.06299999999999</v>
      </c>
      <c r="D2183" t="s">
        <v>225</v>
      </c>
      <c r="E2183">
        <v>2019</v>
      </c>
      <c r="F2183">
        <v>1</v>
      </c>
    </row>
    <row r="2184" spans="1:6" x14ac:dyDescent="0.55000000000000004">
      <c r="A2184" t="s">
        <v>99</v>
      </c>
      <c r="B2184" t="s">
        <v>28</v>
      </c>
      <c r="C2184">
        <v>223652.81359999999</v>
      </c>
      <c r="D2184" t="s">
        <v>225</v>
      </c>
      <c r="E2184">
        <v>2019</v>
      </c>
      <c r="F2184">
        <v>1</v>
      </c>
    </row>
    <row r="2185" spans="1:6" x14ac:dyDescent="0.55000000000000004">
      <c r="A2185" t="s">
        <v>99</v>
      </c>
      <c r="B2185" t="s">
        <v>29</v>
      </c>
      <c r="C2185">
        <v>4761.6938</v>
      </c>
      <c r="D2185" t="s">
        <v>225</v>
      </c>
      <c r="E2185">
        <v>2019</v>
      </c>
      <c r="F2185">
        <v>1</v>
      </c>
    </row>
    <row r="2186" spans="1:6" x14ac:dyDescent="0.55000000000000004">
      <c r="A2186" t="s">
        <v>99</v>
      </c>
      <c r="B2186" t="s">
        <v>30</v>
      </c>
      <c r="C2186">
        <v>0.86670000000000003</v>
      </c>
      <c r="D2186" t="s">
        <v>225</v>
      </c>
      <c r="E2186">
        <v>2019</v>
      </c>
      <c r="F2186">
        <v>1</v>
      </c>
    </row>
    <row r="2187" spans="1:6" x14ac:dyDescent="0.55000000000000004">
      <c r="A2187" t="s">
        <v>99</v>
      </c>
      <c r="B2187" t="s">
        <v>31</v>
      </c>
      <c r="C2187">
        <v>17.429500000000001</v>
      </c>
      <c r="D2187" t="s">
        <v>225</v>
      </c>
      <c r="E2187">
        <v>2019</v>
      </c>
      <c r="F2187">
        <v>1</v>
      </c>
    </row>
    <row r="2188" spans="1:6" x14ac:dyDescent="0.55000000000000004">
      <c r="A2188" t="s">
        <v>99</v>
      </c>
      <c r="B2188" t="s">
        <v>32</v>
      </c>
      <c r="C2188">
        <v>616090.98730000004</v>
      </c>
      <c r="D2188" t="s">
        <v>225</v>
      </c>
      <c r="E2188">
        <v>2019</v>
      </c>
      <c r="F2188">
        <v>1</v>
      </c>
    </row>
    <row r="2189" spans="1:6" x14ac:dyDescent="0.55000000000000004">
      <c r="A2189" t="s">
        <v>99</v>
      </c>
      <c r="B2189" t="s">
        <v>33</v>
      </c>
      <c r="C2189">
        <v>483499.95</v>
      </c>
      <c r="D2189" t="s">
        <v>225</v>
      </c>
      <c r="E2189">
        <v>2019</v>
      </c>
      <c r="F2189">
        <v>1</v>
      </c>
    </row>
    <row r="2190" spans="1:6" x14ac:dyDescent="0.55000000000000004">
      <c r="A2190" t="s">
        <v>99</v>
      </c>
      <c r="B2190" t="s">
        <v>34</v>
      </c>
      <c r="C2190">
        <v>391103.35379999998</v>
      </c>
      <c r="D2190" t="s">
        <v>225</v>
      </c>
      <c r="E2190">
        <v>2019</v>
      </c>
      <c r="F2190">
        <v>1</v>
      </c>
    </row>
    <row r="2191" spans="1:6" x14ac:dyDescent="0.55000000000000004">
      <c r="A2191" t="s">
        <v>99</v>
      </c>
      <c r="B2191" t="s">
        <v>35</v>
      </c>
      <c r="C2191">
        <v>321.41120000000001</v>
      </c>
      <c r="D2191" t="s">
        <v>225</v>
      </c>
      <c r="E2191">
        <v>2019</v>
      </c>
      <c r="F2191">
        <v>1</v>
      </c>
    </row>
    <row r="2192" spans="1:6" x14ac:dyDescent="0.55000000000000004">
      <c r="A2192" t="s">
        <v>99</v>
      </c>
      <c r="B2192" t="s">
        <v>36</v>
      </c>
      <c r="C2192">
        <v>46708.133300000001</v>
      </c>
      <c r="D2192" t="s">
        <v>225</v>
      </c>
      <c r="E2192">
        <v>2019</v>
      </c>
      <c r="F2192">
        <v>1</v>
      </c>
    </row>
    <row r="2193" spans="1:6" x14ac:dyDescent="0.55000000000000004">
      <c r="A2193" t="s">
        <v>99</v>
      </c>
      <c r="B2193" t="s">
        <v>37</v>
      </c>
      <c r="C2193">
        <v>49702.644500000002</v>
      </c>
      <c r="D2193" t="s">
        <v>225</v>
      </c>
      <c r="E2193">
        <v>2019</v>
      </c>
      <c r="F2193">
        <v>1</v>
      </c>
    </row>
    <row r="2194" spans="1:6" x14ac:dyDescent="0.55000000000000004">
      <c r="A2194" t="s">
        <v>99</v>
      </c>
      <c r="B2194" t="s">
        <v>38</v>
      </c>
      <c r="C2194">
        <v>583.33000000000004</v>
      </c>
      <c r="D2194" t="s">
        <v>225</v>
      </c>
      <c r="E2194">
        <v>2019</v>
      </c>
      <c r="F2194">
        <v>1</v>
      </c>
    </row>
    <row r="2195" spans="1:6" x14ac:dyDescent="0.55000000000000004">
      <c r="A2195" t="s">
        <v>99</v>
      </c>
      <c r="B2195" t="s">
        <v>39</v>
      </c>
      <c r="C2195">
        <v>3.9699999999999999E-2</v>
      </c>
      <c r="D2195" t="s">
        <v>225</v>
      </c>
      <c r="E2195">
        <v>2019</v>
      </c>
      <c r="F2195">
        <v>1</v>
      </c>
    </row>
    <row r="2196" spans="1:6" x14ac:dyDescent="0.55000000000000004">
      <c r="A2196" t="s">
        <v>99</v>
      </c>
      <c r="B2196" t="s">
        <v>40</v>
      </c>
      <c r="C2196">
        <v>1209.7380000000001</v>
      </c>
      <c r="D2196" t="s">
        <v>225</v>
      </c>
      <c r="E2196">
        <v>2019</v>
      </c>
      <c r="F2196">
        <v>1</v>
      </c>
    </row>
    <row r="2197" spans="1:6" x14ac:dyDescent="0.55000000000000004">
      <c r="A2197" t="s">
        <v>99</v>
      </c>
      <c r="B2197" t="s">
        <v>41</v>
      </c>
      <c r="C2197">
        <v>246289.58240000001</v>
      </c>
      <c r="D2197" t="s">
        <v>225</v>
      </c>
      <c r="E2197">
        <v>2019</v>
      </c>
      <c r="F2197">
        <v>1</v>
      </c>
    </row>
    <row r="2198" spans="1:6" x14ac:dyDescent="0.55000000000000004">
      <c r="A2198" t="s">
        <v>99</v>
      </c>
      <c r="B2198" t="s">
        <v>42</v>
      </c>
      <c r="C2198">
        <v>31.569299999999998</v>
      </c>
      <c r="D2198" t="s">
        <v>225</v>
      </c>
      <c r="E2198">
        <v>2019</v>
      </c>
      <c r="F2198">
        <v>1</v>
      </c>
    </row>
    <row r="2199" spans="1:6" x14ac:dyDescent="0.55000000000000004">
      <c r="A2199" t="s">
        <v>99</v>
      </c>
      <c r="B2199" t="s">
        <v>43</v>
      </c>
      <c r="C2199">
        <v>162466.75750000001</v>
      </c>
      <c r="D2199" t="s">
        <v>225</v>
      </c>
      <c r="E2199">
        <v>2019</v>
      </c>
      <c r="F2199">
        <v>1</v>
      </c>
    </row>
    <row r="2200" spans="1:6" x14ac:dyDescent="0.55000000000000004">
      <c r="A2200" t="s">
        <v>99</v>
      </c>
      <c r="B2200" t="s">
        <v>44</v>
      </c>
      <c r="C2200">
        <v>0</v>
      </c>
      <c r="D2200" t="s">
        <v>225</v>
      </c>
      <c r="E2200">
        <v>2019</v>
      </c>
      <c r="F2200">
        <v>1</v>
      </c>
    </row>
    <row r="2201" spans="1:6" x14ac:dyDescent="0.55000000000000004">
      <c r="A2201" t="s">
        <v>99</v>
      </c>
      <c r="B2201" t="s">
        <v>45</v>
      </c>
      <c r="C2201">
        <v>2291.8107</v>
      </c>
      <c r="D2201" t="s">
        <v>225</v>
      </c>
      <c r="E2201">
        <v>2019</v>
      </c>
      <c r="F2201">
        <v>1</v>
      </c>
    </row>
    <row r="2202" spans="1:6" x14ac:dyDescent="0.55000000000000004">
      <c r="A2202" t="s">
        <v>99</v>
      </c>
      <c r="B2202" t="s">
        <v>46</v>
      </c>
      <c r="C2202">
        <v>48257.33</v>
      </c>
      <c r="D2202" t="s">
        <v>225</v>
      </c>
      <c r="E2202">
        <v>2019</v>
      </c>
      <c r="F2202">
        <v>1</v>
      </c>
    </row>
    <row r="2203" spans="1:6" x14ac:dyDescent="0.55000000000000004">
      <c r="A2203" t="s">
        <v>99</v>
      </c>
      <c r="B2203" t="s">
        <v>47</v>
      </c>
      <c r="C2203">
        <v>0</v>
      </c>
      <c r="D2203" t="s">
        <v>225</v>
      </c>
      <c r="E2203">
        <v>2019</v>
      </c>
      <c r="F2203">
        <v>1</v>
      </c>
    </row>
    <row r="2204" spans="1:6" x14ac:dyDescent="0.55000000000000004">
      <c r="A2204" t="s">
        <v>99</v>
      </c>
      <c r="B2204" t="s">
        <v>48</v>
      </c>
      <c r="C2204">
        <v>261123.1</v>
      </c>
      <c r="D2204" t="s">
        <v>225</v>
      </c>
      <c r="E2204">
        <v>2019</v>
      </c>
      <c r="F2204">
        <v>1</v>
      </c>
    </row>
    <row r="2205" spans="1:6" x14ac:dyDescent="0.55000000000000004">
      <c r="A2205" t="s">
        <v>99</v>
      </c>
      <c r="B2205" t="s">
        <v>49</v>
      </c>
      <c r="C2205">
        <v>776.46400000000006</v>
      </c>
      <c r="D2205" t="s">
        <v>225</v>
      </c>
      <c r="E2205">
        <v>2019</v>
      </c>
      <c r="F2205">
        <v>1</v>
      </c>
    </row>
    <row r="2206" spans="1:6" x14ac:dyDescent="0.55000000000000004">
      <c r="A2206" t="s">
        <v>99</v>
      </c>
      <c r="B2206" t="s">
        <v>50</v>
      </c>
      <c r="C2206">
        <v>19930.540799999999</v>
      </c>
      <c r="D2206" t="s">
        <v>225</v>
      </c>
      <c r="E2206">
        <v>2019</v>
      </c>
      <c r="F2206">
        <v>1</v>
      </c>
    </row>
    <row r="2207" spans="1:6" x14ac:dyDescent="0.55000000000000004">
      <c r="A2207" t="s">
        <v>99</v>
      </c>
      <c r="B2207" t="s">
        <v>51</v>
      </c>
      <c r="C2207">
        <v>3469.5938000000001</v>
      </c>
      <c r="D2207" t="s">
        <v>225</v>
      </c>
      <c r="E2207">
        <v>2019</v>
      </c>
      <c r="F2207">
        <v>1</v>
      </c>
    </row>
    <row r="2208" spans="1:6" x14ac:dyDescent="0.55000000000000004">
      <c r="A2208" t="s">
        <v>99</v>
      </c>
      <c r="B2208" t="s">
        <v>52</v>
      </c>
      <c r="C2208">
        <v>43.243200000000002</v>
      </c>
      <c r="D2208" t="s">
        <v>225</v>
      </c>
      <c r="E2208">
        <v>2019</v>
      </c>
      <c r="F2208">
        <v>1</v>
      </c>
    </row>
    <row r="2209" spans="1:6" x14ac:dyDescent="0.55000000000000004">
      <c r="A2209" t="s">
        <v>99</v>
      </c>
      <c r="B2209" t="s">
        <v>53</v>
      </c>
      <c r="C2209">
        <v>101030.52</v>
      </c>
      <c r="D2209" t="s">
        <v>225</v>
      </c>
      <c r="E2209">
        <v>2019</v>
      </c>
      <c r="F2209">
        <v>1</v>
      </c>
    </row>
    <row r="2210" spans="1:6" x14ac:dyDescent="0.55000000000000004">
      <c r="A2210" t="s">
        <v>99</v>
      </c>
      <c r="B2210" t="s">
        <v>54</v>
      </c>
      <c r="C2210">
        <v>11582.780500000001</v>
      </c>
      <c r="D2210" t="s">
        <v>225</v>
      </c>
      <c r="E2210">
        <v>2019</v>
      </c>
      <c r="F2210">
        <v>1</v>
      </c>
    </row>
    <row r="2211" spans="1:6" x14ac:dyDescent="0.55000000000000004">
      <c r="A2211" t="s">
        <v>99</v>
      </c>
      <c r="B2211" t="s">
        <v>55</v>
      </c>
      <c r="C2211">
        <v>1575.5</v>
      </c>
      <c r="D2211" t="s">
        <v>225</v>
      </c>
      <c r="E2211">
        <v>2019</v>
      </c>
      <c r="F2211">
        <v>1</v>
      </c>
    </row>
    <row r="2212" spans="1:6" x14ac:dyDescent="0.55000000000000004">
      <c r="A2212" t="s">
        <v>99</v>
      </c>
      <c r="B2212" t="s">
        <v>56</v>
      </c>
      <c r="C2212">
        <v>633.6</v>
      </c>
      <c r="D2212" t="s">
        <v>225</v>
      </c>
      <c r="E2212">
        <v>2019</v>
      </c>
      <c r="F2212">
        <v>1</v>
      </c>
    </row>
    <row r="2213" spans="1:6" x14ac:dyDescent="0.55000000000000004">
      <c r="A2213" t="s">
        <v>99</v>
      </c>
      <c r="B2213" t="s">
        <v>57</v>
      </c>
      <c r="C2213">
        <v>180.93389999999999</v>
      </c>
      <c r="D2213" t="s">
        <v>225</v>
      </c>
      <c r="E2213">
        <v>2019</v>
      </c>
      <c r="F2213">
        <v>1</v>
      </c>
    </row>
    <row r="2214" spans="1:6" x14ac:dyDescent="0.55000000000000004">
      <c r="A2214" t="s">
        <v>99</v>
      </c>
      <c r="B2214" t="s">
        <v>58</v>
      </c>
      <c r="C2214">
        <v>395097</v>
      </c>
      <c r="D2214" t="s">
        <v>225</v>
      </c>
      <c r="E2214">
        <v>2019</v>
      </c>
      <c r="F2214">
        <v>1</v>
      </c>
    </row>
    <row r="2215" spans="1:6" x14ac:dyDescent="0.55000000000000004">
      <c r="A2215" t="s">
        <v>99</v>
      </c>
      <c r="B2215" t="s">
        <v>59</v>
      </c>
      <c r="C2215">
        <v>205.62309999999999</v>
      </c>
      <c r="D2215" t="s">
        <v>225</v>
      </c>
      <c r="E2215">
        <v>2019</v>
      </c>
      <c r="F2215">
        <v>1</v>
      </c>
    </row>
    <row r="2216" spans="1:6" x14ac:dyDescent="0.55000000000000004">
      <c r="A2216" t="s">
        <v>99</v>
      </c>
      <c r="B2216" t="s">
        <v>60</v>
      </c>
      <c r="C2216">
        <v>3060641.2231000001</v>
      </c>
      <c r="D2216" t="s">
        <v>225</v>
      </c>
      <c r="E2216">
        <v>2019</v>
      </c>
      <c r="F2216">
        <v>1</v>
      </c>
    </row>
    <row r="2217" spans="1:6" x14ac:dyDescent="0.55000000000000004">
      <c r="A2217" t="s">
        <v>99</v>
      </c>
      <c r="B2217" t="s">
        <v>61</v>
      </c>
      <c r="C2217">
        <v>1284.7422999999999</v>
      </c>
      <c r="D2217" t="s">
        <v>225</v>
      </c>
      <c r="E2217">
        <v>2019</v>
      </c>
      <c r="F2217">
        <v>1</v>
      </c>
    </row>
    <row r="2218" spans="1:6" x14ac:dyDescent="0.55000000000000004">
      <c r="A2218" t="s">
        <v>99</v>
      </c>
      <c r="B2218" t="s">
        <v>62</v>
      </c>
      <c r="C2218">
        <v>5842.2864</v>
      </c>
      <c r="D2218" t="s">
        <v>225</v>
      </c>
      <c r="E2218">
        <v>2019</v>
      </c>
      <c r="F2218">
        <v>1</v>
      </c>
    </row>
    <row r="2219" spans="1:6" x14ac:dyDescent="0.55000000000000004">
      <c r="A2219" t="s">
        <v>99</v>
      </c>
      <c r="B2219" t="s">
        <v>63</v>
      </c>
      <c r="C2219">
        <v>1020.8</v>
      </c>
      <c r="D2219" t="s">
        <v>225</v>
      </c>
      <c r="E2219">
        <v>2019</v>
      </c>
      <c r="F2219">
        <v>1</v>
      </c>
    </row>
    <row r="2220" spans="1:6" x14ac:dyDescent="0.55000000000000004">
      <c r="A2220" t="s">
        <v>100</v>
      </c>
      <c r="B2220" t="s">
        <v>4</v>
      </c>
      <c r="C2220">
        <v>11276959.954500001</v>
      </c>
      <c r="D2220" t="s">
        <v>226</v>
      </c>
      <c r="E2220">
        <v>2019</v>
      </c>
      <c r="F2220">
        <v>2</v>
      </c>
    </row>
    <row r="2221" spans="1:6" x14ac:dyDescent="0.55000000000000004">
      <c r="A2221" t="s">
        <v>100</v>
      </c>
      <c r="B2221" t="s">
        <v>5</v>
      </c>
      <c r="C2221">
        <v>1395560.7718</v>
      </c>
      <c r="D2221" t="s">
        <v>226</v>
      </c>
      <c r="E2221">
        <v>2019</v>
      </c>
      <c r="F2221">
        <v>2</v>
      </c>
    </row>
    <row r="2222" spans="1:6" x14ac:dyDescent="0.55000000000000004">
      <c r="A2222" t="s">
        <v>100</v>
      </c>
      <c r="B2222" t="s">
        <v>6</v>
      </c>
      <c r="C2222">
        <v>2503889.2740000002</v>
      </c>
      <c r="D2222" t="s">
        <v>226</v>
      </c>
      <c r="E2222">
        <v>2019</v>
      </c>
      <c r="F2222">
        <v>2</v>
      </c>
    </row>
    <row r="2223" spans="1:6" x14ac:dyDescent="0.55000000000000004">
      <c r="A2223" t="s">
        <v>100</v>
      </c>
      <c r="B2223" t="s">
        <v>7</v>
      </c>
      <c r="C2223">
        <v>3447193.3045999999</v>
      </c>
      <c r="D2223" t="s">
        <v>226</v>
      </c>
      <c r="E2223">
        <v>2019</v>
      </c>
      <c r="F2223">
        <v>2</v>
      </c>
    </row>
    <row r="2224" spans="1:6" x14ac:dyDescent="0.55000000000000004">
      <c r="A2224" t="s">
        <v>100</v>
      </c>
      <c r="B2224" t="s">
        <v>8</v>
      </c>
      <c r="C2224">
        <v>3930316.6041000001</v>
      </c>
      <c r="D2224" t="s">
        <v>226</v>
      </c>
      <c r="E2224">
        <v>2019</v>
      </c>
      <c r="F2224">
        <v>2</v>
      </c>
    </row>
    <row r="2225" spans="1:6" x14ac:dyDescent="0.55000000000000004">
      <c r="A2225" t="s">
        <v>100</v>
      </c>
      <c r="B2225" t="s">
        <v>9</v>
      </c>
      <c r="C2225">
        <v>254.16669999999999</v>
      </c>
      <c r="D2225" t="s">
        <v>226</v>
      </c>
      <c r="E2225">
        <v>2019</v>
      </c>
      <c r="F2225">
        <v>2</v>
      </c>
    </row>
    <row r="2226" spans="1:6" x14ac:dyDescent="0.55000000000000004">
      <c r="A2226" t="s">
        <v>100</v>
      </c>
      <c r="B2226" t="s">
        <v>10</v>
      </c>
      <c r="C2226">
        <v>1147.49</v>
      </c>
      <c r="D2226" t="s">
        <v>226</v>
      </c>
      <c r="E2226">
        <v>2019</v>
      </c>
      <c r="F2226">
        <v>2</v>
      </c>
    </row>
    <row r="2227" spans="1:6" x14ac:dyDescent="0.55000000000000004">
      <c r="A2227" t="s">
        <v>100</v>
      </c>
      <c r="B2227" t="s">
        <v>11</v>
      </c>
      <c r="C2227">
        <v>3574654.8465999998</v>
      </c>
      <c r="D2227" t="s">
        <v>226</v>
      </c>
      <c r="E2227">
        <v>2019</v>
      </c>
      <c r="F2227">
        <v>2</v>
      </c>
    </row>
    <row r="2228" spans="1:6" x14ac:dyDescent="0.55000000000000004">
      <c r="A2228" t="s">
        <v>100</v>
      </c>
      <c r="B2228" t="s">
        <v>12</v>
      </c>
      <c r="C2228">
        <v>86308.5</v>
      </c>
      <c r="D2228" t="s">
        <v>226</v>
      </c>
      <c r="E2228">
        <v>2019</v>
      </c>
      <c r="F2228">
        <v>2</v>
      </c>
    </row>
    <row r="2229" spans="1:6" x14ac:dyDescent="0.55000000000000004">
      <c r="A2229" t="s">
        <v>100</v>
      </c>
      <c r="B2229" t="s">
        <v>13</v>
      </c>
      <c r="C2229">
        <v>2477.4699999999998</v>
      </c>
      <c r="D2229" t="s">
        <v>226</v>
      </c>
      <c r="E2229">
        <v>2019</v>
      </c>
      <c r="F2229">
        <v>2</v>
      </c>
    </row>
    <row r="2230" spans="1:6" x14ac:dyDescent="0.55000000000000004">
      <c r="A2230" t="s">
        <v>100</v>
      </c>
      <c r="B2230" t="s">
        <v>14</v>
      </c>
      <c r="C2230">
        <v>5000</v>
      </c>
      <c r="D2230" t="s">
        <v>226</v>
      </c>
      <c r="E2230">
        <v>2019</v>
      </c>
      <c r="F2230">
        <v>2</v>
      </c>
    </row>
    <row r="2231" spans="1:6" x14ac:dyDescent="0.55000000000000004">
      <c r="A2231" t="s">
        <v>100</v>
      </c>
      <c r="B2231" t="s">
        <v>15</v>
      </c>
      <c r="C2231">
        <v>1246008.6442</v>
      </c>
      <c r="D2231" t="s">
        <v>226</v>
      </c>
      <c r="E2231">
        <v>2019</v>
      </c>
      <c r="F2231">
        <v>2</v>
      </c>
    </row>
    <row r="2232" spans="1:6" x14ac:dyDescent="0.55000000000000004">
      <c r="A2232" t="s">
        <v>100</v>
      </c>
      <c r="B2232" t="s">
        <v>16</v>
      </c>
      <c r="C2232">
        <v>0</v>
      </c>
      <c r="D2232" t="s">
        <v>226</v>
      </c>
      <c r="E2232">
        <v>2019</v>
      </c>
      <c r="F2232">
        <v>2</v>
      </c>
    </row>
    <row r="2233" spans="1:6" x14ac:dyDescent="0.55000000000000004">
      <c r="A2233" t="s">
        <v>100</v>
      </c>
      <c r="B2233" t="s">
        <v>17</v>
      </c>
      <c r="C2233">
        <v>83960.677800000005</v>
      </c>
      <c r="D2233" t="s">
        <v>226</v>
      </c>
      <c r="E2233">
        <v>2019</v>
      </c>
      <c r="F2233">
        <v>2</v>
      </c>
    </row>
    <row r="2234" spans="1:6" x14ac:dyDescent="0.55000000000000004">
      <c r="A2234" t="s">
        <v>100</v>
      </c>
      <c r="B2234" t="s">
        <v>18</v>
      </c>
      <c r="C2234">
        <v>114617.9837</v>
      </c>
      <c r="D2234" t="s">
        <v>226</v>
      </c>
      <c r="E2234">
        <v>2019</v>
      </c>
      <c r="F2234">
        <v>2</v>
      </c>
    </row>
    <row r="2235" spans="1:6" x14ac:dyDescent="0.55000000000000004">
      <c r="A2235" t="s">
        <v>100</v>
      </c>
      <c r="B2235" t="s">
        <v>19</v>
      </c>
      <c r="C2235">
        <v>1349.6353999999999</v>
      </c>
      <c r="D2235" t="s">
        <v>226</v>
      </c>
      <c r="E2235">
        <v>2019</v>
      </c>
      <c r="F2235">
        <v>2</v>
      </c>
    </row>
    <row r="2236" spans="1:6" x14ac:dyDescent="0.55000000000000004">
      <c r="A2236" t="s">
        <v>100</v>
      </c>
      <c r="B2236" t="s">
        <v>20</v>
      </c>
      <c r="C2236">
        <v>15480</v>
      </c>
      <c r="D2236" t="s">
        <v>226</v>
      </c>
      <c r="E2236">
        <v>2019</v>
      </c>
      <c r="F2236">
        <v>2</v>
      </c>
    </row>
    <row r="2237" spans="1:6" x14ac:dyDescent="0.55000000000000004">
      <c r="A2237" t="s">
        <v>100</v>
      </c>
      <c r="B2237" t="s">
        <v>21</v>
      </c>
      <c r="C2237">
        <v>2303.4135000000001</v>
      </c>
      <c r="D2237" t="s">
        <v>226</v>
      </c>
      <c r="E2237">
        <v>2019</v>
      </c>
      <c r="F2237">
        <v>2</v>
      </c>
    </row>
    <row r="2238" spans="1:6" x14ac:dyDescent="0.55000000000000004">
      <c r="A2238" t="s">
        <v>100</v>
      </c>
      <c r="B2238" t="s">
        <v>22</v>
      </c>
      <c r="C2238">
        <v>32043.6067</v>
      </c>
      <c r="D2238" t="s">
        <v>226</v>
      </c>
      <c r="E2238">
        <v>2019</v>
      </c>
      <c r="F2238">
        <v>2</v>
      </c>
    </row>
    <row r="2239" spans="1:6" x14ac:dyDescent="0.55000000000000004">
      <c r="A2239" t="s">
        <v>100</v>
      </c>
      <c r="B2239" t="s">
        <v>23</v>
      </c>
      <c r="C2239">
        <v>62459.394899999999</v>
      </c>
      <c r="D2239" t="s">
        <v>226</v>
      </c>
      <c r="E2239">
        <v>2019</v>
      </c>
      <c r="F2239">
        <v>2</v>
      </c>
    </row>
    <row r="2240" spans="1:6" x14ac:dyDescent="0.55000000000000004">
      <c r="A2240" t="s">
        <v>100</v>
      </c>
      <c r="B2240" t="s">
        <v>24</v>
      </c>
      <c r="C2240">
        <v>0</v>
      </c>
      <c r="D2240" t="s">
        <v>226</v>
      </c>
      <c r="E2240">
        <v>2019</v>
      </c>
      <c r="F2240">
        <v>2</v>
      </c>
    </row>
    <row r="2241" spans="1:6" x14ac:dyDescent="0.55000000000000004">
      <c r="A2241" t="s">
        <v>100</v>
      </c>
      <c r="B2241" t="s">
        <v>25</v>
      </c>
      <c r="C2241">
        <v>174045.67</v>
      </c>
      <c r="D2241" t="s">
        <v>226</v>
      </c>
      <c r="E2241">
        <v>2019</v>
      </c>
      <c r="F2241">
        <v>2</v>
      </c>
    </row>
    <row r="2242" spans="1:6" x14ac:dyDescent="0.55000000000000004">
      <c r="A2242" t="s">
        <v>100</v>
      </c>
      <c r="B2242" t="s">
        <v>26</v>
      </c>
      <c r="C2242">
        <v>28.33</v>
      </c>
      <c r="D2242" t="s">
        <v>226</v>
      </c>
      <c r="E2242">
        <v>2019</v>
      </c>
      <c r="F2242">
        <v>2</v>
      </c>
    </row>
    <row r="2243" spans="1:6" x14ac:dyDescent="0.55000000000000004">
      <c r="A2243" t="s">
        <v>100</v>
      </c>
      <c r="B2243" t="s">
        <v>27</v>
      </c>
      <c r="C2243">
        <v>1409.3343</v>
      </c>
      <c r="D2243" t="s">
        <v>226</v>
      </c>
      <c r="E2243">
        <v>2019</v>
      </c>
      <c r="F2243">
        <v>2</v>
      </c>
    </row>
    <row r="2244" spans="1:6" x14ac:dyDescent="0.55000000000000004">
      <c r="A2244" t="s">
        <v>100</v>
      </c>
      <c r="B2244" t="s">
        <v>28</v>
      </c>
      <c r="C2244">
        <v>363111.96610000002</v>
      </c>
      <c r="D2244" t="s">
        <v>226</v>
      </c>
      <c r="E2244">
        <v>2019</v>
      </c>
      <c r="F2244">
        <v>2</v>
      </c>
    </row>
    <row r="2245" spans="1:6" x14ac:dyDescent="0.55000000000000004">
      <c r="A2245" t="s">
        <v>100</v>
      </c>
      <c r="B2245" t="s">
        <v>29</v>
      </c>
      <c r="C2245">
        <v>5992.9517999999998</v>
      </c>
      <c r="D2245" t="s">
        <v>226</v>
      </c>
      <c r="E2245">
        <v>2019</v>
      </c>
      <c r="F2245">
        <v>2</v>
      </c>
    </row>
    <row r="2246" spans="1:6" x14ac:dyDescent="0.55000000000000004">
      <c r="A2246" t="s">
        <v>100</v>
      </c>
      <c r="B2246" t="s">
        <v>30</v>
      </c>
      <c r="C2246">
        <v>6.11</v>
      </c>
      <c r="D2246" t="s">
        <v>226</v>
      </c>
      <c r="E2246">
        <v>2019</v>
      </c>
      <c r="F2246">
        <v>2</v>
      </c>
    </row>
    <row r="2247" spans="1:6" x14ac:dyDescent="0.55000000000000004">
      <c r="A2247" t="s">
        <v>100</v>
      </c>
      <c r="B2247" t="s">
        <v>31</v>
      </c>
      <c r="C2247">
        <v>24.986000000000001</v>
      </c>
      <c r="D2247" t="s">
        <v>226</v>
      </c>
      <c r="E2247">
        <v>2019</v>
      </c>
      <c r="F2247">
        <v>2</v>
      </c>
    </row>
    <row r="2248" spans="1:6" x14ac:dyDescent="0.55000000000000004">
      <c r="A2248" t="s">
        <v>100</v>
      </c>
      <c r="B2248" t="s">
        <v>32</v>
      </c>
      <c r="C2248">
        <v>822797.58400000003</v>
      </c>
      <c r="D2248" t="s">
        <v>226</v>
      </c>
      <c r="E2248">
        <v>2019</v>
      </c>
      <c r="F2248">
        <v>2</v>
      </c>
    </row>
    <row r="2249" spans="1:6" x14ac:dyDescent="0.55000000000000004">
      <c r="A2249" t="s">
        <v>100</v>
      </c>
      <c r="B2249" t="s">
        <v>33</v>
      </c>
      <c r="C2249">
        <v>659714.34759999998</v>
      </c>
      <c r="D2249" t="s">
        <v>226</v>
      </c>
      <c r="E2249">
        <v>2019</v>
      </c>
      <c r="F2249">
        <v>2</v>
      </c>
    </row>
    <row r="2250" spans="1:6" x14ac:dyDescent="0.55000000000000004">
      <c r="A2250" t="s">
        <v>100</v>
      </c>
      <c r="B2250" t="s">
        <v>34</v>
      </c>
      <c r="C2250">
        <v>486217.53419999999</v>
      </c>
      <c r="D2250" t="s">
        <v>226</v>
      </c>
      <c r="E2250">
        <v>2019</v>
      </c>
      <c r="F2250">
        <v>2</v>
      </c>
    </row>
    <row r="2251" spans="1:6" x14ac:dyDescent="0.55000000000000004">
      <c r="A2251" t="s">
        <v>100</v>
      </c>
      <c r="B2251" t="s">
        <v>35</v>
      </c>
      <c r="C2251">
        <v>367.04219999999998</v>
      </c>
      <c r="D2251" t="s">
        <v>226</v>
      </c>
      <c r="E2251">
        <v>2019</v>
      </c>
      <c r="F2251">
        <v>2</v>
      </c>
    </row>
    <row r="2252" spans="1:6" x14ac:dyDescent="0.55000000000000004">
      <c r="A2252" t="s">
        <v>100</v>
      </c>
      <c r="B2252" t="s">
        <v>36</v>
      </c>
      <c r="C2252">
        <v>70067.899900000004</v>
      </c>
      <c r="D2252" t="s">
        <v>226</v>
      </c>
      <c r="E2252">
        <v>2019</v>
      </c>
      <c r="F2252">
        <v>2</v>
      </c>
    </row>
    <row r="2253" spans="1:6" x14ac:dyDescent="0.55000000000000004">
      <c r="A2253" t="s">
        <v>100</v>
      </c>
      <c r="B2253" t="s">
        <v>37</v>
      </c>
      <c r="C2253">
        <v>38531.456599999998</v>
      </c>
      <c r="D2253" t="s">
        <v>226</v>
      </c>
      <c r="E2253">
        <v>2019</v>
      </c>
      <c r="F2253">
        <v>2</v>
      </c>
    </row>
    <row r="2254" spans="1:6" x14ac:dyDescent="0.55000000000000004">
      <c r="A2254" t="s">
        <v>100</v>
      </c>
      <c r="B2254" t="s">
        <v>38</v>
      </c>
      <c r="C2254">
        <v>0</v>
      </c>
      <c r="D2254" t="s">
        <v>226</v>
      </c>
      <c r="E2254">
        <v>2019</v>
      </c>
      <c r="F2254">
        <v>2</v>
      </c>
    </row>
    <row r="2255" spans="1:6" x14ac:dyDescent="0.55000000000000004">
      <c r="A2255" t="s">
        <v>100</v>
      </c>
      <c r="B2255" t="s">
        <v>39</v>
      </c>
      <c r="C2255">
        <v>0.33329999999999999</v>
      </c>
      <c r="D2255" t="s">
        <v>226</v>
      </c>
      <c r="E2255">
        <v>2019</v>
      </c>
      <c r="F2255">
        <v>2</v>
      </c>
    </row>
    <row r="2256" spans="1:6" x14ac:dyDescent="0.55000000000000004">
      <c r="A2256" t="s">
        <v>100</v>
      </c>
      <c r="B2256" t="s">
        <v>40</v>
      </c>
      <c r="C2256">
        <v>2169.8679999999999</v>
      </c>
      <c r="D2256" t="s">
        <v>226</v>
      </c>
      <c r="E2256">
        <v>2019</v>
      </c>
      <c r="F2256">
        <v>2</v>
      </c>
    </row>
    <row r="2257" spans="1:6" x14ac:dyDescent="0.55000000000000004">
      <c r="A2257" t="s">
        <v>100</v>
      </c>
      <c r="B2257" t="s">
        <v>41</v>
      </c>
      <c r="C2257">
        <v>238020.04180000001</v>
      </c>
      <c r="D2257" t="s">
        <v>226</v>
      </c>
      <c r="E2257">
        <v>2019</v>
      </c>
      <c r="F2257">
        <v>2</v>
      </c>
    </row>
    <row r="2258" spans="1:6" x14ac:dyDescent="0.55000000000000004">
      <c r="A2258" t="s">
        <v>100</v>
      </c>
      <c r="B2258" t="s">
        <v>42</v>
      </c>
      <c r="C2258">
        <v>25.539300000000001</v>
      </c>
      <c r="D2258" t="s">
        <v>226</v>
      </c>
      <c r="E2258">
        <v>2019</v>
      </c>
      <c r="F2258">
        <v>2</v>
      </c>
    </row>
    <row r="2259" spans="1:6" x14ac:dyDescent="0.55000000000000004">
      <c r="A2259" t="s">
        <v>100</v>
      </c>
      <c r="B2259" t="s">
        <v>43</v>
      </c>
      <c r="C2259">
        <v>284875.58669999999</v>
      </c>
      <c r="D2259" t="s">
        <v>226</v>
      </c>
      <c r="E2259">
        <v>2019</v>
      </c>
      <c r="F2259">
        <v>2</v>
      </c>
    </row>
    <row r="2260" spans="1:6" x14ac:dyDescent="0.55000000000000004">
      <c r="A2260" t="s">
        <v>100</v>
      </c>
      <c r="B2260" t="s">
        <v>44</v>
      </c>
      <c r="C2260">
        <v>1033.1667</v>
      </c>
      <c r="D2260" t="s">
        <v>226</v>
      </c>
      <c r="E2260">
        <v>2019</v>
      </c>
      <c r="F2260">
        <v>2</v>
      </c>
    </row>
    <row r="2261" spans="1:6" x14ac:dyDescent="0.55000000000000004">
      <c r="A2261" t="s">
        <v>100</v>
      </c>
      <c r="B2261" t="s">
        <v>45</v>
      </c>
      <c r="C2261">
        <v>3382.2786000000001</v>
      </c>
      <c r="D2261" t="s">
        <v>226</v>
      </c>
      <c r="E2261">
        <v>2019</v>
      </c>
      <c r="F2261">
        <v>2</v>
      </c>
    </row>
    <row r="2262" spans="1:6" x14ac:dyDescent="0.55000000000000004">
      <c r="A2262" t="s">
        <v>100</v>
      </c>
      <c r="B2262" t="s">
        <v>46</v>
      </c>
      <c r="C2262">
        <v>42040.33</v>
      </c>
      <c r="D2262" t="s">
        <v>226</v>
      </c>
      <c r="E2262">
        <v>2019</v>
      </c>
      <c r="F2262">
        <v>2</v>
      </c>
    </row>
    <row r="2263" spans="1:6" x14ac:dyDescent="0.55000000000000004">
      <c r="A2263" t="s">
        <v>100</v>
      </c>
      <c r="B2263" t="s">
        <v>47</v>
      </c>
      <c r="C2263">
        <v>0</v>
      </c>
      <c r="D2263" t="s">
        <v>226</v>
      </c>
      <c r="E2263">
        <v>2019</v>
      </c>
      <c r="F2263">
        <v>2</v>
      </c>
    </row>
    <row r="2264" spans="1:6" x14ac:dyDescent="0.55000000000000004">
      <c r="A2264" t="s">
        <v>100</v>
      </c>
      <c r="B2264" t="s">
        <v>48</v>
      </c>
      <c r="C2264">
        <v>112797.25</v>
      </c>
      <c r="D2264" t="s">
        <v>226</v>
      </c>
      <c r="E2264">
        <v>2019</v>
      </c>
      <c r="F2264">
        <v>2</v>
      </c>
    </row>
    <row r="2265" spans="1:6" x14ac:dyDescent="0.55000000000000004">
      <c r="A2265" t="s">
        <v>100</v>
      </c>
      <c r="B2265" t="s">
        <v>49</v>
      </c>
      <c r="C2265">
        <v>559.05820000000006</v>
      </c>
      <c r="D2265" t="s">
        <v>226</v>
      </c>
      <c r="E2265">
        <v>2019</v>
      </c>
      <c r="F2265">
        <v>2</v>
      </c>
    </row>
    <row r="2266" spans="1:6" x14ac:dyDescent="0.55000000000000004">
      <c r="A2266" t="s">
        <v>100</v>
      </c>
      <c r="B2266" t="s">
        <v>50</v>
      </c>
      <c r="C2266">
        <v>24546.683300000001</v>
      </c>
      <c r="D2266" t="s">
        <v>226</v>
      </c>
      <c r="E2266">
        <v>2019</v>
      </c>
      <c r="F2266">
        <v>2</v>
      </c>
    </row>
    <row r="2267" spans="1:6" x14ac:dyDescent="0.55000000000000004">
      <c r="A2267" t="s">
        <v>100</v>
      </c>
      <c r="B2267" t="s">
        <v>51</v>
      </c>
      <c r="C2267">
        <v>3967.9238</v>
      </c>
      <c r="D2267" t="s">
        <v>226</v>
      </c>
      <c r="E2267">
        <v>2019</v>
      </c>
      <c r="F2267">
        <v>2</v>
      </c>
    </row>
    <row r="2268" spans="1:6" x14ac:dyDescent="0.55000000000000004">
      <c r="A2268" t="s">
        <v>100</v>
      </c>
      <c r="B2268" t="s">
        <v>52</v>
      </c>
      <c r="C2268">
        <v>49.168700000000001</v>
      </c>
      <c r="D2268" t="s">
        <v>226</v>
      </c>
      <c r="E2268">
        <v>2019</v>
      </c>
      <c r="F2268">
        <v>2</v>
      </c>
    </row>
    <row r="2269" spans="1:6" x14ac:dyDescent="0.55000000000000004">
      <c r="A2269" t="s">
        <v>100</v>
      </c>
      <c r="B2269" t="s">
        <v>53</v>
      </c>
      <c r="C2269">
        <v>137792.76199999999</v>
      </c>
      <c r="D2269" t="s">
        <v>226</v>
      </c>
      <c r="E2269">
        <v>2019</v>
      </c>
      <c r="F2269">
        <v>2</v>
      </c>
    </row>
    <row r="2270" spans="1:6" x14ac:dyDescent="0.55000000000000004">
      <c r="A2270" t="s">
        <v>100</v>
      </c>
      <c r="B2270" t="s">
        <v>54</v>
      </c>
      <c r="C2270">
        <v>10884.8678</v>
      </c>
      <c r="D2270" t="s">
        <v>226</v>
      </c>
      <c r="E2270">
        <v>2019</v>
      </c>
      <c r="F2270">
        <v>2</v>
      </c>
    </row>
    <row r="2271" spans="1:6" x14ac:dyDescent="0.55000000000000004">
      <c r="A2271" t="s">
        <v>100</v>
      </c>
      <c r="B2271" t="s">
        <v>55</v>
      </c>
      <c r="C2271">
        <v>11300</v>
      </c>
      <c r="D2271" t="s">
        <v>226</v>
      </c>
      <c r="E2271">
        <v>2019</v>
      </c>
      <c r="F2271">
        <v>2</v>
      </c>
    </row>
    <row r="2272" spans="1:6" x14ac:dyDescent="0.55000000000000004">
      <c r="A2272" t="s">
        <v>100</v>
      </c>
      <c r="B2272" t="s">
        <v>56</v>
      </c>
      <c r="C2272">
        <v>2238.4666999999999</v>
      </c>
      <c r="D2272" t="s">
        <v>226</v>
      </c>
      <c r="E2272">
        <v>2019</v>
      </c>
      <c r="F2272">
        <v>2</v>
      </c>
    </row>
    <row r="2273" spans="1:6" x14ac:dyDescent="0.55000000000000004">
      <c r="A2273" t="s">
        <v>100</v>
      </c>
      <c r="B2273" t="s">
        <v>57</v>
      </c>
      <c r="C2273">
        <v>92.613699999999994</v>
      </c>
      <c r="D2273" t="s">
        <v>226</v>
      </c>
      <c r="E2273">
        <v>2019</v>
      </c>
      <c r="F2273">
        <v>2</v>
      </c>
    </row>
    <row r="2274" spans="1:6" x14ac:dyDescent="0.55000000000000004">
      <c r="A2274" t="s">
        <v>100</v>
      </c>
      <c r="B2274" t="s">
        <v>58</v>
      </c>
      <c r="C2274">
        <v>323827.99</v>
      </c>
      <c r="D2274" t="s">
        <v>226</v>
      </c>
      <c r="E2274">
        <v>2019</v>
      </c>
      <c r="F2274">
        <v>2</v>
      </c>
    </row>
    <row r="2275" spans="1:6" x14ac:dyDescent="0.55000000000000004">
      <c r="A2275" t="s">
        <v>100</v>
      </c>
      <c r="B2275" t="s">
        <v>59</v>
      </c>
      <c r="C2275">
        <v>34.271999999999998</v>
      </c>
      <c r="D2275" t="s">
        <v>226</v>
      </c>
      <c r="E2275">
        <v>2019</v>
      </c>
      <c r="F2275">
        <v>2</v>
      </c>
    </row>
    <row r="2276" spans="1:6" x14ac:dyDescent="0.55000000000000004">
      <c r="A2276" t="s">
        <v>100</v>
      </c>
      <c r="B2276" t="s">
        <v>60</v>
      </c>
      <c r="C2276">
        <v>2223161.6587</v>
      </c>
      <c r="D2276" t="s">
        <v>226</v>
      </c>
      <c r="E2276">
        <v>2019</v>
      </c>
      <c r="F2276">
        <v>2</v>
      </c>
    </row>
    <row r="2277" spans="1:6" x14ac:dyDescent="0.55000000000000004">
      <c r="A2277" t="s">
        <v>100</v>
      </c>
      <c r="B2277" t="s">
        <v>61</v>
      </c>
      <c r="C2277">
        <v>1029.7366</v>
      </c>
      <c r="D2277" t="s">
        <v>226</v>
      </c>
      <c r="E2277">
        <v>2019</v>
      </c>
      <c r="F2277">
        <v>2</v>
      </c>
    </row>
    <row r="2278" spans="1:6" x14ac:dyDescent="0.55000000000000004">
      <c r="A2278" t="s">
        <v>100</v>
      </c>
      <c r="B2278" t="s">
        <v>62</v>
      </c>
      <c r="C2278">
        <v>1789.1664000000001</v>
      </c>
      <c r="D2278" t="s">
        <v>226</v>
      </c>
      <c r="E2278">
        <v>2019</v>
      </c>
      <c r="F2278">
        <v>2</v>
      </c>
    </row>
    <row r="2279" spans="1:6" x14ac:dyDescent="0.55000000000000004">
      <c r="A2279" t="s">
        <v>100</v>
      </c>
      <c r="B2279" t="s">
        <v>63</v>
      </c>
      <c r="C2279">
        <v>960.15</v>
      </c>
      <c r="D2279" t="s">
        <v>226</v>
      </c>
      <c r="E2279">
        <v>2019</v>
      </c>
      <c r="F2279">
        <v>2</v>
      </c>
    </row>
    <row r="2280" spans="1:6" x14ac:dyDescent="0.55000000000000004">
      <c r="A2280" t="s">
        <v>101</v>
      </c>
      <c r="B2280" t="s">
        <v>4</v>
      </c>
      <c r="C2280">
        <v>11816314.317399999</v>
      </c>
      <c r="D2280" t="s">
        <v>227</v>
      </c>
      <c r="E2280">
        <v>2019</v>
      </c>
      <c r="F2280">
        <v>3</v>
      </c>
    </row>
    <row r="2281" spans="1:6" x14ac:dyDescent="0.55000000000000004">
      <c r="A2281" t="s">
        <v>101</v>
      </c>
      <c r="B2281" t="s">
        <v>5</v>
      </c>
      <c r="C2281">
        <v>1327460.2498999999</v>
      </c>
      <c r="D2281" t="s">
        <v>227</v>
      </c>
      <c r="E2281">
        <v>2019</v>
      </c>
      <c r="F2281">
        <v>3</v>
      </c>
    </row>
    <row r="2282" spans="1:6" x14ac:dyDescent="0.55000000000000004">
      <c r="A2282" t="s">
        <v>101</v>
      </c>
      <c r="B2282" t="s">
        <v>6</v>
      </c>
      <c r="C2282">
        <v>2664750.4164999998</v>
      </c>
      <c r="D2282" t="s">
        <v>227</v>
      </c>
      <c r="E2282">
        <v>2019</v>
      </c>
      <c r="F2282">
        <v>3</v>
      </c>
    </row>
    <row r="2283" spans="1:6" x14ac:dyDescent="0.55000000000000004">
      <c r="A2283" t="s">
        <v>101</v>
      </c>
      <c r="B2283" t="s">
        <v>7</v>
      </c>
      <c r="C2283">
        <v>3042583.1488000001</v>
      </c>
      <c r="D2283" t="s">
        <v>227</v>
      </c>
      <c r="E2283">
        <v>2019</v>
      </c>
      <c r="F2283">
        <v>3</v>
      </c>
    </row>
    <row r="2284" spans="1:6" x14ac:dyDescent="0.55000000000000004">
      <c r="A2284" t="s">
        <v>101</v>
      </c>
      <c r="B2284" t="s">
        <v>8</v>
      </c>
      <c r="C2284">
        <v>4781520.5022</v>
      </c>
      <c r="D2284" t="s">
        <v>227</v>
      </c>
      <c r="E2284">
        <v>2019</v>
      </c>
      <c r="F2284">
        <v>3</v>
      </c>
    </row>
    <row r="2285" spans="1:6" x14ac:dyDescent="0.55000000000000004">
      <c r="A2285" t="s">
        <v>101</v>
      </c>
      <c r="B2285" t="s">
        <v>9</v>
      </c>
      <c r="C2285">
        <v>1528.05</v>
      </c>
      <c r="D2285" t="s">
        <v>227</v>
      </c>
      <c r="E2285">
        <v>2019</v>
      </c>
      <c r="F2285">
        <v>3</v>
      </c>
    </row>
    <row r="2286" spans="1:6" x14ac:dyDescent="0.55000000000000004">
      <c r="A2286" t="s">
        <v>101</v>
      </c>
      <c r="B2286" t="s">
        <v>10</v>
      </c>
      <c r="C2286">
        <v>519</v>
      </c>
      <c r="D2286" t="s">
        <v>227</v>
      </c>
      <c r="E2286">
        <v>2019</v>
      </c>
      <c r="F2286">
        <v>3</v>
      </c>
    </row>
    <row r="2287" spans="1:6" x14ac:dyDescent="0.55000000000000004">
      <c r="A2287" t="s">
        <v>101</v>
      </c>
      <c r="B2287" t="s">
        <v>11</v>
      </c>
      <c r="C2287">
        <v>3117169.6312000002</v>
      </c>
      <c r="D2287" t="s">
        <v>227</v>
      </c>
      <c r="E2287">
        <v>2019</v>
      </c>
      <c r="F2287">
        <v>3</v>
      </c>
    </row>
    <row r="2288" spans="1:6" x14ac:dyDescent="0.55000000000000004">
      <c r="A2288" t="s">
        <v>101</v>
      </c>
      <c r="B2288" t="s">
        <v>12</v>
      </c>
      <c r="C2288">
        <v>45081.566700000003</v>
      </c>
      <c r="D2288" t="s">
        <v>227</v>
      </c>
      <c r="E2288">
        <v>2019</v>
      </c>
      <c r="F2288">
        <v>3</v>
      </c>
    </row>
    <row r="2289" spans="1:6" x14ac:dyDescent="0.55000000000000004">
      <c r="A2289" t="s">
        <v>101</v>
      </c>
      <c r="B2289" t="s">
        <v>13</v>
      </c>
      <c r="C2289">
        <v>9757.7800000000007</v>
      </c>
      <c r="D2289" t="s">
        <v>227</v>
      </c>
      <c r="E2289">
        <v>2019</v>
      </c>
      <c r="F2289">
        <v>3</v>
      </c>
    </row>
    <row r="2290" spans="1:6" x14ac:dyDescent="0.55000000000000004">
      <c r="A2290" t="s">
        <v>101</v>
      </c>
      <c r="B2290" t="s">
        <v>14</v>
      </c>
      <c r="C2290">
        <v>5000</v>
      </c>
      <c r="D2290" t="s">
        <v>227</v>
      </c>
      <c r="E2290">
        <v>2019</v>
      </c>
      <c r="F2290">
        <v>3</v>
      </c>
    </row>
    <row r="2291" spans="1:6" x14ac:dyDescent="0.55000000000000004">
      <c r="A2291" t="s">
        <v>101</v>
      </c>
      <c r="B2291" t="s">
        <v>15</v>
      </c>
      <c r="C2291">
        <v>1141190.3599</v>
      </c>
      <c r="D2291" t="s">
        <v>227</v>
      </c>
      <c r="E2291">
        <v>2019</v>
      </c>
      <c r="F2291">
        <v>3</v>
      </c>
    </row>
    <row r="2292" spans="1:6" x14ac:dyDescent="0.55000000000000004">
      <c r="A2292" t="s">
        <v>101</v>
      </c>
      <c r="B2292" t="s">
        <v>16</v>
      </c>
      <c r="C2292">
        <v>0</v>
      </c>
      <c r="D2292" t="s">
        <v>227</v>
      </c>
      <c r="E2292">
        <v>2019</v>
      </c>
      <c r="F2292">
        <v>3</v>
      </c>
    </row>
    <row r="2293" spans="1:6" x14ac:dyDescent="0.55000000000000004">
      <c r="A2293" t="s">
        <v>101</v>
      </c>
      <c r="B2293" t="s">
        <v>17</v>
      </c>
      <c r="C2293">
        <v>114531.6189</v>
      </c>
      <c r="D2293" t="s">
        <v>227</v>
      </c>
      <c r="E2293">
        <v>2019</v>
      </c>
      <c r="F2293">
        <v>3</v>
      </c>
    </row>
    <row r="2294" spans="1:6" x14ac:dyDescent="0.55000000000000004">
      <c r="A2294" t="s">
        <v>101</v>
      </c>
      <c r="B2294" t="s">
        <v>18</v>
      </c>
      <c r="C2294">
        <v>221283.7665</v>
      </c>
      <c r="D2294" t="s">
        <v>227</v>
      </c>
      <c r="E2294">
        <v>2019</v>
      </c>
      <c r="F2294">
        <v>3</v>
      </c>
    </row>
    <row r="2295" spans="1:6" x14ac:dyDescent="0.55000000000000004">
      <c r="A2295" t="s">
        <v>101</v>
      </c>
      <c r="B2295" t="s">
        <v>19</v>
      </c>
      <c r="C2295">
        <v>1349.6353999999999</v>
      </c>
      <c r="D2295" t="s">
        <v>227</v>
      </c>
      <c r="E2295">
        <v>2019</v>
      </c>
      <c r="F2295">
        <v>3</v>
      </c>
    </row>
    <row r="2296" spans="1:6" x14ac:dyDescent="0.55000000000000004">
      <c r="A2296" t="s">
        <v>101</v>
      </c>
      <c r="B2296" t="s">
        <v>20</v>
      </c>
      <c r="C2296">
        <v>12140</v>
      </c>
      <c r="D2296" t="s">
        <v>227</v>
      </c>
      <c r="E2296">
        <v>2019</v>
      </c>
      <c r="F2296">
        <v>3</v>
      </c>
    </row>
    <row r="2297" spans="1:6" x14ac:dyDescent="0.55000000000000004">
      <c r="A2297" t="s">
        <v>101</v>
      </c>
      <c r="B2297" t="s">
        <v>21</v>
      </c>
      <c r="C2297">
        <v>2091.1727999999998</v>
      </c>
      <c r="D2297" t="s">
        <v>227</v>
      </c>
      <c r="E2297">
        <v>2019</v>
      </c>
      <c r="F2297">
        <v>3</v>
      </c>
    </row>
    <row r="2298" spans="1:6" x14ac:dyDescent="0.55000000000000004">
      <c r="A2298" t="s">
        <v>101</v>
      </c>
      <c r="B2298" t="s">
        <v>22</v>
      </c>
      <c r="C2298">
        <v>36263.529900000001</v>
      </c>
      <c r="D2298" t="s">
        <v>227</v>
      </c>
      <c r="E2298">
        <v>2019</v>
      </c>
      <c r="F2298">
        <v>3</v>
      </c>
    </row>
    <row r="2299" spans="1:6" x14ac:dyDescent="0.55000000000000004">
      <c r="A2299" t="s">
        <v>101</v>
      </c>
      <c r="B2299" t="s">
        <v>23</v>
      </c>
      <c r="C2299">
        <v>87662.968200000003</v>
      </c>
      <c r="D2299" t="s">
        <v>227</v>
      </c>
      <c r="E2299">
        <v>2019</v>
      </c>
      <c r="F2299">
        <v>3</v>
      </c>
    </row>
    <row r="2300" spans="1:6" x14ac:dyDescent="0.55000000000000004">
      <c r="A2300" t="s">
        <v>101</v>
      </c>
      <c r="B2300" t="s">
        <v>24</v>
      </c>
      <c r="C2300">
        <v>0</v>
      </c>
      <c r="D2300" t="s">
        <v>227</v>
      </c>
      <c r="E2300">
        <v>2019</v>
      </c>
      <c r="F2300">
        <v>3</v>
      </c>
    </row>
    <row r="2301" spans="1:6" x14ac:dyDescent="0.55000000000000004">
      <c r="A2301" t="s">
        <v>101</v>
      </c>
      <c r="B2301" t="s">
        <v>25</v>
      </c>
      <c r="C2301">
        <v>233988.13339999999</v>
      </c>
      <c r="D2301" t="s">
        <v>227</v>
      </c>
      <c r="E2301">
        <v>2019</v>
      </c>
      <c r="F2301">
        <v>3</v>
      </c>
    </row>
    <row r="2302" spans="1:6" x14ac:dyDescent="0.55000000000000004">
      <c r="A2302" t="s">
        <v>101</v>
      </c>
      <c r="B2302" t="s">
        <v>26</v>
      </c>
      <c r="C2302">
        <v>0</v>
      </c>
      <c r="D2302" t="s">
        <v>227</v>
      </c>
      <c r="E2302">
        <v>2019</v>
      </c>
      <c r="F2302">
        <v>3</v>
      </c>
    </row>
    <row r="2303" spans="1:6" x14ac:dyDescent="0.55000000000000004">
      <c r="A2303" t="s">
        <v>101</v>
      </c>
      <c r="B2303" t="s">
        <v>27</v>
      </c>
      <c r="C2303">
        <v>1442.9666999999999</v>
      </c>
      <c r="D2303" t="s">
        <v>227</v>
      </c>
      <c r="E2303">
        <v>2019</v>
      </c>
      <c r="F2303">
        <v>3</v>
      </c>
    </row>
    <row r="2304" spans="1:6" x14ac:dyDescent="0.55000000000000004">
      <c r="A2304" t="s">
        <v>101</v>
      </c>
      <c r="B2304" t="s">
        <v>28</v>
      </c>
      <c r="C2304">
        <v>415869.35509999999</v>
      </c>
      <c r="D2304" t="s">
        <v>227</v>
      </c>
      <c r="E2304">
        <v>2019</v>
      </c>
      <c r="F2304">
        <v>3</v>
      </c>
    </row>
    <row r="2305" spans="1:6" x14ac:dyDescent="0.55000000000000004">
      <c r="A2305" t="s">
        <v>101</v>
      </c>
      <c r="B2305" t="s">
        <v>29</v>
      </c>
      <c r="C2305">
        <v>4752.9318000000003</v>
      </c>
      <c r="D2305" t="s">
        <v>227</v>
      </c>
      <c r="E2305">
        <v>2019</v>
      </c>
      <c r="F2305">
        <v>3</v>
      </c>
    </row>
    <row r="2306" spans="1:6" x14ac:dyDescent="0.55000000000000004">
      <c r="A2306" t="s">
        <v>101</v>
      </c>
      <c r="B2306" t="s">
        <v>30</v>
      </c>
      <c r="C2306">
        <v>48.49</v>
      </c>
      <c r="D2306" t="s">
        <v>227</v>
      </c>
      <c r="E2306">
        <v>2019</v>
      </c>
      <c r="F2306">
        <v>3</v>
      </c>
    </row>
    <row r="2307" spans="1:6" x14ac:dyDescent="0.55000000000000004">
      <c r="A2307" t="s">
        <v>101</v>
      </c>
      <c r="B2307" t="s">
        <v>31</v>
      </c>
      <c r="C2307">
        <v>358.99369999999999</v>
      </c>
      <c r="D2307" t="s">
        <v>227</v>
      </c>
      <c r="E2307">
        <v>2019</v>
      </c>
      <c r="F2307">
        <v>3</v>
      </c>
    </row>
    <row r="2308" spans="1:6" x14ac:dyDescent="0.55000000000000004">
      <c r="A2308" t="s">
        <v>101</v>
      </c>
      <c r="B2308" t="s">
        <v>32</v>
      </c>
      <c r="C2308">
        <v>806251.69070000004</v>
      </c>
      <c r="D2308" t="s">
        <v>227</v>
      </c>
      <c r="E2308">
        <v>2019</v>
      </c>
      <c r="F2308">
        <v>3</v>
      </c>
    </row>
    <row r="2309" spans="1:6" x14ac:dyDescent="0.55000000000000004">
      <c r="A2309" t="s">
        <v>101</v>
      </c>
      <c r="B2309" t="s">
        <v>33</v>
      </c>
      <c r="C2309">
        <v>748113.08799999999</v>
      </c>
      <c r="D2309" t="s">
        <v>227</v>
      </c>
      <c r="E2309">
        <v>2019</v>
      </c>
      <c r="F2309">
        <v>3</v>
      </c>
    </row>
    <row r="2310" spans="1:6" x14ac:dyDescent="0.55000000000000004">
      <c r="A2310" t="s">
        <v>101</v>
      </c>
      <c r="B2310" t="s">
        <v>34</v>
      </c>
      <c r="C2310">
        <v>475318.31420000002</v>
      </c>
      <c r="D2310" t="s">
        <v>227</v>
      </c>
      <c r="E2310">
        <v>2019</v>
      </c>
      <c r="F2310">
        <v>3</v>
      </c>
    </row>
    <row r="2311" spans="1:6" x14ac:dyDescent="0.55000000000000004">
      <c r="A2311" t="s">
        <v>101</v>
      </c>
      <c r="B2311" t="s">
        <v>35</v>
      </c>
      <c r="C2311">
        <v>241.3467</v>
      </c>
      <c r="D2311" t="s">
        <v>227</v>
      </c>
      <c r="E2311">
        <v>2019</v>
      </c>
      <c r="F2311">
        <v>3</v>
      </c>
    </row>
    <row r="2312" spans="1:6" x14ac:dyDescent="0.55000000000000004">
      <c r="A2312" t="s">
        <v>101</v>
      </c>
      <c r="B2312" t="s">
        <v>36</v>
      </c>
      <c r="C2312">
        <v>71456.2</v>
      </c>
      <c r="D2312" t="s">
        <v>227</v>
      </c>
      <c r="E2312">
        <v>2019</v>
      </c>
      <c r="F2312">
        <v>3</v>
      </c>
    </row>
    <row r="2313" spans="1:6" x14ac:dyDescent="0.55000000000000004">
      <c r="A2313" t="s">
        <v>101</v>
      </c>
      <c r="B2313" t="s">
        <v>37</v>
      </c>
      <c r="C2313">
        <v>41161.173499999997</v>
      </c>
      <c r="D2313" t="s">
        <v>227</v>
      </c>
      <c r="E2313">
        <v>2019</v>
      </c>
      <c r="F2313">
        <v>3</v>
      </c>
    </row>
    <row r="2314" spans="1:6" x14ac:dyDescent="0.55000000000000004">
      <c r="A2314" t="s">
        <v>101</v>
      </c>
      <c r="B2314" t="s">
        <v>38</v>
      </c>
      <c r="C2314">
        <v>0</v>
      </c>
      <c r="D2314" t="s">
        <v>227</v>
      </c>
      <c r="E2314">
        <v>2019</v>
      </c>
      <c r="F2314">
        <v>3</v>
      </c>
    </row>
    <row r="2315" spans="1:6" x14ac:dyDescent="0.55000000000000004">
      <c r="A2315" t="s">
        <v>101</v>
      </c>
      <c r="B2315" t="s">
        <v>39</v>
      </c>
      <c r="C2315">
        <v>3.9699999999999999E-2</v>
      </c>
      <c r="D2315" t="s">
        <v>227</v>
      </c>
      <c r="E2315">
        <v>2019</v>
      </c>
      <c r="F2315">
        <v>3</v>
      </c>
    </row>
    <row r="2316" spans="1:6" x14ac:dyDescent="0.55000000000000004">
      <c r="A2316" t="s">
        <v>101</v>
      </c>
      <c r="B2316" t="s">
        <v>40</v>
      </c>
      <c r="C2316">
        <v>2136.6379999999999</v>
      </c>
      <c r="D2316" t="s">
        <v>227</v>
      </c>
      <c r="E2316">
        <v>2019</v>
      </c>
      <c r="F2316">
        <v>3</v>
      </c>
    </row>
    <row r="2317" spans="1:6" x14ac:dyDescent="0.55000000000000004">
      <c r="A2317" t="s">
        <v>101</v>
      </c>
      <c r="B2317" t="s">
        <v>41</v>
      </c>
      <c r="C2317">
        <v>275333.40120000002</v>
      </c>
      <c r="D2317" t="s">
        <v>227</v>
      </c>
      <c r="E2317">
        <v>2019</v>
      </c>
      <c r="F2317">
        <v>3</v>
      </c>
    </row>
    <row r="2318" spans="1:6" x14ac:dyDescent="0.55000000000000004">
      <c r="A2318" t="s">
        <v>101</v>
      </c>
      <c r="B2318" t="s">
        <v>42</v>
      </c>
      <c r="C2318">
        <v>51.499299999999998</v>
      </c>
      <c r="D2318" t="s">
        <v>227</v>
      </c>
      <c r="E2318">
        <v>2019</v>
      </c>
      <c r="F2318">
        <v>3</v>
      </c>
    </row>
    <row r="2319" spans="1:6" x14ac:dyDescent="0.55000000000000004">
      <c r="A2319" t="s">
        <v>101</v>
      </c>
      <c r="B2319" t="s">
        <v>43</v>
      </c>
      <c r="C2319">
        <v>357695.6127</v>
      </c>
      <c r="D2319" t="s">
        <v>227</v>
      </c>
      <c r="E2319">
        <v>2019</v>
      </c>
      <c r="F2319">
        <v>3</v>
      </c>
    </row>
    <row r="2320" spans="1:6" x14ac:dyDescent="0.55000000000000004">
      <c r="A2320" t="s">
        <v>101</v>
      </c>
      <c r="B2320" t="s">
        <v>44</v>
      </c>
      <c r="C2320">
        <v>400</v>
      </c>
      <c r="D2320" t="s">
        <v>227</v>
      </c>
      <c r="E2320">
        <v>2019</v>
      </c>
      <c r="F2320">
        <v>3</v>
      </c>
    </row>
    <row r="2321" spans="1:6" x14ac:dyDescent="0.55000000000000004">
      <c r="A2321" t="s">
        <v>101</v>
      </c>
      <c r="B2321" t="s">
        <v>45</v>
      </c>
      <c r="C2321">
        <v>3936.8832000000002</v>
      </c>
      <c r="D2321" t="s">
        <v>227</v>
      </c>
      <c r="E2321">
        <v>2019</v>
      </c>
      <c r="F2321">
        <v>3</v>
      </c>
    </row>
    <row r="2322" spans="1:6" x14ac:dyDescent="0.55000000000000004">
      <c r="A2322" t="s">
        <v>101</v>
      </c>
      <c r="B2322" t="s">
        <v>46</v>
      </c>
      <c r="C2322">
        <v>51925.33</v>
      </c>
      <c r="D2322" t="s">
        <v>227</v>
      </c>
      <c r="E2322">
        <v>2019</v>
      </c>
      <c r="F2322">
        <v>3</v>
      </c>
    </row>
    <row r="2323" spans="1:6" x14ac:dyDescent="0.55000000000000004">
      <c r="A2323" t="s">
        <v>101</v>
      </c>
      <c r="B2323" t="s">
        <v>47</v>
      </c>
      <c r="C2323">
        <v>0</v>
      </c>
      <c r="D2323" t="s">
        <v>227</v>
      </c>
      <c r="E2323">
        <v>2019</v>
      </c>
      <c r="F2323">
        <v>3</v>
      </c>
    </row>
    <row r="2324" spans="1:6" x14ac:dyDescent="0.55000000000000004">
      <c r="A2324" t="s">
        <v>101</v>
      </c>
      <c r="B2324" t="s">
        <v>48</v>
      </c>
      <c r="C2324">
        <v>54014.78</v>
      </c>
      <c r="D2324" t="s">
        <v>227</v>
      </c>
      <c r="E2324">
        <v>2019</v>
      </c>
      <c r="F2324">
        <v>3</v>
      </c>
    </row>
    <row r="2325" spans="1:6" x14ac:dyDescent="0.55000000000000004">
      <c r="A2325" t="s">
        <v>101</v>
      </c>
      <c r="B2325" t="s">
        <v>49</v>
      </c>
      <c r="C2325">
        <v>275.15800000000002</v>
      </c>
      <c r="D2325" t="s">
        <v>227</v>
      </c>
      <c r="E2325">
        <v>2019</v>
      </c>
      <c r="F2325">
        <v>3</v>
      </c>
    </row>
    <row r="2326" spans="1:6" x14ac:dyDescent="0.55000000000000004">
      <c r="A2326" t="s">
        <v>101</v>
      </c>
      <c r="B2326" t="s">
        <v>50</v>
      </c>
      <c r="C2326">
        <v>25800.270700000001</v>
      </c>
      <c r="D2326" t="s">
        <v>227</v>
      </c>
      <c r="E2326">
        <v>2019</v>
      </c>
      <c r="F2326">
        <v>3</v>
      </c>
    </row>
    <row r="2327" spans="1:6" x14ac:dyDescent="0.55000000000000004">
      <c r="A2327" t="s">
        <v>101</v>
      </c>
      <c r="B2327" t="s">
        <v>51</v>
      </c>
      <c r="C2327">
        <v>7572.9237999999996</v>
      </c>
      <c r="D2327" t="s">
        <v>227</v>
      </c>
      <c r="E2327">
        <v>2019</v>
      </c>
      <c r="F2327">
        <v>3</v>
      </c>
    </row>
    <row r="2328" spans="1:6" x14ac:dyDescent="0.55000000000000004">
      <c r="A2328" t="s">
        <v>101</v>
      </c>
      <c r="B2328" t="s">
        <v>52</v>
      </c>
      <c r="C2328">
        <v>40.970999999999997</v>
      </c>
      <c r="D2328" t="s">
        <v>227</v>
      </c>
      <c r="E2328">
        <v>2019</v>
      </c>
      <c r="F2328">
        <v>3</v>
      </c>
    </row>
    <row r="2329" spans="1:6" x14ac:dyDescent="0.55000000000000004">
      <c r="A2329" t="s">
        <v>101</v>
      </c>
      <c r="B2329" t="s">
        <v>53</v>
      </c>
      <c r="C2329">
        <v>178043.11</v>
      </c>
      <c r="D2329" t="s">
        <v>227</v>
      </c>
      <c r="E2329">
        <v>2019</v>
      </c>
      <c r="F2329">
        <v>3</v>
      </c>
    </row>
    <row r="2330" spans="1:6" x14ac:dyDescent="0.55000000000000004">
      <c r="A2330" t="s">
        <v>101</v>
      </c>
      <c r="B2330" t="s">
        <v>54</v>
      </c>
      <c r="C2330">
        <v>9703.6488000000008</v>
      </c>
      <c r="D2330" t="s">
        <v>227</v>
      </c>
      <c r="E2330">
        <v>2019</v>
      </c>
      <c r="F2330">
        <v>3</v>
      </c>
    </row>
    <row r="2331" spans="1:6" x14ac:dyDescent="0.55000000000000004">
      <c r="A2331" t="s">
        <v>101</v>
      </c>
      <c r="B2331" t="s">
        <v>55</v>
      </c>
      <c r="C2331">
        <v>5659.8333000000002</v>
      </c>
      <c r="D2331" t="s">
        <v>227</v>
      </c>
      <c r="E2331">
        <v>2019</v>
      </c>
      <c r="F2331">
        <v>3</v>
      </c>
    </row>
    <row r="2332" spans="1:6" x14ac:dyDescent="0.55000000000000004">
      <c r="A2332" t="s">
        <v>101</v>
      </c>
      <c r="B2332" t="s">
        <v>56</v>
      </c>
      <c r="C2332">
        <v>36785.15</v>
      </c>
      <c r="D2332" t="s">
        <v>227</v>
      </c>
      <c r="E2332">
        <v>2019</v>
      </c>
      <c r="F2332">
        <v>3</v>
      </c>
    </row>
    <row r="2333" spans="1:6" x14ac:dyDescent="0.55000000000000004">
      <c r="A2333" t="s">
        <v>101</v>
      </c>
      <c r="B2333" t="s">
        <v>57</v>
      </c>
      <c r="C2333">
        <v>205.3673</v>
      </c>
      <c r="D2333" t="s">
        <v>227</v>
      </c>
      <c r="E2333">
        <v>2019</v>
      </c>
      <c r="F2333">
        <v>3</v>
      </c>
    </row>
    <row r="2334" spans="1:6" x14ac:dyDescent="0.55000000000000004">
      <c r="A2334" t="s">
        <v>101</v>
      </c>
      <c r="B2334" t="s">
        <v>58</v>
      </c>
      <c r="C2334">
        <v>348229.99</v>
      </c>
      <c r="D2334" t="s">
        <v>227</v>
      </c>
      <c r="E2334">
        <v>2019</v>
      </c>
      <c r="F2334">
        <v>3</v>
      </c>
    </row>
    <row r="2335" spans="1:6" x14ac:dyDescent="0.55000000000000004">
      <c r="A2335" t="s">
        <v>101</v>
      </c>
      <c r="B2335" t="s">
        <v>59</v>
      </c>
      <c r="C2335">
        <v>282.74700000000001</v>
      </c>
      <c r="D2335" t="s">
        <v>227</v>
      </c>
      <c r="E2335">
        <v>2019</v>
      </c>
      <c r="F2335">
        <v>3</v>
      </c>
    </row>
    <row r="2336" spans="1:6" x14ac:dyDescent="0.55000000000000004">
      <c r="A2336" t="s">
        <v>101</v>
      </c>
      <c r="B2336" t="s">
        <v>60</v>
      </c>
      <c r="C2336">
        <v>2857414.3023000001</v>
      </c>
      <c r="D2336" t="s">
        <v>227</v>
      </c>
      <c r="E2336">
        <v>2019</v>
      </c>
      <c r="F2336">
        <v>3</v>
      </c>
    </row>
    <row r="2337" spans="1:6" x14ac:dyDescent="0.55000000000000004">
      <c r="A2337" t="s">
        <v>101</v>
      </c>
      <c r="B2337" t="s">
        <v>61</v>
      </c>
      <c r="C2337">
        <v>575.68230000000005</v>
      </c>
      <c r="D2337" t="s">
        <v>227</v>
      </c>
      <c r="E2337">
        <v>2019</v>
      </c>
      <c r="F2337">
        <v>3</v>
      </c>
    </row>
    <row r="2338" spans="1:6" x14ac:dyDescent="0.55000000000000004">
      <c r="A2338" t="s">
        <v>101</v>
      </c>
      <c r="B2338" t="s">
        <v>62</v>
      </c>
      <c r="C2338">
        <v>4469.6963999999998</v>
      </c>
      <c r="D2338" t="s">
        <v>227</v>
      </c>
      <c r="E2338">
        <v>2019</v>
      </c>
      <c r="F2338">
        <v>3</v>
      </c>
    </row>
    <row r="2339" spans="1:6" x14ac:dyDescent="0.55000000000000004">
      <c r="A2339" t="s">
        <v>101</v>
      </c>
      <c r="B2339" t="s">
        <v>63</v>
      </c>
      <c r="C2339">
        <v>1189.5191</v>
      </c>
      <c r="D2339" t="s">
        <v>227</v>
      </c>
      <c r="E2339">
        <v>2019</v>
      </c>
      <c r="F2339">
        <v>3</v>
      </c>
    </row>
    <row r="2340" spans="1:6" x14ac:dyDescent="0.55000000000000004">
      <c r="A2340" t="s">
        <v>102</v>
      </c>
      <c r="B2340" t="s">
        <v>4</v>
      </c>
      <c r="C2340">
        <v>11168917.3533</v>
      </c>
      <c r="D2340" t="s">
        <v>228</v>
      </c>
      <c r="E2340">
        <v>2019</v>
      </c>
      <c r="F2340">
        <v>4</v>
      </c>
    </row>
    <row r="2341" spans="1:6" x14ac:dyDescent="0.55000000000000004">
      <c r="A2341" t="s">
        <v>102</v>
      </c>
      <c r="B2341" t="s">
        <v>5</v>
      </c>
      <c r="C2341">
        <v>1011499.3889</v>
      </c>
      <c r="D2341" t="s">
        <v>228</v>
      </c>
      <c r="E2341">
        <v>2019</v>
      </c>
      <c r="F2341">
        <v>4</v>
      </c>
    </row>
    <row r="2342" spans="1:6" x14ac:dyDescent="0.55000000000000004">
      <c r="A2342" t="s">
        <v>102</v>
      </c>
      <c r="B2342" t="s">
        <v>6</v>
      </c>
      <c r="C2342">
        <v>2890350.8147</v>
      </c>
      <c r="D2342" t="s">
        <v>228</v>
      </c>
      <c r="E2342">
        <v>2019</v>
      </c>
      <c r="F2342">
        <v>4</v>
      </c>
    </row>
    <row r="2343" spans="1:6" x14ac:dyDescent="0.55000000000000004">
      <c r="A2343" t="s">
        <v>102</v>
      </c>
      <c r="B2343" t="s">
        <v>7</v>
      </c>
      <c r="C2343">
        <v>3228379.0495000002</v>
      </c>
      <c r="D2343" t="s">
        <v>228</v>
      </c>
      <c r="E2343">
        <v>2019</v>
      </c>
      <c r="F2343">
        <v>4</v>
      </c>
    </row>
    <row r="2344" spans="1:6" x14ac:dyDescent="0.55000000000000004">
      <c r="A2344" t="s">
        <v>102</v>
      </c>
      <c r="B2344" t="s">
        <v>8</v>
      </c>
      <c r="C2344">
        <v>4038688.1002000002</v>
      </c>
      <c r="D2344" t="s">
        <v>228</v>
      </c>
      <c r="E2344">
        <v>2019</v>
      </c>
      <c r="F2344">
        <v>4</v>
      </c>
    </row>
    <row r="2345" spans="1:6" x14ac:dyDescent="0.55000000000000004">
      <c r="A2345" t="s">
        <v>102</v>
      </c>
      <c r="B2345" t="s">
        <v>9</v>
      </c>
      <c r="C2345">
        <v>3598.3438000000001</v>
      </c>
      <c r="D2345" t="s">
        <v>228</v>
      </c>
      <c r="E2345">
        <v>2019</v>
      </c>
      <c r="F2345">
        <v>4</v>
      </c>
    </row>
    <row r="2346" spans="1:6" x14ac:dyDescent="0.55000000000000004">
      <c r="A2346" t="s">
        <v>102</v>
      </c>
      <c r="B2346" t="s">
        <v>10</v>
      </c>
      <c r="C2346">
        <v>1029.33</v>
      </c>
      <c r="D2346" t="s">
        <v>228</v>
      </c>
      <c r="E2346">
        <v>2019</v>
      </c>
      <c r="F2346">
        <v>4</v>
      </c>
    </row>
    <row r="2347" spans="1:6" x14ac:dyDescent="0.55000000000000004">
      <c r="A2347" t="s">
        <v>102</v>
      </c>
      <c r="B2347" t="s">
        <v>11</v>
      </c>
      <c r="C2347">
        <v>3267213.6825999999</v>
      </c>
      <c r="D2347" t="s">
        <v>228</v>
      </c>
      <c r="E2347">
        <v>2019</v>
      </c>
      <c r="F2347">
        <v>4</v>
      </c>
    </row>
    <row r="2348" spans="1:6" x14ac:dyDescent="0.55000000000000004">
      <c r="A2348" t="s">
        <v>102</v>
      </c>
      <c r="B2348" t="s">
        <v>12</v>
      </c>
      <c r="C2348">
        <v>41478.583299999998</v>
      </c>
      <c r="D2348" t="s">
        <v>228</v>
      </c>
      <c r="E2348">
        <v>2019</v>
      </c>
      <c r="F2348">
        <v>4</v>
      </c>
    </row>
    <row r="2349" spans="1:6" x14ac:dyDescent="0.55000000000000004">
      <c r="A2349" t="s">
        <v>102</v>
      </c>
      <c r="B2349" t="s">
        <v>13</v>
      </c>
      <c r="C2349">
        <v>10232.83</v>
      </c>
      <c r="D2349" t="s">
        <v>228</v>
      </c>
      <c r="E2349">
        <v>2019</v>
      </c>
      <c r="F2349">
        <v>4</v>
      </c>
    </row>
    <row r="2350" spans="1:6" x14ac:dyDescent="0.55000000000000004">
      <c r="A2350" t="s">
        <v>102</v>
      </c>
      <c r="B2350" t="s">
        <v>14</v>
      </c>
      <c r="C2350">
        <v>5000</v>
      </c>
      <c r="D2350" t="s">
        <v>228</v>
      </c>
      <c r="E2350">
        <v>2019</v>
      </c>
      <c r="F2350">
        <v>4</v>
      </c>
    </row>
    <row r="2351" spans="1:6" x14ac:dyDescent="0.55000000000000004">
      <c r="A2351" t="s">
        <v>102</v>
      </c>
      <c r="B2351" t="s">
        <v>15</v>
      </c>
      <c r="C2351">
        <v>872689.63930000004</v>
      </c>
      <c r="D2351" t="s">
        <v>228</v>
      </c>
      <c r="E2351">
        <v>2019</v>
      </c>
      <c r="F2351">
        <v>4</v>
      </c>
    </row>
    <row r="2352" spans="1:6" x14ac:dyDescent="0.55000000000000004">
      <c r="A2352" t="s">
        <v>102</v>
      </c>
      <c r="B2352" t="s">
        <v>16</v>
      </c>
      <c r="C2352">
        <v>0</v>
      </c>
      <c r="D2352" t="s">
        <v>228</v>
      </c>
      <c r="E2352">
        <v>2019</v>
      </c>
      <c r="F2352">
        <v>4</v>
      </c>
    </row>
    <row r="2353" spans="1:6" x14ac:dyDescent="0.55000000000000004">
      <c r="A2353" t="s">
        <v>102</v>
      </c>
      <c r="B2353" t="s">
        <v>17</v>
      </c>
      <c r="C2353">
        <v>151396.09450000001</v>
      </c>
      <c r="D2353" t="s">
        <v>228</v>
      </c>
      <c r="E2353">
        <v>2019</v>
      </c>
      <c r="F2353">
        <v>4</v>
      </c>
    </row>
    <row r="2354" spans="1:6" x14ac:dyDescent="0.55000000000000004">
      <c r="A2354" t="s">
        <v>102</v>
      </c>
      <c r="B2354" t="s">
        <v>18</v>
      </c>
      <c r="C2354">
        <v>126061.5839</v>
      </c>
      <c r="D2354" t="s">
        <v>228</v>
      </c>
      <c r="E2354">
        <v>2019</v>
      </c>
      <c r="F2354">
        <v>4</v>
      </c>
    </row>
    <row r="2355" spans="1:6" x14ac:dyDescent="0.55000000000000004">
      <c r="A2355" t="s">
        <v>102</v>
      </c>
      <c r="B2355" t="s">
        <v>19</v>
      </c>
      <c r="C2355">
        <v>1349.6353999999999</v>
      </c>
      <c r="D2355" t="s">
        <v>228</v>
      </c>
      <c r="E2355">
        <v>2019</v>
      </c>
      <c r="F2355">
        <v>4</v>
      </c>
    </row>
    <row r="2356" spans="1:6" x14ac:dyDescent="0.55000000000000004">
      <c r="A2356" t="s">
        <v>102</v>
      </c>
      <c r="B2356" t="s">
        <v>20</v>
      </c>
      <c r="C2356">
        <v>11417.05</v>
      </c>
      <c r="D2356" t="s">
        <v>228</v>
      </c>
      <c r="E2356">
        <v>2019</v>
      </c>
      <c r="F2356">
        <v>4</v>
      </c>
    </row>
    <row r="2357" spans="1:6" x14ac:dyDescent="0.55000000000000004">
      <c r="A2357" t="s">
        <v>102</v>
      </c>
      <c r="B2357" t="s">
        <v>21</v>
      </c>
      <c r="C2357">
        <v>3008.4396000000002</v>
      </c>
      <c r="D2357" t="s">
        <v>228</v>
      </c>
      <c r="E2357">
        <v>2019</v>
      </c>
      <c r="F2357">
        <v>4</v>
      </c>
    </row>
    <row r="2358" spans="1:6" x14ac:dyDescent="0.55000000000000004">
      <c r="A2358" t="s">
        <v>102</v>
      </c>
      <c r="B2358" t="s">
        <v>22</v>
      </c>
      <c r="C2358">
        <v>40089.599999999999</v>
      </c>
      <c r="D2358" t="s">
        <v>228</v>
      </c>
      <c r="E2358">
        <v>2019</v>
      </c>
      <c r="F2358">
        <v>4</v>
      </c>
    </row>
    <row r="2359" spans="1:6" x14ac:dyDescent="0.55000000000000004">
      <c r="A2359" t="s">
        <v>102</v>
      </c>
      <c r="B2359" t="s">
        <v>23</v>
      </c>
      <c r="C2359">
        <v>79154.604200000002</v>
      </c>
      <c r="D2359" t="s">
        <v>228</v>
      </c>
      <c r="E2359">
        <v>2019</v>
      </c>
      <c r="F2359">
        <v>4</v>
      </c>
    </row>
    <row r="2360" spans="1:6" x14ac:dyDescent="0.55000000000000004">
      <c r="A2360" t="s">
        <v>102</v>
      </c>
      <c r="B2360" t="s">
        <v>24</v>
      </c>
      <c r="C2360">
        <v>0</v>
      </c>
      <c r="D2360" t="s">
        <v>228</v>
      </c>
      <c r="E2360">
        <v>2019</v>
      </c>
      <c r="F2360">
        <v>4</v>
      </c>
    </row>
    <row r="2361" spans="1:6" x14ac:dyDescent="0.55000000000000004">
      <c r="A2361" t="s">
        <v>102</v>
      </c>
      <c r="B2361" t="s">
        <v>25</v>
      </c>
      <c r="C2361">
        <v>311744.88329999999</v>
      </c>
      <c r="D2361" t="s">
        <v>228</v>
      </c>
      <c r="E2361">
        <v>2019</v>
      </c>
      <c r="F2361">
        <v>4</v>
      </c>
    </row>
    <row r="2362" spans="1:6" x14ac:dyDescent="0.55000000000000004">
      <c r="A2362" t="s">
        <v>102</v>
      </c>
      <c r="B2362" t="s">
        <v>26</v>
      </c>
      <c r="C2362">
        <v>0</v>
      </c>
      <c r="D2362" t="s">
        <v>228</v>
      </c>
      <c r="E2362">
        <v>2019</v>
      </c>
      <c r="F2362">
        <v>4</v>
      </c>
    </row>
    <row r="2363" spans="1:6" x14ac:dyDescent="0.55000000000000004">
      <c r="A2363" t="s">
        <v>102</v>
      </c>
      <c r="B2363" t="s">
        <v>27</v>
      </c>
      <c r="C2363">
        <v>2087.4187000000002</v>
      </c>
      <c r="D2363" t="s">
        <v>228</v>
      </c>
      <c r="E2363">
        <v>2019</v>
      </c>
      <c r="F2363">
        <v>4</v>
      </c>
    </row>
    <row r="2364" spans="1:6" x14ac:dyDescent="0.55000000000000004">
      <c r="A2364" t="s">
        <v>102</v>
      </c>
      <c r="B2364" t="s">
        <v>28</v>
      </c>
      <c r="C2364">
        <v>428506.40730000002</v>
      </c>
      <c r="D2364" t="s">
        <v>228</v>
      </c>
      <c r="E2364">
        <v>2019</v>
      </c>
      <c r="F2364">
        <v>4</v>
      </c>
    </row>
    <row r="2365" spans="1:6" x14ac:dyDescent="0.55000000000000004">
      <c r="A2365" t="s">
        <v>102</v>
      </c>
      <c r="B2365" t="s">
        <v>29</v>
      </c>
      <c r="C2365">
        <v>8877.9318000000003</v>
      </c>
      <c r="D2365" t="s">
        <v>228</v>
      </c>
      <c r="E2365">
        <v>2019</v>
      </c>
      <c r="F2365">
        <v>4</v>
      </c>
    </row>
    <row r="2366" spans="1:6" x14ac:dyDescent="0.55000000000000004">
      <c r="A2366" t="s">
        <v>102</v>
      </c>
      <c r="B2366" t="s">
        <v>30</v>
      </c>
      <c r="C2366">
        <v>66.473299999999995</v>
      </c>
      <c r="D2366" t="s">
        <v>228</v>
      </c>
      <c r="E2366">
        <v>2019</v>
      </c>
      <c r="F2366">
        <v>4</v>
      </c>
    </row>
    <row r="2367" spans="1:6" x14ac:dyDescent="0.55000000000000004">
      <c r="A2367" t="s">
        <v>102</v>
      </c>
      <c r="B2367" t="s">
        <v>31</v>
      </c>
      <c r="C2367">
        <v>42.538499999999999</v>
      </c>
      <c r="D2367" t="s">
        <v>228</v>
      </c>
      <c r="E2367">
        <v>2019</v>
      </c>
      <c r="F2367">
        <v>4</v>
      </c>
    </row>
    <row r="2368" spans="1:6" x14ac:dyDescent="0.55000000000000004">
      <c r="A2368" t="s">
        <v>102</v>
      </c>
      <c r="B2368" t="s">
        <v>32</v>
      </c>
      <c r="C2368">
        <v>933536.85699999996</v>
      </c>
      <c r="D2368" t="s">
        <v>228</v>
      </c>
      <c r="E2368">
        <v>2019</v>
      </c>
      <c r="F2368">
        <v>4</v>
      </c>
    </row>
    <row r="2369" spans="1:6" x14ac:dyDescent="0.55000000000000004">
      <c r="A2369" t="s">
        <v>102</v>
      </c>
      <c r="B2369" t="s">
        <v>33</v>
      </c>
      <c r="C2369">
        <v>598240.01760000002</v>
      </c>
      <c r="D2369" t="s">
        <v>228</v>
      </c>
      <c r="E2369">
        <v>2019</v>
      </c>
      <c r="F2369">
        <v>4</v>
      </c>
    </row>
    <row r="2370" spans="1:6" x14ac:dyDescent="0.55000000000000004">
      <c r="A2370" t="s">
        <v>102</v>
      </c>
      <c r="B2370" t="s">
        <v>34</v>
      </c>
      <c r="C2370">
        <v>505367.20120000001</v>
      </c>
      <c r="D2370" t="s">
        <v>228</v>
      </c>
      <c r="E2370">
        <v>2019</v>
      </c>
      <c r="F2370">
        <v>4</v>
      </c>
    </row>
    <row r="2371" spans="1:6" x14ac:dyDescent="0.55000000000000004">
      <c r="A2371" t="s">
        <v>102</v>
      </c>
      <c r="B2371" t="s">
        <v>35</v>
      </c>
      <c r="C2371">
        <v>547.0412</v>
      </c>
      <c r="D2371" t="s">
        <v>228</v>
      </c>
      <c r="E2371">
        <v>2019</v>
      </c>
      <c r="F2371">
        <v>4</v>
      </c>
    </row>
    <row r="2372" spans="1:6" x14ac:dyDescent="0.55000000000000004">
      <c r="A2372" t="s">
        <v>102</v>
      </c>
      <c r="B2372" t="s">
        <v>36</v>
      </c>
      <c r="C2372">
        <v>84040.6296</v>
      </c>
      <c r="D2372" t="s">
        <v>228</v>
      </c>
      <c r="E2372">
        <v>2019</v>
      </c>
      <c r="F2372">
        <v>4</v>
      </c>
    </row>
    <row r="2373" spans="1:6" x14ac:dyDescent="0.55000000000000004">
      <c r="A2373" t="s">
        <v>102</v>
      </c>
      <c r="B2373" t="s">
        <v>37</v>
      </c>
      <c r="C2373">
        <v>47475.493799999997</v>
      </c>
      <c r="D2373" t="s">
        <v>228</v>
      </c>
      <c r="E2373">
        <v>2019</v>
      </c>
      <c r="F2373">
        <v>4</v>
      </c>
    </row>
    <row r="2374" spans="1:6" x14ac:dyDescent="0.55000000000000004">
      <c r="A2374" t="s">
        <v>102</v>
      </c>
      <c r="B2374" t="s">
        <v>38</v>
      </c>
      <c r="C2374">
        <v>0</v>
      </c>
      <c r="D2374" t="s">
        <v>228</v>
      </c>
      <c r="E2374">
        <v>2019</v>
      </c>
      <c r="F2374">
        <v>4</v>
      </c>
    </row>
    <row r="2375" spans="1:6" x14ac:dyDescent="0.55000000000000004">
      <c r="A2375" t="s">
        <v>102</v>
      </c>
      <c r="B2375" t="s">
        <v>39</v>
      </c>
      <c r="C2375">
        <v>0.83330000000000004</v>
      </c>
      <c r="D2375" t="s">
        <v>228</v>
      </c>
      <c r="E2375">
        <v>2019</v>
      </c>
      <c r="F2375">
        <v>4</v>
      </c>
    </row>
    <row r="2376" spans="1:6" x14ac:dyDescent="0.55000000000000004">
      <c r="A2376" t="s">
        <v>102</v>
      </c>
      <c r="B2376" t="s">
        <v>40</v>
      </c>
      <c r="C2376">
        <v>1386.8007</v>
      </c>
      <c r="D2376" t="s">
        <v>228</v>
      </c>
      <c r="E2376">
        <v>2019</v>
      </c>
      <c r="F2376">
        <v>4</v>
      </c>
    </row>
    <row r="2377" spans="1:6" x14ac:dyDescent="0.55000000000000004">
      <c r="A2377" t="s">
        <v>102</v>
      </c>
      <c r="B2377" t="s">
        <v>41</v>
      </c>
      <c r="C2377">
        <v>298089.5722</v>
      </c>
      <c r="D2377" t="s">
        <v>228</v>
      </c>
      <c r="E2377">
        <v>2019</v>
      </c>
      <c r="F2377">
        <v>4</v>
      </c>
    </row>
    <row r="2378" spans="1:6" x14ac:dyDescent="0.55000000000000004">
      <c r="A2378" t="s">
        <v>102</v>
      </c>
      <c r="B2378" t="s">
        <v>42</v>
      </c>
      <c r="C2378">
        <v>112.89360000000001</v>
      </c>
      <c r="D2378" t="s">
        <v>228</v>
      </c>
      <c r="E2378">
        <v>2019</v>
      </c>
      <c r="F2378">
        <v>4</v>
      </c>
    </row>
    <row r="2379" spans="1:6" x14ac:dyDescent="0.55000000000000004">
      <c r="A2379" t="s">
        <v>102</v>
      </c>
      <c r="B2379" t="s">
        <v>43</v>
      </c>
      <c r="C2379">
        <v>368625.71470000001</v>
      </c>
      <c r="D2379" t="s">
        <v>228</v>
      </c>
      <c r="E2379">
        <v>2019</v>
      </c>
      <c r="F2379">
        <v>4</v>
      </c>
    </row>
    <row r="2380" spans="1:6" x14ac:dyDescent="0.55000000000000004">
      <c r="A2380" t="s">
        <v>102</v>
      </c>
      <c r="B2380" t="s">
        <v>44</v>
      </c>
      <c r="C2380">
        <v>0</v>
      </c>
      <c r="D2380" t="s">
        <v>228</v>
      </c>
      <c r="E2380">
        <v>2019</v>
      </c>
      <c r="F2380">
        <v>4</v>
      </c>
    </row>
    <row r="2381" spans="1:6" x14ac:dyDescent="0.55000000000000004">
      <c r="A2381" t="s">
        <v>102</v>
      </c>
      <c r="B2381" t="s">
        <v>45</v>
      </c>
      <c r="C2381">
        <v>2765.8117000000002</v>
      </c>
      <c r="D2381" t="s">
        <v>228</v>
      </c>
      <c r="E2381">
        <v>2019</v>
      </c>
      <c r="F2381">
        <v>4</v>
      </c>
    </row>
    <row r="2382" spans="1:6" x14ac:dyDescent="0.55000000000000004">
      <c r="A2382" t="s">
        <v>102</v>
      </c>
      <c r="B2382" t="s">
        <v>46</v>
      </c>
      <c r="C2382">
        <v>43192.33</v>
      </c>
      <c r="D2382" t="s">
        <v>228</v>
      </c>
      <c r="E2382">
        <v>2019</v>
      </c>
      <c r="F2382">
        <v>4</v>
      </c>
    </row>
    <row r="2383" spans="1:6" x14ac:dyDescent="0.55000000000000004">
      <c r="A2383" t="s">
        <v>102</v>
      </c>
      <c r="B2383" t="s">
        <v>47</v>
      </c>
      <c r="C2383">
        <v>0</v>
      </c>
      <c r="D2383" t="s">
        <v>228</v>
      </c>
      <c r="E2383">
        <v>2019</v>
      </c>
      <c r="F2383">
        <v>4</v>
      </c>
    </row>
    <row r="2384" spans="1:6" x14ac:dyDescent="0.55000000000000004">
      <c r="A2384" t="s">
        <v>102</v>
      </c>
      <c r="B2384" t="s">
        <v>48</v>
      </c>
      <c r="C2384">
        <v>58766.205499999996</v>
      </c>
      <c r="D2384" t="s">
        <v>228</v>
      </c>
      <c r="E2384">
        <v>2019</v>
      </c>
      <c r="F2384">
        <v>4</v>
      </c>
    </row>
    <row r="2385" spans="1:6" x14ac:dyDescent="0.55000000000000004">
      <c r="A2385" t="s">
        <v>102</v>
      </c>
      <c r="B2385" t="s">
        <v>49</v>
      </c>
      <c r="C2385">
        <v>838.63</v>
      </c>
      <c r="D2385" t="s">
        <v>228</v>
      </c>
      <c r="E2385">
        <v>2019</v>
      </c>
      <c r="F2385">
        <v>4</v>
      </c>
    </row>
    <row r="2386" spans="1:6" x14ac:dyDescent="0.55000000000000004">
      <c r="A2386" t="s">
        <v>102</v>
      </c>
      <c r="B2386" t="s">
        <v>50</v>
      </c>
      <c r="C2386">
        <v>19825.920300000002</v>
      </c>
      <c r="D2386" t="s">
        <v>228</v>
      </c>
      <c r="E2386">
        <v>2019</v>
      </c>
      <c r="F2386">
        <v>4</v>
      </c>
    </row>
    <row r="2387" spans="1:6" x14ac:dyDescent="0.55000000000000004">
      <c r="A2387" t="s">
        <v>102</v>
      </c>
      <c r="B2387" t="s">
        <v>51</v>
      </c>
      <c r="C2387">
        <v>1166.2637999999999</v>
      </c>
      <c r="D2387" t="s">
        <v>228</v>
      </c>
      <c r="E2387">
        <v>2019</v>
      </c>
      <c r="F2387">
        <v>4</v>
      </c>
    </row>
    <row r="2388" spans="1:6" x14ac:dyDescent="0.55000000000000004">
      <c r="A2388" t="s">
        <v>102</v>
      </c>
      <c r="B2388" t="s">
        <v>52</v>
      </c>
      <c r="C2388">
        <v>73.023399999999995</v>
      </c>
      <c r="D2388" t="s">
        <v>228</v>
      </c>
      <c r="E2388">
        <v>2019</v>
      </c>
      <c r="F2388">
        <v>4</v>
      </c>
    </row>
    <row r="2389" spans="1:6" x14ac:dyDescent="0.55000000000000004">
      <c r="A2389" t="s">
        <v>102</v>
      </c>
      <c r="B2389" t="s">
        <v>53</v>
      </c>
      <c r="C2389">
        <v>119919.54</v>
      </c>
      <c r="D2389" t="s">
        <v>228</v>
      </c>
      <c r="E2389">
        <v>2019</v>
      </c>
      <c r="F2389">
        <v>4</v>
      </c>
    </row>
    <row r="2390" spans="1:6" x14ac:dyDescent="0.55000000000000004">
      <c r="A2390" t="s">
        <v>102</v>
      </c>
      <c r="B2390" t="s">
        <v>54</v>
      </c>
      <c r="C2390">
        <v>15861.1294</v>
      </c>
      <c r="D2390" t="s">
        <v>228</v>
      </c>
      <c r="E2390">
        <v>2019</v>
      </c>
      <c r="F2390">
        <v>4</v>
      </c>
    </row>
    <row r="2391" spans="1:6" x14ac:dyDescent="0.55000000000000004">
      <c r="A2391" t="s">
        <v>102</v>
      </c>
      <c r="B2391" t="s">
        <v>55</v>
      </c>
      <c r="C2391">
        <v>1277</v>
      </c>
      <c r="D2391" t="s">
        <v>228</v>
      </c>
      <c r="E2391">
        <v>2019</v>
      </c>
      <c r="F2391">
        <v>4</v>
      </c>
    </row>
    <row r="2392" spans="1:6" x14ac:dyDescent="0.55000000000000004">
      <c r="A2392" t="s">
        <v>102</v>
      </c>
      <c r="B2392" t="s">
        <v>56</v>
      </c>
      <c r="C2392">
        <v>2898.1333</v>
      </c>
      <c r="D2392" t="s">
        <v>228</v>
      </c>
      <c r="E2392">
        <v>2019</v>
      </c>
      <c r="F2392">
        <v>4</v>
      </c>
    </row>
    <row r="2393" spans="1:6" x14ac:dyDescent="0.55000000000000004">
      <c r="A2393" t="s">
        <v>102</v>
      </c>
      <c r="B2393" t="s">
        <v>57</v>
      </c>
      <c r="C2393">
        <v>111.0117</v>
      </c>
      <c r="D2393" t="s">
        <v>228</v>
      </c>
      <c r="E2393">
        <v>2019</v>
      </c>
      <c r="F2393">
        <v>4</v>
      </c>
    </row>
    <row r="2394" spans="1:6" x14ac:dyDescent="0.55000000000000004">
      <c r="A2394" t="s">
        <v>102</v>
      </c>
      <c r="B2394" t="s">
        <v>58</v>
      </c>
      <c r="C2394">
        <v>306315</v>
      </c>
      <c r="D2394" t="s">
        <v>228</v>
      </c>
      <c r="E2394">
        <v>2019</v>
      </c>
      <c r="F2394">
        <v>4</v>
      </c>
    </row>
    <row r="2395" spans="1:6" x14ac:dyDescent="0.55000000000000004">
      <c r="A2395" t="s">
        <v>102</v>
      </c>
      <c r="B2395" t="s">
        <v>59</v>
      </c>
      <c r="C2395">
        <v>117.7238</v>
      </c>
      <c r="D2395" t="s">
        <v>228</v>
      </c>
      <c r="E2395">
        <v>2019</v>
      </c>
      <c r="F2395">
        <v>4</v>
      </c>
    </row>
    <row r="2396" spans="1:6" x14ac:dyDescent="0.55000000000000004">
      <c r="A2396" t="s">
        <v>102</v>
      </c>
      <c r="B2396" t="s">
        <v>60</v>
      </c>
      <c r="C2396">
        <v>2387493.0060000001</v>
      </c>
      <c r="D2396" t="s">
        <v>228</v>
      </c>
      <c r="E2396">
        <v>2019</v>
      </c>
      <c r="F2396">
        <v>4</v>
      </c>
    </row>
    <row r="2397" spans="1:6" x14ac:dyDescent="0.55000000000000004">
      <c r="A2397" t="s">
        <v>102</v>
      </c>
      <c r="B2397" t="s">
        <v>61</v>
      </c>
      <c r="C2397">
        <v>488.28230000000002</v>
      </c>
      <c r="D2397" t="s">
        <v>228</v>
      </c>
      <c r="E2397">
        <v>2019</v>
      </c>
      <c r="F2397">
        <v>4</v>
      </c>
    </row>
    <row r="2398" spans="1:6" x14ac:dyDescent="0.55000000000000004">
      <c r="A2398" t="s">
        <v>102</v>
      </c>
      <c r="B2398" t="s">
        <v>62</v>
      </c>
      <c r="C2398">
        <v>3978.5464000000002</v>
      </c>
      <c r="D2398" t="s">
        <v>228</v>
      </c>
      <c r="E2398">
        <v>2019</v>
      </c>
      <c r="F2398">
        <v>4</v>
      </c>
    </row>
    <row r="2399" spans="1:6" x14ac:dyDescent="0.55000000000000004">
      <c r="A2399" t="s">
        <v>102</v>
      </c>
      <c r="B2399" t="s">
        <v>63</v>
      </c>
      <c r="C2399">
        <v>1361.6713</v>
      </c>
      <c r="D2399" t="s">
        <v>228</v>
      </c>
      <c r="E2399">
        <v>2019</v>
      </c>
      <c r="F2399">
        <v>4</v>
      </c>
    </row>
    <row r="2400" spans="1:6" x14ac:dyDescent="0.55000000000000004">
      <c r="A2400" t="s">
        <v>103</v>
      </c>
      <c r="B2400" t="s">
        <v>4</v>
      </c>
      <c r="C2400">
        <v>12474452.676100001</v>
      </c>
      <c r="D2400" t="s">
        <v>229</v>
      </c>
      <c r="E2400">
        <v>2019</v>
      </c>
      <c r="F2400">
        <v>5</v>
      </c>
    </row>
    <row r="2401" spans="1:6" x14ac:dyDescent="0.55000000000000004">
      <c r="A2401" t="s">
        <v>103</v>
      </c>
      <c r="B2401" t="s">
        <v>5</v>
      </c>
      <c r="C2401">
        <v>1153784.3274000001</v>
      </c>
      <c r="D2401" t="s">
        <v>229</v>
      </c>
      <c r="E2401">
        <v>2019</v>
      </c>
      <c r="F2401">
        <v>5</v>
      </c>
    </row>
    <row r="2402" spans="1:6" x14ac:dyDescent="0.55000000000000004">
      <c r="A2402" t="s">
        <v>103</v>
      </c>
      <c r="B2402" t="s">
        <v>6</v>
      </c>
      <c r="C2402">
        <v>3070617.1433999999</v>
      </c>
      <c r="D2402" t="s">
        <v>229</v>
      </c>
      <c r="E2402">
        <v>2019</v>
      </c>
      <c r="F2402">
        <v>5</v>
      </c>
    </row>
    <row r="2403" spans="1:6" x14ac:dyDescent="0.55000000000000004">
      <c r="A2403" t="s">
        <v>103</v>
      </c>
      <c r="B2403" t="s">
        <v>7</v>
      </c>
      <c r="C2403">
        <v>3743624.9035</v>
      </c>
      <c r="D2403" t="s">
        <v>229</v>
      </c>
      <c r="E2403">
        <v>2019</v>
      </c>
      <c r="F2403">
        <v>5</v>
      </c>
    </row>
    <row r="2404" spans="1:6" x14ac:dyDescent="0.55000000000000004">
      <c r="A2404" t="s">
        <v>103</v>
      </c>
      <c r="B2404" t="s">
        <v>8</v>
      </c>
      <c r="C2404">
        <v>4506426.3017999995</v>
      </c>
      <c r="D2404" t="s">
        <v>229</v>
      </c>
      <c r="E2404">
        <v>2019</v>
      </c>
      <c r="F2404">
        <v>5</v>
      </c>
    </row>
    <row r="2405" spans="1:6" x14ac:dyDescent="0.55000000000000004">
      <c r="A2405" t="s">
        <v>103</v>
      </c>
      <c r="B2405" t="s">
        <v>9</v>
      </c>
      <c r="C2405">
        <v>0</v>
      </c>
      <c r="D2405" t="s">
        <v>229</v>
      </c>
      <c r="E2405">
        <v>2019</v>
      </c>
      <c r="F2405">
        <v>5</v>
      </c>
    </row>
    <row r="2406" spans="1:6" x14ac:dyDescent="0.55000000000000004">
      <c r="A2406" t="s">
        <v>103</v>
      </c>
      <c r="B2406" t="s">
        <v>10</v>
      </c>
      <c r="C2406">
        <v>146.37</v>
      </c>
      <c r="D2406" t="s">
        <v>229</v>
      </c>
      <c r="E2406">
        <v>2019</v>
      </c>
      <c r="F2406">
        <v>5</v>
      </c>
    </row>
    <row r="2407" spans="1:6" x14ac:dyDescent="0.55000000000000004">
      <c r="A2407" t="s">
        <v>103</v>
      </c>
      <c r="B2407" t="s">
        <v>11</v>
      </c>
      <c r="C2407">
        <v>3886596.1047999999</v>
      </c>
      <c r="D2407" t="s">
        <v>229</v>
      </c>
      <c r="E2407">
        <v>2019</v>
      </c>
      <c r="F2407">
        <v>5</v>
      </c>
    </row>
    <row r="2408" spans="1:6" x14ac:dyDescent="0.55000000000000004">
      <c r="A2408" t="s">
        <v>103</v>
      </c>
      <c r="B2408" t="s">
        <v>12</v>
      </c>
      <c r="C2408">
        <v>44103.199999999997</v>
      </c>
      <c r="D2408" t="s">
        <v>229</v>
      </c>
      <c r="E2408">
        <v>2019</v>
      </c>
      <c r="F2408">
        <v>5</v>
      </c>
    </row>
    <row r="2409" spans="1:6" x14ac:dyDescent="0.55000000000000004">
      <c r="A2409" t="s">
        <v>103</v>
      </c>
      <c r="B2409" t="s">
        <v>13</v>
      </c>
      <c r="C2409">
        <v>29000</v>
      </c>
      <c r="D2409" t="s">
        <v>229</v>
      </c>
      <c r="E2409">
        <v>2019</v>
      </c>
      <c r="F2409">
        <v>5</v>
      </c>
    </row>
    <row r="2410" spans="1:6" x14ac:dyDescent="0.55000000000000004">
      <c r="A2410" t="s">
        <v>103</v>
      </c>
      <c r="B2410" t="s">
        <v>14</v>
      </c>
      <c r="C2410">
        <v>301.67</v>
      </c>
      <c r="D2410" t="s">
        <v>229</v>
      </c>
      <c r="E2410">
        <v>2019</v>
      </c>
      <c r="F2410">
        <v>5</v>
      </c>
    </row>
    <row r="2411" spans="1:6" x14ac:dyDescent="0.55000000000000004">
      <c r="A2411" t="s">
        <v>103</v>
      </c>
      <c r="B2411" t="s">
        <v>15</v>
      </c>
      <c r="C2411">
        <v>1028467.2118</v>
      </c>
      <c r="D2411" t="s">
        <v>229</v>
      </c>
      <c r="E2411">
        <v>2019</v>
      </c>
      <c r="F2411">
        <v>5</v>
      </c>
    </row>
    <row r="2412" spans="1:6" x14ac:dyDescent="0.55000000000000004">
      <c r="A2412" t="s">
        <v>103</v>
      </c>
      <c r="B2412" t="s">
        <v>16</v>
      </c>
      <c r="C2412">
        <v>0</v>
      </c>
      <c r="D2412" t="s">
        <v>229</v>
      </c>
      <c r="E2412">
        <v>2019</v>
      </c>
      <c r="F2412">
        <v>5</v>
      </c>
    </row>
    <row r="2413" spans="1:6" x14ac:dyDescent="0.55000000000000004">
      <c r="A2413" t="s">
        <v>103</v>
      </c>
      <c r="B2413" t="s">
        <v>17</v>
      </c>
      <c r="C2413">
        <v>151181.39110000001</v>
      </c>
      <c r="D2413" t="s">
        <v>229</v>
      </c>
      <c r="E2413">
        <v>2019</v>
      </c>
      <c r="F2413">
        <v>5</v>
      </c>
    </row>
    <row r="2414" spans="1:6" x14ac:dyDescent="0.55000000000000004">
      <c r="A2414" t="s">
        <v>103</v>
      </c>
      <c r="B2414" t="s">
        <v>18</v>
      </c>
      <c r="C2414">
        <v>255980.36799999999</v>
      </c>
      <c r="D2414" t="s">
        <v>229</v>
      </c>
      <c r="E2414">
        <v>2019</v>
      </c>
      <c r="F2414">
        <v>5</v>
      </c>
    </row>
    <row r="2415" spans="1:6" x14ac:dyDescent="0.55000000000000004">
      <c r="A2415" t="s">
        <v>103</v>
      </c>
      <c r="B2415" t="s">
        <v>19</v>
      </c>
      <c r="C2415">
        <v>1349.6353999999999</v>
      </c>
      <c r="D2415" t="s">
        <v>229</v>
      </c>
      <c r="E2415">
        <v>2019</v>
      </c>
      <c r="F2415">
        <v>5</v>
      </c>
    </row>
    <row r="2416" spans="1:6" x14ac:dyDescent="0.55000000000000004">
      <c r="A2416" t="s">
        <v>103</v>
      </c>
      <c r="B2416" t="s">
        <v>20</v>
      </c>
      <c r="C2416">
        <v>31560</v>
      </c>
      <c r="D2416" t="s">
        <v>229</v>
      </c>
      <c r="E2416">
        <v>2019</v>
      </c>
      <c r="F2416">
        <v>5</v>
      </c>
    </row>
    <row r="2417" spans="1:6" x14ac:dyDescent="0.55000000000000004">
      <c r="A2417" t="s">
        <v>103</v>
      </c>
      <c r="B2417" t="s">
        <v>21</v>
      </c>
      <c r="C2417">
        <v>2114.9794999999999</v>
      </c>
      <c r="D2417" t="s">
        <v>229</v>
      </c>
      <c r="E2417">
        <v>2019</v>
      </c>
      <c r="F2417">
        <v>5</v>
      </c>
    </row>
    <row r="2418" spans="1:6" x14ac:dyDescent="0.55000000000000004">
      <c r="A2418" t="s">
        <v>103</v>
      </c>
      <c r="B2418" t="s">
        <v>22</v>
      </c>
      <c r="C2418">
        <v>40566.141799999998</v>
      </c>
      <c r="D2418" t="s">
        <v>229</v>
      </c>
      <c r="E2418">
        <v>2019</v>
      </c>
      <c r="F2418">
        <v>5</v>
      </c>
    </row>
    <row r="2419" spans="1:6" x14ac:dyDescent="0.55000000000000004">
      <c r="A2419" t="s">
        <v>103</v>
      </c>
      <c r="B2419" t="s">
        <v>23</v>
      </c>
      <c r="C2419">
        <v>69025.753899999996</v>
      </c>
      <c r="D2419" t="s">
        <v>229</v>
      </c>
      <c r="E2419">
        <v>2019</v>
      </c>
      <c r="F2419">
        <v>5</v>
      </c>
    </row>
    <row r="2420" spans="1:6" x14ac:dyDescent="0.55000000000000004">
      <c r="A2420" t="s">
        <v>103</v>
      </c>
      <c r="B2420" t="s">
        <v>24</v>
      </c>
      <c r="C2420">
        <v>0</v>
      </c>
      <c r="D2420" t="s">
        <v>229</v>
      </c>
      <c r="E2420">
        <v>2019</v>
      </c>
      <c r="F2420">
        <v>5</v>
      </c>
    </row>
    <row r="2421" spans="1:6" x14ac:dyDescent="0.55000000000000004">
      <c r="A2421" t="s">
        <v>103</v>
      </c>
      <c r="B2421" t="s">
        <v>25</v>
      </c>
      <c r="C2421">
        <v>353283.9167</v>
      </c>
      <c r="D2421" t="s">
        <v>229</v>
      </c>
      <c r="E2421">
        <v>2019</v>
      </c>
      <c r="F2421">
        <v>5</v>
      </c>
    </row>
    <row r="2422" spans="1:6" x14ac:dyDescent="0.55000000000000004">
      <c r="A2422" t="s">
        <v>103</v>
      </c>
      <c r="B2422" t="s">
        <v>26</v>
      </c>
      <c r="C2422">
        <v>0</v>
      </c>
      <c r="D2422" t="s">
        <v>229</v>
      </c>
      <c r="E2422">
        <v>2019</v>
      </c>
      <c r="F2422">
        <v>5</v>
      </c>
    </row>
    <row r="2423" spans="1:6" x14ac:dyDescent="0.55000000000000004">
      <c r="A2423" t="s">
        <v>103</v>
      </c>
      <c r="B2423" t="s">
        <v>27</v>
      </c>
      <c r="C2423">
        <v>1287.7453</v>
      </c>
      <c r="D2423" t="s">
        <v>229</v>
      </c>
      <c r="E2423">
        <v>2019</v>
      </c>
      <c r="F2423">
        <v>5</v>
      </c>
    </row>
    <row r="2424" spans="1:6" x14ac:dyDescent="0.55000000000000004">
      <c r="A2424" t="s">
        <v>103</v>
      </c>
      <c r="B2424" t="s">
        <v>28</v>
      </c>
      <c r="C2424">
        <v>511312.38209999999</v>
      </c>
      <c r="D2424" t="s">
        <v>229</v>
      </c>
      <c r="E2424">
        <v>2019</v>
      </c>
      <c r="F2424">
        <v>5</v>
      </c>
    </row>
    <row r="2425" spans="1:6" x14ac:dyDescent="0.55000000000000004">
      <c r="A2425" t="s">
        <v>103</v>
      </c>
      <c r="B2425" t="s">
        <v>29</v>
      </c>
      <c r="C2425">
        <v>4762.7118</v>
      </c>
      <c r="D2425" t="s">
        <v>229</v>
      </c>
      <c r="E2425">
        <v>2019</v>
      </c>
      <c r="F2425">
        <v>5</v>
      </c>
    </row>
    <row r="2426" spans="1:6" x14ac:dyDescent="0.55000000000000004">
      <c r="A2426" t="s">
        <v>103</v>
      </c>
      <c r="B2426" t="s">
        <v>30</v>
      </c>
      <c r="C2426">
        <v>39.039700000000003</v>
      </c>
      <c r="D2426" t="s">
        <v>229</v>
      </c>
      <c r="E2426">
        <v>2019</v>
      </c>
      <c r="F2426">
        <v>5</v>
      </c>
    </row>
    <row r="2427" spans="1:6" x14ac:dyDescent="0.55000000000000004">
      <c r="A2427" t="s">
        <v>103</v>
      </c>
      <c r="B2427" t="s">
        <v>31</v>
      </c>
      <c r="C2427">
        <v>413.25920000000002</v>
      </c>
      <c r="D2427" t="s">
        <v>229</v>
      </c>
      <c r="E2427">
        <v>2019</v>
      </c>
      <c r="F2427">
        <v>5</v>
      </c>
    </row>
    <row r="2428" spans="1:6" x14ac:dyDescent="0.55000000000000004">
      <c r="A2428" t="s">
        <v>103</v>
      </c>
      <c r="B2428" t="s">
        <v>32</v>
      </c>
      <c r="C2428">
        <v>922396.76100000006</v>
      </c>
      <c r="D2428" t="s">
        <v>229</v>
      </c>
      <c r="E2428">
        <v>2019</v>
      </c>
      <c r="F2428">
        <v>5</v>
      </c>
    </row>
    <row r="2429" spans="1:6" x14ac:dyDescent="0.55000000000000004">
      <c r="A2429" t="s">
        <v>103</v>
      </c>
      <c r="B2429" t="s">
        <v>33</v>
      </c>
      <c r="C2429">
        <v>624740.14500000002</v>
      </c>
      <c r="D2429" t="s">
        <v>229</v>
      </c>
      <c r="E2429">
        <v>2019</v>
      </c>
      <c r="F2429">
        <v>5</v>
      </c>
    </row>
    <row r="2430" spans="1:6" x14ac:dyDescent="0.55000000000000004">
      <c r="A2430" t="s">
        <v>103</v>
      </c>
      <c r="B2430" t="s">
        <v>34</v>
      </c>
      <c r="C2430">
        <v>559756.11780000001</v>
      </c>
      <c r="D2430" t="s">
        <v>229</v>
      </c>
      <c r="E2430">
        <v>2019</v>
      </c>
      <c r="F2430">
        <v>5</v>
      </c>
    </row>
    <row r="2431" spans="1:6" x14ac:dyDescent="0.55000000000000004">
      <c r="A2431" t="s">
        <v>103</v>
      </c>
      <c r="B2431" t="s">
        <v>35</v>
      </c>
      <c r="C2431">
        <v>551.22839999999997</v>
      </c>
      <c r="D2431" t="s">
        <v>229</v>
      </c>
      <c r="E2431">
        <v>2019</v>
      </c>
      <c r="F2431">
        <v>5</v>
      </c>
    </row>
    <row r="2432" spans="1:6" x14ac:dyDescent="0.55000000000000004">
      <c r="A2432" t="s">
        <v>103</v>
      </c>
      <c r="B2432" t="s">
        <v>36</v>
      </c>
      <c r="C2432">
        <v>78800.406600000002</v>
      </c>
      <c r="D2432" t="s">
        <v>229</v>
      </c>
      <c r="E2432">
        <v>2019</v>
      </c>
      <c r="F2432">
        <v>5</v>
      </c>
    </row>
    <row r="2433" spans="1:6" x14ac:dyDescent="0.55000000000000004">
      <c r="A2433" t="s">
        <v>103</v>
      </c>
      <c r="B2433" t="s">
        <v>37</v>
      </c>
      <c r="C2433">
        <v>72328.074500000002</v>
      </c>
      <c r="D2433" t="s">
        <v>229</v>
      </c>
      <c r="E2433">
        <v>2019</v>
      </c>
      <c r="F2433">
        <v>5</v>
      </c>
    </row>
    <row r="2434" spans="1:6" x14ac:dyDescent="0.55000000000000004">
      <c r="A2434" t="s">
        <v>103</v>
      </c>
      <c r="B2434" t="s">
        <v>38</v>
      </c>
      <c r="C2434">
        <v>0</v>
      </c>
      <c r="D2434" t="s">
        <v>229</v>
      </c>
      <c r="E2434">
        <v>2019</v>
      </c>
      <c r="F2434">
        <v>5</v>
      </c>
    </row>
    <row r="2435" spans="1:6" x14ac:dyDescent="0.55000000000000004">
      <c r="A2435" t="s">
        <v>103</v>
      </c>
      <c r="B2435" t="s">
        <v>39</v>
      </c>
      <c r="C2435">
        <v>0.3538</v>
      </c>
      <c r="D2435" t="s">
        <v>229</v>
      </c>
      <c r="E2435">
        <v>2019</v>
      </c>
      <c r="F2435">
        <v>5</v>
      </c>
    </row>
    <row r="2436" spans="1:6" x14ac:dyDescent="0.55000000000000004">
      <c r="A2436" t="s">
        <v>103</v>
      </c>
      <c r="B2436" t="s">
        <v>40</v>
      </c>
      <c r="C2436">
        <v>1224.808</v>
      </c>
      <c r="D2436" t="s">
        <v>229</v>
      </c>
      <c r="E2436">
        <v>2019</v>
      </c>
      <c r="F2436">
        <v>5</v>
      </c>
    </row>
    <row r="2437" spans="1:6" x14ac:dyDescent="0.55000000000000004">
      <c r="A2437" t="s">
        <v>103</v>
      </c>
      <c r="B2437" t="s">
        <v>41</v>
      </c>
      <c r="C2437">
        <v>283343.86170000001</v>
      </c>
      <c r="D2437" t="s">
        <v>229</v>
      </c>
      <c r="E2437">
        <v>2019</v>
      </c>
      <c r="F2437">
        <v>5</v>
      </c>
    </row>
    <row r="2438" spans="1:6" x14ac:dyDescent="0.55000000000000004">
      <c r="A2438" t="s">
        <v>103</v>
      </c>
      <c r="B2438" t="s">
        <v>42</v>
      </c>
      <c r="C2438">
        <v>141.67400000000001</v>
      </c>
      <c r="D2438" t="s">
        <v>229</v>
      </c>
      <c r="E2438">
        <v>2019</v>
      </c>
      <c r="F2438">
        <v>5</v>
      </c>
    </row>
    <row r="2439" spans="1:6" x14ac:dyDescent="0.55000000000000004">
      <c r="A2439" t="s">
        <v>103</v>
      </c>
      <c r="B2439" t="s">
        <v>43</v>
      </c>
      <c r="C2439">
        <v>417908.9117</v>
      </c>
      <c r="D2439" t="s">
        <v>229</v>
      </c>
      <c r="E2439">
        <v>2019</v>
      </c>
      <c r="F2439">
        <v>5</v>
      </c>
    </row>
    <row r="2440" spans="1:6" x14ac:dyDescent="0.55000000000000004">
      <c r="A2440" t="s">
        <v>103</v>
      </c>
      <c r="B2440" t="s">
        <v>44</v>
      </c>
      <c r="C2440">
        <v>0</v>
      </c>
      <c r="D2440" t="s">
        <v>229</v>
      </c>
      <c r="E2440">
        <v>2019</v>
      </c>
      <c r="F2440">
        <v>5</v>
      </c>
    </row>
    <row r="2441" spans="1:6" x14ac:dyDescent="0.55000000000000004">
      <c r="A2441" t="s">
        <v>103</v>
      </c>
      <c r="B2441" t="s">
        <v>45</v>
      </c>
      <c r="C2441">
        <v>7262.0598</v>
      </c>
      <c r="D2441" t="s">
        <v>229</v>
      </c>
      <c r="E2441">
        <v>2019</v>
      </c>
      <c r="F2441">
        <v>5</v>
      </c>
    </row>
    <row r="2442" spans="1:6" x14ac:dyDescent="0.55000000000000004">
      <c r="A2442" t="s">
        <v>103</v>
      </c>
      <c r="B2442" t="s">
        <v>46</v>
      </c>
      <c r="C2442">
        <v>78233.069799999997</v>
      </c>
      <c r="D2442" t="s">
        <v>229</v>
      </c>
      <c r="E2442">
        <v>2019</v>
      </c>
      <c r="F2442">
        <v>5</v>
      </c>
    </row>
    <row r="2443" spans="1:6" x14ac:dyDescent="0.55000000000000004">
      <c r="A2443" t="s">
        <v>103</v>
      </c>
      <c r="B2443" t="s">
        <v>47</v>
      </c>
      <c r="C2443">
        <v>0</v>
      </c>
      <c r="D2443" t="s">
        <v>229</v>
      </c>
      <c r="E2443">
        <v>2019</v>
      </c>
      <c r="F2443">
        <v>5</v>
      </c>
    </row>
    <row r="2444" spans="1:6" x14ac:dyDescent="0.55000000000000004">
      <c r="A2444" t="s">
        <v>103</v>
      </c>
      <c r="B2444" t="s">
        <v>48</v>
      </c>
      <c r="C2444">
        <v>82803.052599999995</v>
      </c>
      <c r="D2444" t="s">
        <v>229</v>
      </c>
      <c r="E2444">
        <v>2019</v>
      </c>
      <c r="F2444">
        <v>5</v>
      </c>
    </row>
    <row r="2445" spans="1:6" x14ac:dyDescent="0.55000000000000004">
      <c r="A2445" t="s">
        <v>103</v>
      </c>
      <c r="B2445" t="s">
        <v>49</v>
      </c>
      <c r="C2445">
        <v>788.97</v>
      </c>
      <c r="D2445" t="s">
        <v>229</v>
      </c>
      <c r="E2445">
        <v>2019</v>
      </c>
      <c r="F2445">
        <v>5</v>
      </c>
    </row>
    <row r="2446" spans="1:6" x14ac:dyDescent="0.55000000000000004">
      <c r="A2446" t="s">
        <v>103</v>
      </c>
      <c r="B2446" t="s">
        <v>50</v>
      </c>
      <c r="C2446">
        <v>25923.429400000001</v>
      </c>
      <c r="D2446" t="s">
        <v>229</v>
      </c>
      <c r="E2446">
        <v>2019</v>
      </c>
      <c r="F2446">
        <v>5</v>
      </c>
    </row>
    <row r="2447" spans="1:6" x14ac:dyDescent="0.55000000000000004">
      <c r="A2447" t="s">
        <v>103</v>
      </c>
      <c r="B2447" t="s">
        <v>51</v>
      </c>
      <c r="C2447">
        <v>1742.9338</v>
      </c>
      <c r="D2447" t="s">
        <v>229</v>
      </c>
      <c r="E2447">
        <v>2019</v>
      </c>
      <c r="F2447">
        <v>5</v>
      </c>
    </row>
    <row r="2448" spans="1:6" x14ac:dyDescent="0.55000000000000004">
      <c r="A2448" t="s">
        <v>103</v>
      </c>
      <c r="B2448" t="s">
        <v>52</v>
      </c>
      <c r="C2448">
        <v>62.632300000000001</v>
      </c>
      <c r="D2448" t="s">
        <v>229</v>
      </c>
      <c r="E2448">
        <v>2019</v>
      </c>
      <c r="F2448">
        <v>5</v>
      </c>
    </row>
    <row r="2449" spans="1:6" x14ac:dyDescent="0.55000000000000004">
      <c r="A2449" t="s">
        <v>103</v>
      </c>
      <c r="B2449" t="s">
        <v>53</v>
      </c>
      <c r="C2449">
        <v>66139.038</v>
      </c>
      <c r="D2449" t="s">
        <v>229</v>
      </c>
      <c r="E2449">
        <v>2019</v>
      </c>
      <c r="F2449">
        <v>5</v>
      </c>
    </row>
    <row r="2450" spans="1:6" x14ac:dyDescent="0.55000000000000004">
      <c r="A2450" t="s">
        <v>103</v>
      </c>
      <c r="B2450" t="s">
        <v>54</v>
      </c>
      <c r="C2450">
        <v>19942.053100000001</v>
      </c>
      <c r="D2450" t="s">
        <v>229</v>
      </c>
      <c r="E2450">
        <v>2019</v>
      </c>
      <c r="F2450">
        <v>5</v>
      </c>
    </row>
    <row r="2451" spans="1:6" x14ac:dyDescent="0.55000000000000004">
      <c r="A2451" t="s">
        <v>103</v>
      </c>
      <c r="B2451" t="s">
        <v>55</v>
      </c>
      <c r="C2451">
        <v>5284</v>
      </c>
      <c r="D2451" t="s">
        <v>229</v>
      </c>
      <c r="E2451">
        <v>2019</v>
      </c>
      <c r="F2451">
        <v>5</v>
      </c>
    </row>
    <row r="2452" spans="1:6" x14ac:dyDescent="0.55000000000000004">
      <c r="A2452" t="s">
        <v>103</v>
      </c>
      <c r="B2452" t="s">
        <v>56</v>
      </c>
      <c r="C2452">
        <v>2252.8667</v>
      </c>
      <c r="D2452" t="s">
        <v>229</v>
      </c>
      <c r="E2452">
        <v>2019</v>
      </c>
      <c r="F2452">
        <v>5</v>
      </c>
    </row>
    <row r="2453" spans="1:6" x14ac:dyDescent="0.55000000000000004">
      <c r="A2453" t="s">
        <v>103</v>
      </c>
      <c r="B2453" t="s">
        <v>57</v>
      </c>
      <c r="C2453">
        <v>930.17439999999999</v>
      </c>
      <c r="D2453" t="s">
        <v>229</v>
      </c>
      <c r="E2453">
        <v>2019</v>
      </c>
      <c r="F2453">
        <v>5</v>
      </c>
    </row>
    <row r="2454" spans="1:6" x14ac:dyDescent="0.55000000000000004">
      <c r="A2454" t="s">
        <v>103</v>
      </c>
      <c r="B2454" t="s">
        <v>58</v>
      </c>
      <c r="C2454">
        <v>348632</v>
      </c>
      <c r="D2454" t="s">
        <v>229</v>
      </c>
      <c r="E2454">
        <v>2019</v>
      </c>
      <c r="F2454">
        <v>5</v>
      </c>
    </row>
    <row r="2455" spans="1:6" x14ac:dyDescent="0.55000000000000004">
      <c r="A2455" t="s">
        <v>103</v>
      </c>
      <c r="B2455" t="s">
        <v>59</v>
      </c>
      <c r="C2455">
        <v>28701.078600000001</v>
      </c>
      <c r="D2455" t="s">
        <v>229</v>
      </c>
      <c r="E2455">
        <v>2019</v>
      </c>
      <c r="F2455">
        <v>5</v>
      </c>
    </row>
    <row r="2456" spans="1:6" x14ac:dyDescent="0.55000000000000004">
      <c r="A2456" t="s">
        <v>103</v>
      </c>
      <c r="B2456" t="s">
        <v>60</v>
      </c>
      <c r="C2456">
        <v>2429876.4698000001</v>
      </c>
      <c r="D2456" t="s">
        <v>229</v>
      </c>
      <c r="E2456">
        <v>2019</v>
      </c>
      <c r="F2456">
        <v>5</v>
      </c>
    </row>
    <row r="2457" spans="1:6" x14ac:dyDescent="0.55000000000000004">
      <c r="A2457" t="s">
        <v>103</v>
      </c>
      <c r="B2457" t="s">
        <v>61</v>
      </c>
      <c r="C2457">
        <v>850.73500000000001</v>
      </c>
      <c r="D2457" t="s">
        <v>229</v>
      </c>
      <c r="E2457">
        <v>2019</v>
      </c>
      <c r="F2457">
        <v>5</v>
      </c>
    </row>
    <row r="2458" spans="1:6" x14ac:dyDescent="0.55000000000000004">
      <c r="A2458" t="s">
        <v>103</v>
      </c>
      <c r="B2458" t="s">
        <v>62</v>
      </c>
      <c r="C2458">
        <v>1993.8892000000001</v>
      </c>
      <c r="D2458" t="s">
        <v>229</v>
      </c>
      <c r="E2458">
        <v>2019</v>
      </c>
      <c r="F2458">
        <v>5</v>
      </c>
    </row>
    <row r="2459" spans="1:6" x14ac:dyDescent="0.55000000000000004">
      <c r="A2459" t="s">
        <v>103</v>
      </c>
      <c r="B2459" t="s">
        <v>63</v>
      </c>
      <c r="C2459">
        <v>350</v>
      </c>
      <c r="D2459" t="s">
        <v>229</v>
      </c>
      <c r="E2459">
        <v>2019</v>
      </c>
      <c r="F2459">
        <v>5</v>
      </c>
    </row>
    <row r="2460" spans="1:6" x14ac:dyDescent="0.55000000000000004">
      <c r="A2460" t="s">
        <v>104</v>
      </c>
      <c r="B2460" t="s">
        <v>4</v>
      </c>
      <c r="C2460">
        <v>11148177.982100001</v>
      </c>
      <c r="D2460" t="s">
        <v>230</v>
      </c>
      <c r="E2460">
        <v>2019</v>
      </c>
      <c r="F2460">
        <v>6</v>
      </c>
    </row>
    <row r="2461" spans="1:6" x14ac:dyDescent="0.55000000000000004">
      <c r="A2461" t="s">
        <v>104</v>
      </c>
      <c r="B2461" t="s">
        <v>5</v>
      </c>
      <c r="C2461">
        <v>1218303.7786999999</v>
      </c>
      <c r="D2461" t="s">
        <v>230</v>
      </c>
      <c r="E2461">
        <v>2019</v>
      </c>
      <c r="F2461">
        <v>6</v>
      </c>
    </row>
    <row r="2462" spans="1:6" x14ac:dyDescent="0.55000000000000004">
      <c r="A2462" t="s">
        <v>104</v>
      </c>
      <c r="B2462" t="s">
        <v>6</v>
      </c>
      <c r="C2462">
        <v>2909383.6982999998</v>
      </c>
      <c r="D2462" t="s">
        <v>230</v>
      </c>
      <c r="E2462">
        <v>2019</v>
      </c>
      <c r="F2462">
        <v>6</v>
      </c>
    </row>
    <row r="2463" spans="1:6" x14ac:dyDescent="0.55000000000000004">
      <c r="A2463" t="s">
        <v>104</v>
      </c>
      <c r="B2463" t="s">
        <v>7</v>
      </c>
      <c r="C2463">
        <v>3012499.3428000002</v>
      </c>
      <c r="D2463" t="s">
        <v>230</v>
      </c>
      <c r="E2463">
        <v>2019</v>
      </c>
      <c r="F2463">
        <v>6</v>
      </c>
    </row>
    <row r="2464" spans="1:6" x14ac:dyDescent="0.55000000000000004">
      <c r="A2464" t="s">
        <v>104</v>
      </c>
      <c r="B2464" t="s">
        <v>8</v>
      </c>
      <c r="C2464">
        <v>4007991.1623</v>
      </c>
      <c r="D2464" t="s">
        <v>230</v>
      </c>
      <c r="E2464">
        <v>2019</v>
      </c>
      <c r="F2464">
        <v>6</v>
      </c>
    </row>
    <row r="2465" spans="1:6" x14ac:dyDescent="0.55000000000000004">
      <c r="A2465" t="s">
        <v>104</v>
      </c>
      <c r="B2465" t="s">
        <v>9</v>
      </c>
      <c r="C2465">
        <v>1032.7888</v>
      </c>
      <c r="D2465" t="s">
        <v>230</v>
      </c>
      <c r="E2465">
        <v>2019</v>
      </c>
      <c r="F2465">
        <v>6</v>
      </c>
    </row>
    <row r="2466" spans="1:6" x14ac:dyDescent="0.55000000000000004">
      <c r="A2466" t="s">
        <v>104</v>
      </c>
      <c r="B2466" t="s">
        <v>10</v>
      </c>
      <c r="C2466">
        <v>3.1667000000000001</v>
      </c>
      <c r="D2466" t="s">
        <v>230</v>
      </c>
      <c r="E2466">
        <v>2019</v>
      </c>
      <c r="F2466">
        <v>6</v>
      </c>
    </row>
    <row r="2467" spans="1:6" x14ac:dyDescent="0.55000000000000004">
      <c r="A2467" t="s">
        <v>104</v>
      </c>
      <c r="B2467" t="s">
        <v>11</v>
      </c>
      <c r="C2467">
        <v>3102695.8480000002</v>
      </c>
      <c r="D2467" t="s">
        <v>230</v>
      </c>
      <c r="E2467">
        <v>2019</v>
      </c>
      <c r="F2467">
        <v>6</v>
      </c>
    </row>
    <row r="2468" spans="1:6" x14ac:dyDescent="0.55000000000000004">
      <c r="A2468" t="s">
        <v>104</v>
      </c>
      <c r="B2468" t="s">
        <v>12</v>
      </c>
      <c r="C2468">
        <v>25220.256399999998</v>
      </c>
      <c r="D2468" t="s">
        <v>230</v>
      </c>
      <c r="E2468">
        <v>2019</v>
      </c>
      <c r="F2468">
        <v>6</v>
      </c>
    </row>
    <row r="2469" spans="1:6" x14ac:dyDescent="0.55000000000000004">
      <c r="A2469" t="s">
        <v>104</v>
      </c>
      <c r="B2469" t="s">
        <v>13</v>
      </c>
      <c r="C2469">
        <v>6612</v>
      </c>
      <c r="D2469" t="s">
        <v>230</v>
      </c>
      <c r="E2469">
        <v>2019</v>
      </c>
      <c r="F2469">
        <v>6</v>
      </c>
    </row>
    <row r="2470" spans="1:6" x14ac:dyDescent="0.55000000000000004">
      <c r="A2470" t="s">
        <v>104</v>
      </c>
      <c r="B2470" t="s">
        <v>14</v>
      </c>
      <c r="C2470">
        <v>0</v>
      </c>
      <c r="D2470" t="s">
        <v>230</v>
      </c>
      <c r="E2470">
        <v>2019</v>
      </c>
      <c r="F2470">
        <v>6</v>
      </c>
    </row>
    <row r="2471" spans="1:6" x14ac:dyDescent="0.55000000000000004">
      <c r="A2471" t="s">
        <v>104</v>
      </c>
      <c r="B2471" t="s">
        <v>15</v>
      </c>
      <c r="C2471">
        <v>1110815.8836999999</v>
      </c>
      <c r="D2471" t="s">
        <v>230</v>
      </c>
      <c r="E2471">
        <v>2019</v>
      </c>
      <c r="F2471">
        <v>6</v>
      </c>
    </row>
    <row r="2472" spans="1:6" x14ac:dyDescent="0.55000000000000004">
      <c r="A2472" t="s">
        <v>104</v>
      </c>
      <c r="B2472" t="s">
        <v>16</v>
      </c>
      <c r="C2472">
        <v>0</v>
      </c>
      <c r="D2472" t="s">
        <v>230</v>
      </c>
      <c r="E2472">
        <v>2019</v>
      </c>
      <c r="F2472">
        <v>6</v>
      </c>
    </row>
    <row r="2473" spans="1:6" x14ac:dyDescent="0.55000000000000004">
      <c r="A2473" t="s">
        <v>104</v>
      </c>
      <c r="B2473" t="s">
        <v>17</v>
      </c>
      <c r="C2473">
        <v>136462.54800000001</v>
      </c>
      <c r="D2473" t="s">
        <v>230</v>
      </c>
      <c r="E2473">
        <v>2019</v>
      </c>
      <c r="F2473">
        <v>6</v>
      </c>
    </row>
    <row r="2474" spans="1:6" x14ac:dyDescent="0.55000000000000004">
      <c r="A2474" t="s">
        <v>104</v>
      </c>
      <c r="B2474" t="s">
        <v>18</v>
      </c>
      <c r="C2474">
        <v>147393.1171</v>
      </c>
      <c r="D2474" t="s">
        <v>230</v>
      </c>
      <c r="E2474">
        <v>2019</v>
      </c>
      <c r="F2474">
        <v>6</v>
      </c>
    </row>
    <row r="2475" spans="1:6" x14ac:dyDescent="0.55000000000000004">
      <c r="A2475" t="s">
        <v>104</v>
      </c>
      <c r="B2475" t="s">
        <v>19</v>
      </c>
      <c r="C2475">
        <v>1349.6353999999999</v>
      </c>
      <c r="D2475" t="s">
        <v>230</v>
      </c>
      <c r="E2475">
        <v>2019</v>
      </c>
      <c r="F2475">
        <v>6</v>
      </c>
    </row>
    <row r="2476" spans="1:6" x14ac:dyDescent="0.55000000000000004">
      <c r="A2476" t="s">
        <v>104</v>
      </c>
      <c r="B2476" t="s">
        <v>20</v>
      </c>
      <c r="C2476">
        <v>15530</v>
      </c>
      <c r="D2476" t="s">
        <v>230</v>
      </c>
      <c r="E2476">
        <v>2019</v>
      </c>
      <c r="F2476">
        <v>6</v>
      </c>
    </row>
    <row r="2477" spans="1:6" x14ac:dyDescent="0.55000000000000004">
      <c r="A2477" t="s">
        <v>104</v>
      </c>
      <c r="B2477" t="s">
        <v>21</v>
      </c>
      <c r="C2477">
        <v>2756.9077000000002</v>
      </c>
      <c r="D2477" t="s">
        <v>230</v>
      </c>
      <c r="E2477">
        <v>2019</v>
      </c>
      <c r="F2477">
        <v>6</v>
      </c>
    </row>
    <row r="2478" spans="1:6" x14ac:dyDescent="0.55000000000000004">
      <c r="A2478" t="s">
        <v>104</v>
      </c>
      <c r="B2478" t="s">
        <v>22</v>
      </c>
      <c r="C2478">
        <v>37241.542000000001</v>
      </c>
      <c r="D2478" t="s">
        <v>230</v>
      </c>
      <c r="E2478">
        <v>2019</v>
      </c>
      <c r="F2478">
        <v>6</v>
      </c>
    </row>
    <row r="2479" spans="1:6" x14ac:dyDescent="0.55000000000000004">
      <c r="A2479" t="s">
        <v>104</v>
      </c>
      <c r="B2479" t="s">
        <v>23</v>
      </c>
      <c r="C2479">
        <v>72410.915099999998</v>
      </c>
      <c r="D2479" t="s">
        <v>230</v>
      </c>
      <c r="E2479">
        <v>2019</v>
      </c>
      <c r="F2479">
        <v>6</v>
      </c>
    </row>
    <row r="2480" spans="1:6" x14ac:dyDescent="0.55000000000000004">
      <c r="A2480" t="s">
        <v>104</v>
      </c>
      <c r="B2480" t="s">
        <v>24</v>
      </c>
      <c r="C2480">
        <v>0</v>
      </c>
      <c r="D2480" t="s">
        <v>230</v>
      </c>
      <c r="E2480">
        <v>2019</v>
      </c>
      <c r="F2480">
        <v>6</v>
      </c>
    </row>
    <row r="2481" spans="1:6" x14ac:dyDescent="0.55000000000000004">
      <c r="A2481" t="s">
        <v>104</v>
      </c>
      <c r="B2481" t="s">
        <v>25</v>
      </c>
      <c r="C2481">
        <v>411558.25</v>
      </c>
      <c r="D2481" t="s">
        <v>230</v>
      </c>
      <c r="E2481">
        <v>2019</v>
      </c>
      <c r="F2481">
        <v>6</v>
      </c>
    </row>
    <row r="2482" spans="1:6" x14ac:dyDescent="0.55000000000000004">
      <c r="A2482" t="s">
        <v>104</v>
      </c>
      <c r="B2482" t="s">
        <v>26</v>
      </c>
      <c r="C2482">
        <v>0</v>
      </c>
      <c r="D2482" t="s">
        <v>230</v>
      </c>
      <c r="E2482">
        <v>2019</v>
      </c>
      <c r="F2482">
        <v>6</v>
      </c>
    </row>
    <row r="2483" spans="1:6" x14ac:dyDescent="0.55000000000000004">
      <c r="A2483" t="s">
        <v>104</v>
      </c>
      <c r="B2483" t="s">
        <v>27</v>
      </c>
      <c r="C2483">
        <v>748.85329999999999</v>
      </c>
      <c r="D2483" t="s">
        <v>230</v>
      </c>
      <c r="E2483">
        <v>2019</v>
      </c>
      <c r="F2483">
        <v>6</v>
      </c>
    </row>
    <row r="2484" spans="1:6" x14ac:dyDescent="0.55000000000000004">
      <c r="A2484" t="s">
        <v>104</v>
      </c>
      <c r="B2484" t="s">
        <v>28</v>
      </c>
      <c r="C2484">
        <v>471147.78</v>
      </c>
      <c r="D2484" t="s">
        <v>230</v>
      </c>
      <c r="E2484">
        <v>2019</v>
      </c>
      <c r="F2484">
        <v>6</v>
      </c>
    </row>
    <row r="2485" spans="1:6" x14ac:dyDescent="0.55000000000000004">
      <c r="A2485" t="s">
        <v>104</v>
      </c>
      <c r="B2485" t="s">
        <v>29</v>
      </c>
      <c r="C2485">
        <v>6402.9318000000003</v>
      </c>
      <c r="D2485" t="s">
        <v>230</v>
      </c>
      <c r="E2485">
        <v>2019</v>
      </c>
      <c r="F2485">
        <v>6</v>
      </c>
    </row>
    <row r="2486" spans="1:6" x14ac:dyDescent="0.55000000000000004">
      <c r="A2486" t="s">
        <v>104</v>
      </c>
      <c r="B2486" t="s">
        <v>30</v>
      </c>
      <c r="C2486">
        <v>28.3233</v>
      </c>
      <c r="D2486" t="s">
        <v>230</v>
      </c>
      <c r="E2486">
        <v>2019</v>
      </c>
      <c r="F2486">
        <v>6</v>
      </c>
    </row>
    <row r="2487" spans="1:6" x14ac:dyDescent="0.55000000000000004">
      <c r="A2487" t="s">
        <v>104</v>
      </c>
      <c r="B2487" t="s">
        <v>31</v>
      </c>
      <c r="C2487">
        <v>34.529499999999999</v>
      </c>
      <c r="D2487" t="s">
        <v>230</v>
      </c>
      <c r="E2487">
        <v>2019</v>
      </c>
      <c r="F2487">
        <v>6</v>
      </c>
    </row>
    <row r="2488" spans="1:6" x14ac:dyDescent="0.55000000000000004">
      <c r="A2488" t="s">
        <v>104</v>
      </c>
      <c r="B2488" t="s">
        <v>32</v>
      </c>
      <c r="C2488">
        <v>926003.86629999999</v>
      </c>
      <c r="D2488" t="s">
        <v>230</v>
      </c>
      <c r="E2488">
        <v>2019</v>
      </c>
      <c r="F2488">
        <v>6</v>
      </c>
    </row>
    <row r="2489" spans="1:6" x14ac:dyDescent="0.55000000000000004">
      <c r="A2489" t="s">
        <v>104</v>
      </c>
      <c r="B2489" t="s">
        <v>33</v>
      </c>
      <c r="C2489">
        <v>513956.8382</v>
      </c>
      <c r="D2489" t="s">
        <v>230</v>
      </c>
      <c r="E2489">
        <v>2019</v>
      </c>
      <c r="F2489">
        <v>6</v>
      </c>
    </row>
    <row r="2490" spans="1:6" x14ac:dyDescent="0.55000000000000004">
      <c r="A2490" t="s">
        <v>104</v>
      </c>
      <c r="B2490" t="s">
        <v>34</v>
      </c>
      <c r="C2490">
        <v>343499.63339999999</v>
      </c>
      <c r="D2490" t="s">
        <v>230</v>
      </c>
      <c r="E2490">
        <v>2019</v>
      </c>
      <c r="F2490">
        <v>6</v>
      </c>
    </row>
    <row r="2491" spans="1:6" x14ac:dyDescent="0.55000000000000004">
      <c r="A2491" t="s">
        <v>104</v>
      </c>
      <c r="B2491" t="s">
        <v>35</v>
      </c>
      <c r="C2491">
        <v>1049.8426999999999</v>
      </c>
      <c r="D2491" t="s">
        <v>230</v>
      </c>
      <c r="E2491">
        <v>2019</v>
      </c>
      <c r="F2491">
        <v>6</v>
      </c>
    </row>
    <row r="2492" spans="1:6" x14ac:dyDescent="0.55000000000000004">
      <c r="A2492" t="s">
        <v>104</v>
      </c>
      <c r="B2492" t="s">
        <v>36</v>
      </c>
      <c r="C2492">
        <v>83732.744999999995</v>
      </c>
      <c r="D2492" t="s">
        <v>230</v>
      </c>
      <c r="E2492">
        <v>2019</v>
      </c>
      <c r="F2492">
        <v>6</v>
      </c>
    </row>
    <row r="2493" spans="1:6" x14ac:dyDescent="0.55000000000000004">
      <c r="A2493" t="s">
        <v>104</v>
      </c>
      <c r="B2493" t="s">
        <v>37</v>
      </c>
      <c r="C2493">
        <v>45131.895799999998</v>
      </c>
      <c r="D2493" t="s">
        <v>230</v>
      </c>
      <c r="E2493">
        <v>2019</v>
      </c>
      <c r="F2493">
        <v>6</v>
      </c>
    </row>
    <row r="2494" spans="1:6" x14ac:dyDescent="0.55000000000000004">
      <c r="A2494" t="s">
        <v>104</v>
      </c>
      <c r="B2494" t="s">
        <v>38</v>
      </c>
      <c r="C2494">
        <v>0</v>
      </c>
      <c r="D2494" t="s">
        <v>230</v>
      </c>
      <c r="E2494">
        <v>2019</v>
      </c>
      <c r="F2494">
        <v>6</v>
      </c>
    </row>
    <row r="2495" spans="1:6" x14ac:dyDescent="0.55000000000000004">
      <c r="A2495" t="s">
        <v>104</v>
      </c>
      <c r="B2495" t="s">
        <v>39</v>
      </c>
      <c r="C2495">
        <v>0.13</v>
      </c>
      <c r="D2495" t="s">
        <v>230</v>
      </c>
      <c r="E2495">
        <v>2019</v>
      </c>
      <c r="F2495">
        <v>6</v>
      </c>
    </row>
    <row r="2496" spans="1:6" x14ac:dyDescent="0.55000000000000004">
      <c r="A2496" t="s">
        <v>104</v>
      </c>
      <c r="B2496" t="s">
        <v>40</v>
      </c>
      <c r="C2496">
        <v>574.77800000000002</v>
      </c>
      <c r="D2496" t="s">
        <v>230</v>
      </c>
      <c r="E2496">
        <v>2019</v>
      </c>
      <c r="F2496">
        <v>6</v>
      </c>
    </row>
    <row r="2497" spans="1:6" x14ac:dyDescent="0.55000000000000004">
      <c r="A2497" t="s">
        <v>104</v>
      </c>
      <c r="B2497" t="s">
        <v>41</v>
      </c>
      <c r="C2497">
        <v>259747.33929999999</v>
      </c>
      <c r="D2497" t="s">
        <v>230</v>
      </c>
      <c r="E2497">
        <v>2019</v>
      </c>
      <c r="F2497">
        <v>6</v>
      </c>
    </row>
    <row r="2498" spans="1:6" x14ac:dyDescent="0.55000000000000004">
      <c r="A2498" t="s">
        <v>104</v>
      </c>
      <c r="B2498" t="s">
        <v>42</v>
      </c>
      <c r="C2498">
        <v>264.52690000000001</v>
      </c>
      <c r="D2498" t="s">
        <v>230</v>
      </c>
      <c r="E2498">
        <v>2019</v>
      </c>
      <c r="F2498">
        <v>6</v>
      </c>
    </row>
    <row r="2499" spans="1:6" x14ac:dyDescent="0.55000000000000004">
      <c r="A2499" t="s">
        <v>104</v>
      </c>
      <c r="B2499" t="s">
        <v>43</v>
      </c>
      <c r="C2499">
        <v>378112.31319999998</v>
      </c>
      <c r="D2499" t="s">
        <v>230</v>
      </c>
      <c r="E2499">
        <v>2019</v>
      </c>
      <c r="F2499">
        <v>6</v>
      </c>
    </row>
    <row r="2500" spans="1:6" x14ac:dyDescent="0.55000000000000004">
      <c r="A2500" t="s">
        <v>104</v>
      </c>
      <c r="B2500" t="s">
        <v>44</v>
      </c>
      <c r="C2500">
        <v>0</v>
      </c>
      <c r="D2500" t="s">
        <v>230</v>
      </c>
      <c r="E2500">
        <v>2019</v>
      </c>
      <c r="F2500">
        <v>6</v>
      </c>
    </row>
    <row r="2501" spans="1:6" x14ac:dyDescent="0.55000000000000004">
      <c r="A2501" t="s">
        <v>104</v>
      </c>
      <c r="B2501" t="s">
        <v>45</v>
      </c>
      <c r="C2501">
        <v>7515.8658999999998</v>
      </c>
      <c r="D2501" t="s">
        <v>230</v>
      </c>
      <c r="E2501">
        <v>2019</v>
      </c>
      <c r="F2501">
        <v>6</v>
      </c>
    </row>
    <row r="2502" spans="1:6" x14ac:dyDescent="0.55000000000000004">
      <c r="A2502" t="s">
        <v>104</v>
      </c>
      <c r="B2502" t="s">
        <v>46</v>
      </c>
      <c r="C2502">
        <v>61413.67</v>
      </c>
      <c r="D2502" t="s">
        <v>230</v>
      </c>
      <c r="E2502">
        <v>2019</v>
      </c>
      <c r="F2502">
        <v>6</v>
      </c>
    </row>
    <row r="2503" spans="1:6" x14ac:dyDescent="0.55000000000000004">
      <c r="A2503" t="s">
        <v>104</v>
      </c>
      <c r="B2503" t="s">
        <v>47</v>
      </c>
      <c r="C2503">
        <v>0</v>
      </c>
      <c r="D2503" t="s">
        <v>230</v>
      </c>
      <c r="E2503">
        <v>2019</v>
      </c>
      <c r="F2503">
        <v>6</v>
      </c>
    </row>
    <row r="2504" spans="1:6" x14ac:dyDescent="0.55000000000000004">
      <c r="A2504" t="s">
        <v>104</v>
      </c>
      <c r="B2504" t="s">
        <v>48</v>
      </c>
      <c r="C2504">
        <v>173345.9345</v>
      </c>
      <c r="D2504" t="s">
        <v>230</v>
      </c>
      <c r="E2504">
        <v>2019</v>
      </c>
      <c r="F2504">
        <v>6</v>
      </c>
    </row>
    <row r="2505" spans="1:6" x14ac:dyDescent="0.55000000000000004">
      <c r="A2505" t="s">
        <v>104</v>
      </c>
      <c r="B2505" t="s">
        <v>49</v>
      </c>
      <c r="C2505">
        <v>317.82400000000001</v>
      </c>
      <c r="D2505" t="s">
        <v>230</v>
      </c>
      <c r="E2505">
        <v>2019</v>
      </c>
      <c r="F2505">
        <v>6</v>
      </c>
    </row>
    <row r="2506" spans="1:6" x14ac:dyDescent="0.55000000000000004">
      <c r="A2506" t="s">
        <v>104</v>
      </c>
      <c r="B2506" t="s">
        <v>50</v>
      </c>
      <c r="C2506">
        <v>24010.429400000001</v>
      </c>
      <c r="D2506" t="s">
        <v>230</v>
      </c>
      <c r="E2506">
        <v>2019</v>
      </c>
      <c r="F2506">
        <v>6</v>
      </c>
    </row>
    <row r="2507" spans="1:6" x14ac:dyDescent="0.55000000000000004">
      <c r="A2507" t="s">
        <v>104</v>
      </c>
      <c r="B2507" t="s">
        <v>51</v>
      </c>
      <c r="C2507">
        <v>7021.2538000000004</v>
      </c>
      <c r="D2507" t="s">
        <v>230</v>
      </c>
      <c r="E2507">
        <v>2019</v>
      </c>
      <c r="F2507">
        <v>6</v>
      </c>
    </row>
    <row r="2508" spans="1:6" x14ac:dyDescent="0.55000000000000004">
      <c r="A2508" t="s">
        <v>104</v>
      </c>
      <c r="B2508" t="s">
        <v>52</v>
      </c>
      <c r="C2508">
        <v>43.3384</v>
      </c>
      <c r="D2508" t="s">
        <v>230</v>
      </c>
      <c r="E2508">
        <v>2019</v>
      </c>
      <c r="F2508">
        <v>6</v>
      </c>
    </row>
    <row r="2509" spans="1:6" x14ac:dyDescent="0.55000000000000004">
      <c r="A2509" t="s">
        <v>104</v>
      </c>
      <c r="B2509" t="s">
        <v>53</v>
      </c>
      <c r="C2509">
        <v>59466.15</v>
      </c>
      <c r="D2509" t="s">
        <v>230</v>
      </c>
      <c r="E2509">
        <v>2019</v>
      </c>
      <c r="F2509">
        <v>6</v>
      </c>
    </row>
    <row r="2510" spans="1:6" x14ac:dyDescent="0.55000000000000004">
      <c r="A2510" t="s">
        <v>104</v>
      </c>
      <c r="B2510" t="s">
        <v>54</v>
      </c>
      <c r="C2510">
        <v>6939.5411000000004</v>
      </c>
      <c r="D2510" t="s">
        <v>230</v>
      </c>
      <c r="E2510">
        <v>2019</v>
      </c>
      <c r="F2510">
        <v>6</v>
      </c>
    </row>
    <row r="2511" spans="1:6" x14ac:dyDescent="0.55000000000000004">
      <c r="A2511" t="s">
        <v>104</v>
      </c>
      <c r="B2511" t="s">
        <v>55</v>
      </c>
      <c r="C2511">
        <v>4833.05</v>
      </c>
      <c r="D2511" t="s">
        <v>230</v>
      </c>
      <c r="E2511">
        <v>2019</v>
      </c>
      <c r="F2511">
        <v>6</v>
      </c>
    </row>
    <row r="2512" spans="1:6" x14ac:dyDescent="0.55000000000000004">
      <c r="A2512" t="s">
        <v>104</v>
      </c>
      <c r="B2512" t="s">
        <v>56</v>
      </c>
      <c r="C2512">
        <v>2209.7332999999999</v>
      </c>
      <c r="D2512" t="s">
        <v>230</v>
      </c>
      <c r="E2512">
        <v>2019</v>
      </c>
      <c r="F2512">
        <v>6</v>
      </c>
    </row>
    <row r="2513" spans="1:6" x14ac:dyDescent="0.55000000000000004">
      <c r="A2513" t="s">
        <v>104</v>
      </c>
      <c r="B2513" t="s">
        <v>57</v>
      </c>
      <c r="C2513">
        <v>355.74529999999999</v>
      </c>
      <c r="D2513" t="s">
        <v>230</v>
      </c>
      <c r="E2513">
        <v>2019</v>
      </c>
      <c r="F2513">
        <v>6</v>
      </c>
    </row>
    <row r="2514" spans="1:6" x14ac:dyDescent="0.55000000000000004">
      <c r="A2514" t="s">
        <v>104</v>
      </c>
      <c r="B2514" t="s">
        <v>58</v>
      </c>
      <c r="C2514">
        <v>341628</v>
      </c>
      <c r="D2514" t="s">
        <v>230</v>
      </c>
      <c r="E2514">
        <v>2019</v>
      </c>
      <c r="F2514">
        <v>6</v>
      </c>
    </row>
    <row r="2515" spans="1:6" x14ac:dyDescent="0.55000000000000004">
      <c r="A2515" t="s">
        <v>104</v>
      </c>
      <c r="B2515" t="s">
        <v>59</v>
      </c>
      <c r="C2515">
        <v>450.95609999999999</v>
      </c>
      <c r="D2515" t="s">
        <v>230</v>
      </c>
      <c r="E2515">
        <v>2019</v>
      </c>
      <c r="F2515">
        <v>6</v>
      </c>
    </row>
    <row r="2516" spans="1:6" x14ac:dyDescent="0.55000000000000004">
      <c r="A2516" t="s">
        <v>104</v>
      </c>
      <c r="B2516" t="s">
        <v>60</v>
      </c>
      <c r="C2516">
        <v>2354120.1957999999</v>
      </c>
      <c r="D2516" t="s">
        <v>230</v>
      </c>
      <c r="E2516">
        <v>2019</v>
      </c>
      <c r="F2516">
        <v>6</v>
      </c>
    </row>
    <row r="2517" spans="1:6" x14ac:dyDescent="0.55000000000000004">
      <c r="A2517" t="s">
        <v>104</v>
      </c>
      <c r="B2517" t="s">
        <v>61</v>
      </c>
      <c r="C2517">
        <v>1126.6925000000001</v>
      </c>
      <c r="D2517" t="s">
        <v>230</v>
      </c>
      <c r="E2517">
        <v>2019</v>
      </c>
      <c r="F2517">
        <v>6</v>
      </c>
    </row>
    <row r="2518" spans="1:6" x14ac:dyDescent="0.55000000000000004">
      <c r="A2518" t="s">
        <v>104</v>
      </c>
      <c r="B2518" t="s">
        <v>62</v>
      </c>
      <c r="C2518">
        <v>1860.4164000000001</v>
      </c>
      <c r="D2518" t="s">
        <v>230</v>
      </c>
      <c r="E2518">
        <v>2019</v>
      </c>
      <c r="F2518">
        <v>6</v>
      </c>
    </row>
    <row r="2519" spans="1:6" x14ac:dyDescent="0.55000000000000004">
      <c r="A2519" t="s">
        <v>104</v>
      </c>
      <c r="B2519" t="s">
        <v>63</v>
      </c>
      <c r="C2519">
        <v>0</v>
      </c>
      <c r="D2519" t="s">
        <v>230</v>
      </c>
      <c r="E2519">
        <v>2019</v>
      </c>
      <c r="F2519">
        <v>6</v>
      </c>
    </row>
    <row r="2520" spans="1:6" x14ac:dyDescent="0.55000000000000004">
      <c r="A2520" t="s">
        <v>105</v>
      </c>
      <c r="B2520" t="s">
        <v>4</v>
      </c>
      <c r="C2520">
        <v>11930139.0229</v>
      </c>
      <c r="D2520" t="s">
        <v>231</v>
      </c>
      <c r="E2520">
        <v>2019</v>
      </c>
      <c r="F2520">
        <v>7</v>
      </c>
    </row>
    <row r="2521" spans="1:6" x14ac:dyDescent="0.55000000000000004">
      <c r="A2521" t="s">
        <v>105</v>
      </c>
      <c r="B2521" t="s">
        <v>5</v>
      </c>
      <c r="C2521">
        <v>1224235.4987000001</v>
      </c>
      <c r="D2521" t="s">
        <v>231</v>
      </c>
      <c r="E2521">
        <v>2019</v>
      </c>
      <c r="F2521">
        <v>7</v>
      </c>
    </row>
    <row r="2522" spans="1:6" x14ac:dyDescent="0.55000000000000004">
      <c r="A2522" t="s">
        <v>105</v>
      </c>
      <c r="B2522" t="s">
        <v>6</v>
      </c>
      <c r="C2522">
        <v>2770824.4696999998</v>
      </c>
      <c r="D2522" t="s">
        <v>231</v>
      </c>
      <c r="E2522">
        <v>2019</v>
      </c>
      <c r="F2522">
        <v>7</v>
      </c>
    </row>
    <row r="2523" spans="1:6" x14ac:dyDescent="0.55000000000000004">
      <c r="A2523" t="s">
        <v>105</v>
      </c>
      <c r="B2523" t="s">
        <v>7</v>
      </c>
      <c r="C2523">
        <v>3214432.7796</v>
      </c>
      <c r="D2523" t="s">
        <v>231</v>
      </c>
      <c r="E2523">
        <v>2019</v>
      </c>
      <c r="F2523">
        <v>7</v>
      </c>
    </row>
    <row r="2524" spans="1:6" x14ac:dyDescent="0.55000000000000004">
      <c r="A2524" t="s">
        <v>105</v>
      </c>
      <c r="B2524" t="s">
        <v>8</v>
      </c>
      <c r="C2524">
        <v>4720646.2748999996</v>
      </c>
      <c r="D2524" t="s">
        <v>231</v>
      </c>
      <c r="E2524">
        <v>2019</v>
      </c>
      <c r="F2524">
        <v>7</v>
      </c>
    </row>
    <row r="2525" spans="1:6" x14ac:dyDescent="0.55000000000000004">
      <c r="A2525" t="s">
        <v>105</v>
      </c>
      <c r="B2525" t="s">
        <v>9</v>
      </c>
      <c r="C2525">
        <v>2780.3166999999999</v>
      </c>
      <c r="D2525" t="s">
        <v>231</v>
      </c>
      <c r="E2525">
        <v>2019</v>
      </c>
      <c r="F2525">
        <v>7</v>
      </c>
    </row>
    <row r="2526" spans="1:6" x14ac:dyDescent="0.55000000000000004">
      <c r="A2526" t="s">
        <v>105</v>
      </c>
      <c r="B2526" t="s">
        <v>10</v>
      </c>
      <c r="C2526">
        <v>233.33330000000001</v>
      </c>
      <c r="D2526" t="s">
        <v>231</v>
      </c>
      <c r="E2526">
        <v>2019</v>
      </c>
      <c r="F2526">
        <v>7</v>
      </c>
    </row>
    <row r="2527" spans="1:6" x14ac:dyDescent="0.55000000000000004">
      <c r="A2527" t="s">
        <v>105</v>
      </c>
      <c r="B2527" t="s">
        <v>11</v>
      </c>
      <c r="C2527">
        <v>3390434.1798</v>
      </c>
      <c r="D2527" t="s">
        <v>231</v>
      </c>
      <c r="E2527">
        <v>2019</v>
      </c>
      <c r="F2527">
        <v>7</v>
      </c>
    </row>
    <row r="2528" spans="1:6" x14ac:dyDescent="0.55000000000000004">
      <c r="A2528" t="s">
        <v>105</v>
      </c>
      <c r="B2528" t="s">
        <v>12</v>
      </c>
      <c r="C2528">
        <v>21504.7</v>
      </c>
      <c r="D2528" t="s">
        <v>231</v>
      </c>
      <c r="E2528">
        <v>2019</v>
      </c>
      <c r="F2528">
        <v>7</v>
      </c>
    </row>
    <row r="2529" spans="1:6" x14ac:dyDescent="0.55000000000000004">
      <c r="A2529" t="s">
        <v>105</v>
      </c>
      <c r="B2529" t="s">
        <v>13</v>
      </c>
      <c r="C2529">
        <v>48980</v>
      </c>
      <c r="D2529" t="s">
        <v>231</v>
      </c>
      <c r="E2529">
        <v>2019</v>
      </c>
      <c r="F2529">
        <v>7</v>
      </c>
    </row>
    <row r="2530" spans="1:6" x14ac:dyDescent="0.55000000000000004">
      <c r="A2530" t="s">
        <v>105</v>
      </c>
      <c r="B2530" t="s">
        <v>14</v>
      </c>
      <c r="C2530">
        <v>0</v>
      </c>
      <c r="D2530" t="s">
        <v>231</v>
      </c>
      <c r="E2530">
        <v>2019</v>
      </c>
      <c r="F2530">
        <v>7</v>
      </c>
    </row>
    <row r="2531" spans="1:6" x14ac:dyDescent="0.55000000000000004">
      <c r="A2531" t="s">
        <v>105</v>
      </c>
      <c r="B2531" t="s">
        <v>15</v>
      </c>
      <c r="C2531">
        <v>1122194.3206</v>
      </c>
      <c r="D2531" t="s">
        <v>231</v>
      </c>
      <c r="E2531">
        <v>2019</v>
      </c>
      <c r="F2531">
        <v>7</v>
      </c>
    </row>
    <row r="2532" spans="1:6" x14ac:dyDescent="0.55000000000000004">
      <c r="A2532" t="s">
        <v>105</v>
      </c>
      <c r="B2532" t="s">
        <v>16</v>
      </c>
      <c r="C2532">
        <v>0</v>
      </c>
      <c r="D2532" t="s">
        <v>231</v>
      </c>
      <c r="E2532">
        <v>2019</v>
      </c>
      <c r="F2532">
        <v>7</v>
      </c>
    </row>
    <row r="2533" spans="1:6" x14ac:dyDescent="0.55000000000000004">
      <c r="A2533" t="s">
        <v>105</v>
      </c>
      <c r="B2533" t="s">
        <v>17</v>
      </c>
      <c r="C2533">
        <v>117725.7197</v>
      </c>
      <c r="D2533" t="s">
        <v>231</v>
      </c>
      <c r="E2533">
        <v>2019</v>
      </c>
      <c r="F2533">
        <v>7</v>
      </c>
    </row>
    <row r="2534" spans="1:6" x14ac:dyDescent="0.55000000000000004">
      <c r="A2534" t="s">
        <v>105</v>
      </c>
      <c r="B2534" t="s">
        <v>18</v>
      </c>
      <c r="C2534">
        <v>266734.75060000003</v>
      </c>
      <c r="D2534" t="s">
        <v>231</v>
      </c>
      <c r="E2534">
        <v>2019</v>
      </c>
      <c r="F2534">
        <v>7</v>
      </c>
    </row>
    <row r="2535" spans="1:6" x14ac:dyDescent="0.55000000000000004">
      <c r="A2535" t="s">
        <v>105</v>
      </c>
      <c r="B2535" t="s">
        <v>19</v>
      </c>
      <c r="C2535">
        <v>1349.6353999999999</v>
      </c>
      <c r="D2535" t="s">
        <v>231</v>
      </c>
      <c r="E2535">
        <v>2019</v>
      </c>
      <c r="F2535">
        <v>7</v>
      </c>
    </row>
    <row r="2536" spans="1:6" x14ac:dyDescent="0.55000000000000004">
      <c r="A2536" t="s">
        <v>105</v>
      </c>
      <c r="B2536" t="s">
        <v>20</v>
      </c>
      <c r="C2536">
        <v>23275</v>
      </c>
      <c r="D2536" t="s">
        <v>231</v>
      </c>
      <c r="E2536">
        <v>2019</v>
      </c>
      <c r="F2536">
        <v>7</v>
      </c>
    </row>
    <row r="2537" spans="1:6" x14ac:dyDescent="0.55000000000000004">
      <c r="A2537" t="s">
        <v>105</v>
      </c>
      <c r="B2537" t="s">
        <v>21</v>
      </c>
      <c r="C2537">
        <v>1819.3321000000001</v>
      </c>
      <c r="D2537" t="s">
        <v>231</v>
      </c>
      <c r="E2537">
        <v>2019</v>
      </c>
      <c r="F2537">
        <v>7</v>
      </c>
    </row>
    <row r="2538" spans="1:6" x14ac:dyDescent="0.55000000000000004">
      <c r="A2538" t="s">
        <v>105</v>
      </c>
      <c r="B2538" t="s">
        <v>22</v>
      </c>
      <c r="C2538">
        <v>44000.703399999999</v>
      </c>
      <c r="D2538" t="s">
        <v>231</v>
      </c>
      <c r="E2538">
        <v>2019</v>
      </c>
      <c r="F2538">
        <v>7</v>
      </c>
    </row>
    <row r="2539" spans="1:6" x14ac:dyDescent="0.55000000000000004">
      <c r="A2539" t="s">
        <v>105</v>
      </c>
      <c r="B2539" t="s">
        <v>23</v>
      </c>
      <c r="C2539">
        <v>56153.2883</v>
      </c>
      <c r="D2539" t="s">
        <v>231</v>
      </c>
      <c r="E2539">
        <v>2019</v>
      </c>
      <c r="F2539">
        <v>7</v>
      </c>
    </row>
    <row r="2540" spans="1:6" x14ac:dyDescent="0.55000000000000004">
      <c r="A2540" t="s">
        <v>105</v>
      </c>
      <c r="B2540" t="s">
        <v>24</v>
      </c>
      <c r="C2540">
        <v>0</v>
      </c>
      <c r="D2540" t="s">
        <v>231</v>
      </c>
      <c r="E2540">
        <v>2019</v>
      </c>
      <c r="F2540">
        <v>7</v>
      </c>
    </row>
    <row r="2541" spans="1:6" x14ac:dyDescent="0.55000000000000004">
      <c r="A2541" t="s">
        <v>105</v>
      </c>
      <c r="B2541" t="s">
        <v>25</v>
      </c>
      <c r="C2541">
        <v>529954.75329999998</v>
      </c>
      <c r="D2541" t="s">
        <v>231</v>
      </c>
      <c r="E2541">
        <v>2019</v>
      </c>
      <c r="F2541">
        <v>7</v>
      </c>
    </row>
    <row r="2542" spans="1:6" x14ac:dyDescent="0.55000000000000004">
      <c r="A2542" t="s">
        <v>105</v>
      </c>
      <c r="B2542" t="s">
        <v>26</v>
      </c>
      <c r="C2542">
        <v>0</v>
      </c>
      <c r="D2542" t="s">
        <v>231</v>
      </c>
      <c r="E2542">
        <v>2019</v>
      </c>
      <c r="F2542">
        <v>7</v>
      </c>
    </row>
    <row r="2543" spans="1:6" x14ac:dyDescent="0.55000000000000004">
      <c r="A2543" t="s">
        <v>105</v>
      </c>
      <c r="B2543" t="s">
        <v>27</v>
      </c>
      <c r="C2543">
        <v>710.30259999999998</v>
      </c>
      <c r="D2543" t="s">
        <v>231</v>
      </c>
      <c r="E2543">
        <v>2019</v>
      </c>
      <c r="F2543">
        <v>7</v>
      </c>
    </row>
    <row r="2544" spans="1:6" x14ac:dyDescent="0.55000000000000004">
      <c r="A2544" t="s">
        <v>105</v>
      </c>
      <c r="B2544" t="s">
        <v>28</v>
      </c>
      <c r="C2544">
        <v>400439.46509999997</v>
      </c>
      <c r="D2544" t="s">
        <v>231</v>
      </c>
      <c r="E2544">
        <v>2019</v>
      </c>
      <c r="F2544">
        <v>7</v>
      </c>
    </row>
    <row r="2545" spans="1:6" x14ac:dyDescent="0.55000000000000004">
      <c r="A2545" t="s">
        <v>105</v>
      </c>
      <c r="B2545" t="s">
        <v>29</v>
      </c>
      <c r="C2545">
        <v>4752.9318000000003</v>
      </c>
      <c r="D2545" t="s">
        <v>231</v>
      </c>
      <c r="E2545">
        <v>2019</v>
      </c>
      <c r="F2545">
        <v>7</v>
      </c>
    </row>
    <row r="2546" spans="1:6" x14ac:dyDescent="0.55000000000000004">
      <c r="A2546" t="s">
        <v>105</v>
      </c>
      <c r="B2546" t="s">
        <v>30</v>
      </c>
      <c r="C2546">
        <v>17.333300000000001</v>
      </c>
      <c r="D2546" t="s">
        <v>231</v>
      </c>
      <c r="E2546">
        <v>2019</v>
      </c>
      <c r="F2546">
        <v>7</v>
      </c>
    </row>
    <row r="2547" spans="1:6" x14ac:dyDescent="0.55000000000000004">
      <c r="A2547" t="s">
        <v>105</v>
      </c>
      <c r="B2547" t="s">
        <v>31</v>
      </c>
      <c r="C2547">
        <v>763.01419999999996</v>
      </c>
      <c r="D2547" t="s">
        <v>231</v>
      </c>
      <c r="E2547">
        <v>2019</v>
      </c>
      <c r="F2547">
        <v>7</v>
      </c>
    </row>
    <row r="2548" spans="1:6" x14ac:dyDescent="0.55000000000000004">
      <c r="A2548" t="s">
        <v>105</v>
      </c>
      <c r="B2548" t="s">
        <v>32</v>
      </c>
      <c r="C2548">
        <v>696659.18229999999</v>
      </c>
      <c r="D2548" t="s">
        <v>231</v>
      </c>
      <c r="E2548">
        <v>2019</v>
      </c>
      <c r="F2548">
        <v>7</v>
      </c>
    </row>
    <row r="2549" spans="1:6" x14ac:dyDescent="0.55000000000000004">
      <c r="A2549" t="s">
        <v>105</v>
      </c>
      <c r="B2549" t="s">
        <v>33</v>
      </c>
      <c r="C2549">
        <v>496384.83549999999</v>
      </c>
      <c r="D2549" t="s">
        <v>231</v>
      </c>
      <c r="E2549">
        <v>2019</v>
      </c>
      <c r="F2549">
        <v>7</v>
      </c>
    </row>
    <row r="2550" spans="1:6" x14ac:dyDescent="0.55000000000000004">
      <c r="A2550" t="s">
        <v>105</v>
      </c>
      <c r="B2550" t="s">
        <v>34</v>
      </c>
      <c r="C2550">
        <v>660605.58400000003</v>
      </c>
      <c r="D2550" t="s">
        <v>231</v>
      </c>
      <c r="E2550">
        <v>2019</v>
      </c>
      <c r="F2550">
        <v>7</v>
      </c>
    </row>
    <row r="2551" spans="1:6" x14ac:dyDescent="0.55000000000000004">
      <c r="A2551" t="s">
        <v>105</v>
      </c>
      <c r="B2551" t="s">
        <v>35</v>
      </c>
      <c r="C2551">
        <v>1536.3332</v>
      </c>
      <c r="D2551" t="s">
        <v>231</v>
      </c>
      <c r="E2551">
        <v>2019</v>
      </c>
      <c r="F2551">
        <v>7</v>
      </c>
    </row>
    <row r="2552" spans="1:6" x14ac:dyDescent="0.55000000000000004">
      <c r="A2552" t="s">
        <v>105</v>
      </c>
      <c r="B2552" t="s">
        <v>36</v>
      </c>
      <c r="C2552">
        <v>87629.649099999995</v>
      </c>
      <c r="D2552" t="s">
        <v>231</v>
      </c>
      <c r="E2552">
        <v>2019</v>
      </c>
      <c r="F2552">
        <v>7</v>
      </c>
    </row>
    <row r="2553" spans="1:6" x14ac:dyDescent="0.55000000000000004">
      <c r="A2553" t="s">
        <v>105</v>
      </c>
      <c r="B2553" t="s">
        <v>37</v>
      </c>
      <c r="C2553">
        <v>49304.993199999997</v>
      </c>
      <c r="D2553" t="s">
        <v>231</v>
      </c>
      <c r="E2553">
        <v>2019</v>
      </c>
      <c r="F2553">
        <v>7</v>
      </c>
    </row>
    <row r="2554" spans="1:6" x14ac:dyDescent="0.55000000000000004">
      <c r="A2554" t="s">
        <v>105</v>
      </c>
      <c r="B2554" t="s">
        <v>38</v>
      </c>
      <c r="C2554">
        <v>0</v>
      </c>
      <c r="D2554" t="s">
        <v>231</v>
      </c>
      <c r="E2554">
        <v>2019</v>
      </c>
      <c r="F2554">
        <v>7</v>
      </c>
    </row>
    <row r="2555" spans="1:6" x14ac:dyDescent="0.55000000000000004">
      <c r="A2555" t="s">
        <v>105</v>
      </c>
      <c r="B2555" t="s">
        <v>39</v>
      </c>
      <c r="C2555">
        <v>5.0198</v>
      </c>
      <c r="D2555" t="s">
        <v>231</v>
      </c>
      <c r="E2555">
        <v>2019</v>
      </c>
      <c r="F2555">
        <v>7</v>
      </c>
    </row>
    <row r="2556" spans="1:6" x14ac:dyDescent="0.55000000000000004">
      <c r="A2556" t="s">
        <v>105</v>
      </c>
      <c r="B2556" t="s">
        <v>40</v>
      </c>
      <c r="C2556">
        <v>1244.7380000000001</v>
      </c>
      <c r="D2556" t="s">
        <v>231</v>
      </c>
      <c r="E2556">
        <v>2019</v>
      </c>
      <c r="F2556">
        <v>7</v>
      </c>
    </row>
    <row r="2557" spans="1:6" x14ac:dyDescent="0.55000000000000004">
      <c r="A2557" t="s">
        <v>105</v>
      </c>
      <c r="B2557" t="s">
        <v>41</v>
      </c>
      <c r="C2557">
        <v>224267.89749999999</v>
      </c>
      <c r="D2557" t="s">
        <v>231</v>
      </c>
      <c r="E2557">
        <v>2019</v>
      </c>
      <c r="F2557">
        <v>7</v>
      </c>
    </row>
    <row r="2558" spans="1:6" x14ac:dyDescent="0.55000000000000004">
      <c r="A2558" t="s">
        <v>105</v>
      </c>
      <c r="B2558" t="s">
        <v>42</v>
      </c>
      <c r="C2558">
        <v>130.33699999999999</v>
      </c>
      <c r="D2558" t="s">
        <v>231</v>
      </c>
      <c r="E2558">
        <v>2019</v>
      </c>
      <c r="F2558">
        <v>7</v>
      </c>
    </row>
    <row r="2559" spans="1:6" x14ac:dyDescent="0.55000000000000004">
      <c r="A2559" t="s">
        <v>105</v>
      </c>
      <c r="B2559" t="s">
        <v>43</v>
      </c>
      <c r="C2559">
        <v>291678.5123</v>
      </c>
      <c r="D2559" t="s">
        <v>231</v>
      </c>
      <c r="E2559">
        <v>2019</v>
      </c>
      <c r="F2559">
        <v>7</v>
      </c>
    </row>
    <row r="2560" spans="1:6" x14ac:dyDescent="0.55000000000000004">
      <c r="A2560" t="s">
        <v>105</v>
      </c>
      <c r="B2560" t="s">
        <v>44</v>
      </c>
      <c r="C2560">
        <v>0</v>
      </c>
      <c r="D2560" t="s">
        <v>231</v>
      </c>
      <c r="E2560">
        <v>2019</v>
      </c>
      <c r="F2560">
        <v>7</v>
      </c>
    </row>
    <row r="2561" spans="1:6" x14ac:dyDescent="0.55000000000000004">
      <c r="A2561" t="s">
        <v>105</v>
      </c>
      <c r="B2561" t="s">
        <v>45</v>
      </c>
      <c r="C2561">
        <v>6911.6392999999998</v>
      </c>
      <c r="D2561" t="s">
        <v>231</v>
      </c>
      <c r="E2561">
        <v>2019</v>
      </c>
      <c r="F2561">
        <v>7</v>
      </c>
    </row>
    <row r="2562" spans="1:6" x14ac:dyDescent="0.55000000000000004">
      <c r="A2562" t="s">
        <v>105</v>
      </c>
      <c r="B2562" t="s">
        <v>46</v>
      </c>
      <c r="C2562">
        <v>77545.429999999993</v>
      </c>
      <c r="D2562" t="s">
        <v>231</v>
      </c>
      <c r="E2562">
        <v>2019</v>
      </c>
      <c r="F2562">
        <v>7</v>
      </c>
    </row>
    <row r="2563" spans="1:6" x14ac:dyDescent="0.55000000000000004">
      <c r="A2563" t="s">
        <v>105</v>
      </c>
      <c r="B2563" t="s">
        <v>47</v>
      </c>
      <c r="C2563">
        <v>0</v>
      </c>
      <c r="D2563" t="s">
        <v>231</v>
      </c>
      <c r="E2563">
        <v>2019</v>
      </c>
      <c r="F2563">
        <v>7</v>
      </c>
    </row>
    <row r="2564" spans="1:6" x14ac:dyDescent="0.55000000000000004">
      <c r="A2564" t="s">
        <v>105</v>
      </c>
      <c r="B2564" t="s">
        <v>48</v>
      </c>
      <c r="C2564">
        <v>395908.42609999998</v>
      </c>
      <c r="D2564" t="s">
        <v>231</v>
      </c>
      <c r="E2564">
        <v>2019</v>
      </c>
      <c r="F2564">
        <v>7</v>
      </c>
    </row>
    <row r="2565" spans="1:6" x14ac:dyDescent="0.55000000000000004">
      <c r="A2565" t="s">
        <v>105</v>
      </c>
      <c r="B2565" t="s">
        <v>49</v>
      </c>
      <c r="C2565">
        <v>940.654</v>
      </c>
      <c r="D2565" t="s">
        <v>231</v>
      </c>
      <c r="E2565">
        <v>2019</v>
      </c>
      <c r="F2565">
        <v>7</v>
      </c>
    </row>
    <row r="2566" spans="1:6" x14ac:dyDescent="0.55000000000000004">
      <c r="A2566" t="s">
        <v>105</v>
      </c>
      <c r="B2566" t="s">
        <v>50</v>
      </c>
      <c r="C2566">
        <v>48881.080499999996</v>
      </c>
      <c r="D2566" t="s">
        <v>231</v>
      </c>
      <c r="E2566">
        <v>2019</v>
      </c>
      <c r="F2566">
        <v>7</v>
      </c>
    </row>
    <row r="2567" spans="1:6" x14ac:dyDescent="0.55000000000000004">
      <c r="A2567" t="s">
        <v>105</v>
      </c>
      <c r="B2567" t="s">
        <v>51</v>
      </c>
      <c r="C2567">
        <v>4154.5937999999996</v>
      </c>
      <c r="D2567" t="s">
        <v>231</v>
      </c>
      <c r="E2567">
        <v>2019</v>
      </c>
      <c r="F2567">
        <v>7</v>
      </c>
    </row>
    <row r="2568" spans="1:6" x14ac:dyDescent="0.55000000000000004">
      <c r="A2568" t="s">
        <v>105</v>
      </c>
      <c r="B2568" t="s">
        <v>52</v>
      </c>
      <c r="C2568">
        <v>381.3075</v>
      </c>
      <c r="D2568" t="s">
        <v>231</v>
      </c>
      <c r="E2568">
        <v>2019</v>
      </c>
      <c r="F2568">
        <v>7</v>
      </c>
    </row>
    <row r="2569" spans="1:6" x14ac:dyDescent="0.55000000000000004">
      <c r="A2569" t="s">
        <v>105</v>
      </c>
      <c r="B2569" t="s">
        <v>53</v>
      </c>
      <c r="C2569">
        <v>40461.027999999998</v>
      </c>
      <c r="D2569" t="s">
        <v>231</v>
      </c>
      <c r="E2569">
        <v>2019</v>
      </c>
      <c r="F2569">
        <v>7</v>
      </c>
    </row>
    <row r="2570" spans="1:6" x14ac:dyDescent="0.55000000000000004">
      <c r="A2570" t="s">
        <v>105</v>
      </c>
      <c r="B2570" t="s">
        <v>54</v>
      </c>
      <c r="C2570">
        <v>10398.0075</v>
      </c>
      <c r="D2570" t="s">
        <v>231</v>
      </c>
      <c r="E2570">
        <v>2019</v>
      </c>
      <c r="F2570">
        <v>7</v>
      </c>
    </row>
    <row r="2571" spans="1:6" x14ac:dyDescent="0.55000000000000004">
      <c r="A2571" t="s">
        <v>105</v>
      </c>
      <c r="B2571" t="s">
        <v>55</v>
      </c>
      <c r="C2571">
        <v>16086.6167</v>
      </c>
      <c r="D2571" t="s">
        <v>231</v>
      </c>
      <c r="E2571">
        <v>2019</v>
      </c>
      <c r="F2571">
        <v>7</v>
      </c>
    </row>
    <row r="2572" spans="1:6" x14ac:dyDescent="0.55000000000000004">
      <c r="A2572" t="s">
        <v>105</v>
      </c>
      <c r="B2572" t="s">
        <v>56</v>
      </c>
      <c r="C2572">
        <v>2450.5333000000001</v>
      </c>
      <c r="D2572" t="s">
        <v>231</v>
      </c>
      <c r="E2572">
        <v>2019</v>
      </c>
      <c r="F2572">
        <v>7</v>
      </c>
    </row>
    <row r="2573" spans="1:6" x14ac:dyDescent="0.55000000000000004">
      <c r="A2573" t="s">
        <v>105</v>
      </c>
      <c r="B2573" t="s">
        <v>57</v>
      </c>
      <c r="C2573">
        <v>144.56649999999999</v>
      </c>
      <c r="D2573" t="s">
        <v>231</v>
      </c>
      <c r="E2573">
        <v>2019</v>
      </c>
      <c r="F2573">
        <v>7</v>
      </c>
    </row>
    <row r="2574" spans="1:6" x14ac:dyDescent="0.55000000000000004">
      <c r="A2574" t="s">
        <v>105</v>
      </c>
      <c r="B2574" t="s">
        <v>58</v>
      </c>
      <c r="C2574">
        <v>463709</v>
      </c>
      <c r="D2574" t="s">
        <v>231</v>
      </c>
      <c r="E2574">
        <v>2019</v>
      </c>
      <c r="F2574">
        <v>7</v>
      </c>
    </row>
    <row r="2575" spans="1:6" x14ac:dyDescent="0.55000000000000004">
      <c r="A2575" t="s">
        <v>105</v>
      </c>
      <c r="B2575" t="s">
        <v>59</v>
      </c>
      <c r="C2575">
        <v>34.164900000000003</v>
      </c>
      <c r="D2575" t="s">
        <v>231</v>
      </c>
      <c r="E2575">
        <v>2019</v>
      </c>
      <c r="F2575">
        <v>7</v>
      </c>
    </row>
    <row r="2576" spans="1:6" x14ac:dyDescent="0.55000000000000004">
      <c r="A2576" t="s">
        <v>105</v>
      </c>
      <c r="B2576" t="s">
        <v>60</v>
      </c>
      <c r="C2576">
        <v>2316614.398</v>
      </c>
      <c r="D2576" t="s">
        <v>231</v>
      </c>
      <c r="E2576">
        <v>2019</v>
      </c>
      <c r="F2576">
        <v>7</v>
      </c>
    </row>
    <row r="2577" spans="1:6" x14ac:dyDescent="0.55000000000000004">
      <c r="A2577" t="s">
        <v>105</v>
      </c>
      <c r="B2577" t="s">
        <v>61</v>
      </c>
      <c r="C2577">
        <v>1400.6423</v>
      </c>
      <c r="D2577" t="s">
        <v>231</v>
      </c>
      <c r="E2577">
        <v>2019</v>
      </c>
      <c r="F2577">
        <v>7</v>
      </c>
    </row>
    <row r="2578" spans="1:6" x14ac:dyDescent="0.55000000000000004">
      <c r="A2578" t="s">
        <v>105</v>
      </c>
      <c r="B2578" t="s">
        <v>62</v>
      </c>
      <c r="C2578">
        <v>840.34640000000002</v>
      </c>
      <c r="D2578" t="s">
        <v>231</v>
      </c>
      <c r="E2578">
        <v>2019</v>
      </c>
      <c r="F2578">
        <v>7</v>
      </c>
    </row>
    <row r="2579" spans="1:6" x14ac:dyDescent="0.55000000000000004">
      <c r="A2579" t="s">
        <v>105</v>
      </c>
      <c r="B2579" t="s">
        <v>63</v>
      </c>
      <c r="C2579">
        <v>6.4260000000000002</v>
      </c>
      <c r="D2579" t="s">
        <v>231</v>
      </c>
      <c r="E2579">
        <v>2019</v>
      </c>
      <c r="F2579">
        <v>7</v>
      </c>
    </row>
    <row r="2580" spans="1:6" x14ac:dyDescent="0.55000000000000004">
      <c r="A2580" t="s">
        <v>106</v>
      </c>
      <c r="B2580" t="s">
        <v>4</v>
      </c>
      <c r="C2580">
        <v>10880193.908199999</v>
      </c>
      <c r="D2580" t="s">
        <v>232</v>
      </c>
      <c r="E2580">
        <v>2019</v>
      </c>
      <c r="F2580">
        <v>8</v>
      </c>
    </row>
    <row r="2581" spans="1:6" x14ac:dyDescent="0.55000000000000004">
      <c r="A2581" t="s">
        <v>106</v>
      </c>
      <c r="B2581" t="s">
        <v>5</v>
      </c>
      <c r="C2581">
        <v>1295466.0067</v>
      </c>
      <c r="D2581" t="s">
        <v>232</v>
      </c>
      <c r="E2581">
        <v>2019</v>
      </c>
      <c r="F2581">
        <v>8</v>
      </c>
    </row>
    <row r="2582" spans="1:6" x14ac:dyDescent="0.55000000000000004">
      <c r="A2582" t="s">
        <v>106</v>
      </c>
      <c r="B2582" t="s">
        <v>6</v>
      </c>
      <c r="C2582">
        <v>2219622.4120999998</v>
      </c>
      <c r="D2582" t="s">
        <v>232</v>
      </c>
      <c r="E2582">
        <v>2019</v>
      </c>
      <c r="F2582">
        <v>8</v>
      </c>
    </row>
    <row r="2583" spans="1:6" x14ac:dyDescent="0.55000000000000004">
      <c r="A2583" t="s">
        <v>106</v>
      </c>
      <c r="B2583" t="s">
        <v>7</v>
      </c>
      <c r="C2583">
        <v>3286825.6389000001</v>
      </c>
      <c r="D2583" t="s">
        <v>232</v>
      </c>
      <c r="E2583">
        <v>2019</v>
      </c>
      <c r="F2583">
        <v>8</v>
      </c>
    </row>
    <row r="2584" spans="1:6" x14ac:dyDescent="0.55000000000000004">
      <c r="A2584" t="s">
        <v>106</v>
      </c>
      <c r="B2584" t="s">
        <v>8</v>
      </c>
      <c r="C2584">
        <v>4078279.8505000002</v>
      </c>
      <c r="D2584" t="s">
        <v>232</v>
      </c>
      <c r="E2584">
        <v>2019</v>
      </c>
      <c r="F2584">
        <v>8</v>
      </c>
    </row>
    <row r="2585" spans="1:6" x14ac:dyDescent="0.55000000000000004">
      <c r="A2585" t="s">
        <v>106</v>
      </c>
      <c r="B2585" t="s">
        <v>9</v>
      </c>
      <c r="C2585">
        <v>4893.6499999999996</v>
      </c>
      <c r="D2585" t="s">
        <v>232</v>
      </c>
      <c r="E2585">
        <v>2019</v>
      </c>
      <c r="F2585">
        <v>8</v>
      </c>
    </row>
    <row r="2586" spans="1:6" x14ac:dyDescent="0.55000000000000004">
      <c r="A2586" t="s">
        <v>106</v>
      </c>
      <c r="B2586" t="s">
        <v>10</v>
      </c>
      <c r="C2586">
        <v>1518.3884</v>
      </c>
      <c r="D2586" t="s">
        <v>232</v>
      </c>
      <c r="E2586">
        <v>2019</v>
      </c>
      <c r="F2586">
        <v>8</v>
      </c>
    </row>
    <row r="2587" spans="1:6" x14ac:dyDescent="0.55000000000000004">
      <c r="A2587" t="s">
        <v>106</v>
      </c>
      <c r="B2587" t="s">
        <v>11</v>
      </c>
      <c r="C2587">
        <v>3368913.6296000001</v>
      </c>
      <c r="D2587" t="s">
        <v>232</v>
      </c>
      <c r="E2587">
        <v>2019</v>
      </c>
      <c r="F2587">
        <v>8</v>
      </c>
    </row>
    <row r="2588" spans="1:6" x14ac:dyDescent="0.55000000000000004">
      <c r="A2588" t="s">
        <v>106</v>
      </c>
      <c r="B2588" t="s">
        <v>12</v>
      </c>
      <c r="C2588">
        <v>11530.9167</v>
      </c>
      <c r="D2588" t="s">
        <v>232</v>
      </c>
      <c r="E2588">
        <v>2019</v>
      </c>
      <c r="F2588">
        <v>8</v>
      </c>
    </row>
    <row r="2589" spans="1:6" x14ac:dyDescent="0.55000000000000004">
      <c r="A2589" t="s">
        <v>106</v>
      </c>
      <c r="B2589" t="s">
        <v>13</v>
      </c>
      <c r="C2589">
        <v>63865</v>
      </c>
      <c r="D2589" t="s">
        <v>232</v>
      </c>
      <c r="E2589">
        <v>2019</v>
      </c>
      <c r="F2589">
        <v>8</v>
      </c>
    </row>
    <row r="2590" spans="1:6" x14ac:dyDescent="0.55000000000000004">
      <c r="A2590" t="s">
        <v>106</v>
      </c>
      <c r="B2590" t="s">
        <v>14</v>
      </c>
      <c r="C2590">
        <v>913.33</v>
      </c>
      <c r="D2590" t="s">
        <v>232</v>
      </c>
      <c r="E2590">
        <v>2019</v>
      </c>
      <c r="F2590">
        <v>8</v>
      </c>
    </row>
    <row r="2591" spans="1:6" x14ac:dyDescent="0.55000000000000004">
      <c r="A2591" t="s">
        <v>106</v>
      </c>
      <c r="B2591" t="s">
        <v>15</v>
      </c>
      <c r="C2591">
        <v>1214583.7771999999</v>
      </c>
      <c r="D2591" t="s">
        <v>232</v>
      </c>
      <c r="E2591">
        <v>2019</v>
      </c>
      <c r="F2591">
        <v>8</v>
      </c>
    </row>
    <row r="2592" spans="1:6" x14ac:dyDescent="0.55000000000000004">
      <c r="A2592" t="s">
        <v>106</v>
      </c>
      <c r="B2592" t="s">
        <v>16</v>
      </c>
      <c r="C2592">
        <v>0</v>
      </c>
      <c r="D2592" t="s">
        <v>232</v>
      </c>
      <c r="E2592">
        <v>2019</v>
      </c>
      <c r="F2592">
        <v>8</v>
      </c>
    </row>
    <row r="2593" spans="1:6" x14ac:dyDescent="0.55000000000000004">
      <c r="A2593" t="s">
        <v>106</v>
      </c>
      <c r="B2593" t="s">
        <v>17</v>
      </c>
      <c r="C2593">
        <v>127411.3422</v>
      </c>
      <c r="D2593" t="s">
        <v>232</v>
      </c>
      <c r="E2593">
        <v>2019</v>
      </c>
      <c r="F2593">
        <v>8</v>
      </c>
    </row>
    <row r="2594" spans="1:6" x14ac:dyDescent="0.55000000000000004">
      <c r="A2594" t="s">
        <v>106</v>
      </c>
      <c r="B2594" t="s">
        <v>18</v>
      </c>
      <c r="C2594">
        <v>134223.48310000001</v>
      </c>
      <c r="D2594" t="s">
        <v>232</v>
      </c>
      <c r="E2594">
        <v>2019</v>
      </c>
      <c r="F2594">
        <v>8</v>
      </c>
    </row>
    <row r="2595" spans="1:6" x14ac:dyDescent="0.55000000000000004">
      <c r="A2595" t="s">
        <v>106</v>
      </c>
      <c r="B2595" t="s">
        <v>19</v>
      </c>
      <c r="C2595">
        <v>1349.6353999999999</v>
      </c>
      <c r="D2595" t="s">
        <v>232</v>
      </c>
      <c r="E2595">
        <v>2019</v>
      </c>
      <c r="F2595">
        <v>8</v>
      </c>
    </row>
    <row r="2596" spans="1:6" x14ac:dyDescent="0.55000000000000004">
      <c r="A2596" t="s">
        <v>106</v>
      </c>
      <c r="B2596" t="s">
        <v>20</v>
      </c>
      <c r="C2596">
        <v>20026</v>
      </c>
      <c r="D2596" t="s">
        <v>232</v>
      </c>
      <c r="E2596">
        <v>2019</v>
      </c>
      <c r="F2596">
        <v>8</v>
      </c>
    </row>
    <row r="2597" spans="1:6" x14ac:dyDescent="0.55000000000000004">
      <c r="A2597" t="s">
        <v>106</v>
      </c>
      <c r="B2597" t="s">
        <v>21</v>
      </c>
      <c r="C2597">
        <v>2608.6460000000002</v>
      </c>
      <c r="D2597" t="s">
        <v>232</v>
      </c>
      <c r="E2597">
        <v>2019</v>
      </c>
      <c r="F2597">
        <v>8</v>
      </c>
    </row>
    <row r="2598" spans="1:6" x14ac:dyDescent="0.55000000000000004">
      <c r="A2598" t="s">
        <v>106</v>
      </c>
      <c r="B2598" t="s">
        <v>22</v>
      </c>
      <c r="C2598">
        <v>51028.679900000003</v>
      </c>
      <c r="D2598" t="s">
        <v>232</v>
      </c>
      <c r="E2598">
        <v>2019</v>
      </c>
      <c r="F2598">
        <v>8</v>
      </c>
    </row>
    <row r="2599" spans="1:6" x14ac:dyDescent="0.55000000000000004">
      <c r="A2599" t="s">
        <v>106</v>
      </c>
      <c r="B2599" t="s">
        <v>23</v>
      </c>
      <c r="C2599">
        <v>34402.464</v>
      </c>
      <c r="D2599" t="s">
        <v>232</v>
      </c>
      <c r="E2599">
        <v>2019</v>
      </c>
      <c r="F2599">
        <v>8</v>
      </c>
    </row>
    <row r="2600" spans="1:6" x14ac:dyDescent="0.55000000000000004">
      <c r="A2600" t="s">
        <v>106</v>
      </c>
      <c r="B2600" t="s">
        <v>24</v>
      </c>
      <c r="C2600">
        <v>0</v>
      </c>
      <c r="D2600" t="s">
        <v>232</v>
      </c>
      <c r="E2600">
        <v>2019</v>
      </c>
      <c r="F2600">
        <v>8</v>
      </c>
    </row>
    <row r="2601" spans="1:6" x14ac:dyDescent="0.55000000000000004">
      <c r="A2601" t="s">
        <v>106</v>
      </c>
      <c r="B2601" t="s">
        <v>25</v>
      </c>
      <c r="C2601">
        <v>437328.76669999998</v>
      </c>
      <c r="D2601" t="s">
        <v>232</v>
      </c>
      <c r="E2601">
        <v>2019</v>
      </c>
      <c r="F2601">
        <v>8</v>
      </c>
    </row>
    <row r="2602" spans="1:6" x14ac:dyDescent="0.55000000000000004">
      <c r="A2602" t="s">
        <v>106</v>
      </c>
      <c r="B2602" t="s">
        <v>26</v>
      </c>
      <c r="C2602">
        <v>0</v>
      </c>
      <c r="D2602" t="s">
        <v>232</v>
      </c>
      <c r="E2602">
        <v>2019</v>
      </c>
      <c r="F2602">
        <v>8</v>
      </c>
    </row>
    <row r="2603" spans="1:6" x14ac:dyDescent="0.55000000000000004">
      <c r="A2603" t="s">
        <v>106</v>
      </c>
      <c r="B2603" t="s">
        <v>27</v>
      </c>
      <c r="C2603">
        <v>394.6037</v>
      </c>
      <c r="D2603" t="s">
        <v>232</v>
      </c>
      <c r="E2603">
        <v>2019</v>
      </c>
      <c r="F2603">
        <v>8</v>
      </c>
    </row>
    <row r="2604" spans="1:6" x14ac:dyDescent="0.55000000000000004">
      <c r="A2604" t="s">
        <v>106</v>
      </c>
      <c r="B2604" t="s">
        <v>28</v>
      </c>
      <c r="C2604">
        <v>298014.76240000001</v>
      </c>
      <c r="D2604" t="s">
        <v>232</v>
      </c>
      <c r="E2604">
        <v>2019</v>
      </c>
      <c r="F2604">
        <v>8</v>
      </c>
    </row>
    <row r="2605" spans="1:6" x14ac:dyDescent="0.55000000000000004">
      <c r="A2605" t="s">
        <v>106</v>
      </c>
      <c r="B2605" t="s">
        <v>29</v>
      </c>
      <c r="C2605">
        <v>6977.9318000000003</v>
      </c>
      <c r="D2605" t="s">
        <v>232</v>
      </c>
      <c r="E2605">
        <v>2019</v>
      </c>
      <c r="F2605">
        <v>8</v>
      </c>
    </row>
    <row r="2606" spans="1:6" x14ac:dyDescent="0.55000000000000004">
      <c r="A2606" t="s">
        <v>106</v>
      </c>
      <c r="B2606" t="s">
        <v>30</v>
      </c>
      <c r="C2606">
        <v>144.1267</v>
      </c>
      <c r="D2606" t="s">
        <v>232</v>
      </c>
      <c r="E2606">
        <v>2019</v>
      </c>
      <c r="F2606">
        <v>8</v>
      </c>
    </row>
    <row r="2607" spans="1:6" x14ac:dyDescent="0.55000000000000004">
      <c r="A2607" t="s">
        <v>106</v>
      </c>
      <c r="B2607" t="s">
        <v>31</v>
      </c>
      <c r="C2607">
        <v>17.429500000000001</v>
      </c>
      <c r="D2607" t="s">
        <v>232</v>
      </c>
      <c r="E2607">
        <v>2019</v>
      </c>
      <c r="F2607">
        <v>8</v>
      </c>
    </row>
    <row r="2608" spans="1:6" x14ac:dyDescent="0.55000000000000004">
      <c r="A2608" t="s">
        <v>106</v>
      </c>
      <c r="B2608" t="s">
        <v>32</v>
      </c>
      <c r="C2608">
        <v>272374.57900000003</v>
      </c>
      <c r="D2608" t="s">
        <v>232</v>
      </c>
      <c r="E2608">
        <v>2019</v>
      </c>
      <c r="F2608">
        <v>8</v>
      </c>
    </row>
    <row r="2609" spans="1:6" x14ac:dyDescent="0.55000000000000004">
      <c r="A2609" t="s">
        <v>106</v>
      </c>
      <c r="B2609" t="s">
        <v>33</v>
      </c>
      <c r="C2609">
        <v>422525.38199999998</v>
      </c>
      <c r="D2609" t="s">
        <v>232</v>
      </c>
      <c r="E2609">
        <v>2019</v>
      </c>
      <c r="F2609">
        <v>8</v>
      </c>
    </row>
    <row r="2610" spans="1:6" x14ac:dyDescent="0.55000000000000004">
      <c r="A2610" t="s">
        <v>106</v>
      </c>
      <c r="B2610" t="s">
        <v>34</v>
      </c>
      <c r="C2610">
        <v>731849.45160000003</v>
      </c>
      <c r="D2610" t="s">
        <v>232</v>
      </c>
      <c r="E2610">
        <v>2019</v>
      </c>
      <c r="F2610">
        <v>8</v>
      </c>
    </row>
    <row r="2611" spans="1:6" x14ac:dyDescent="0.55000000000000004">
      <c r="A2611" t="s">
        <v>106</v>
      </c>
      <c r="B2611" t="s">
        <v>35</v>
      </c>
      <c r="C2611">
        <v>742.59780000000001</v>
      </c>
      <c r="D2611" t="s">
        <v>232</v>
      </c>
      <c r="E2611">
        <v>2019</v>
      </c>
      <c r="F2611">
        <v>8</v>
      </c>
    </row>
    <row r="2612" spans="1:6" x14ac:dyDescent="0.55000000000000004">
      <c r="A2612" t="s">
        <v>106</v>
      </c>
      <c r="B2612" t="s">
        <v>36</v>
      </c>
      <c r="C2612">
        <v>70077.949500000002</v>
      </c>
      <c r="D2612" t="s">
        <v>232</v>
      </c>
      <c r="E2612">
        <v>2019</v>
      </c>
      <c r="F2612">
        <v>8</v>
      </c>
    </row>
    <row r="2613" spans="1:6" x14ac:dyDescent="0.55000000000000004">
      <c r="A2613" t="s">
        <v>106</v>
      </c>
      <c r="B2613" t="s">
        <v>37</v>
      </c>
      <c r="C2613">
        <v>40020.599800000004</v>
      </c>
      <c r="D2613" t="s">
        <v>232</v>
      </c>
      <c r="E2613">
        <v>2019</v>
      </c>
      <c r="F2613">
        <v>8</v>
      </c>
    </row>
    <row r="2614" spans="1:6" x14ac:dyDescent="0.55000000000000004">
      <c r="A2614" t="s">
        <v>106</v>
      </c>
      <c r="B2614" t="s">
        <v>38</v>
      </c>
      <c r="C2614">
        <v>0</v>
      </c>
      <c r="D2614" t="s">
        <v>232</v>
      </c>
      <c r="E2614">
        <v>2019</v>
      </c>
      <c r="F2614">
        <v>8</v>
      </c>
    </row>
    <row r="2615" spans="1:6" x14ac:dyDescent="0.55000000000000004">
      <c r="A2615" t="s">
        <v>106</v>
      </c>
      <c r="B2615" t="s">
        <v>39</v>
      </c>
      <c r="C2615">
        <v>0</v>
      </c>
      <c r="D2615" t="s">
        <v>232</v>
      </c>
      <c r="E2615">
        <v>2019</v>
      </c>
      <c r="F2615">
        <v>8</v>
      </c>
    </row>
    <row r="2616" spans="1:6" x14ac:dyDescent="0.55000000000000004">
      <c r="A2616" t="s">
        <v>106</v>
      </c>
      <c r="B2616" t="s">
        <v>40</v>
      </c>
      <c r="C2616">
        <v>576.73800000000006</v>
      </c>
      <c r="D2616" t="s">
        <v>232</v>
      </c>
      <c r="E2616">
        <v>2019</v>
      </c>
      <c r="F2616">
        <v>8</v>
      </c>
    </row>
    <row r="2617" spans="1:6" x14ac:dyDescent="0.55000000000000004">
      <c r="A2617" t="s">
        <v>106</v>
      </c>
      <c r="B2617" t="s">
        <v>41</v>
      </c>
      <c r="C2617">
        <v>202324.88510000001</v>
      </c>
      <c r="D2617" t="s">
        <v>232</v>
      </c>
      <c r="E2617">
        <v>2019</v>
      </c>
      <c r="F2617">
        <v>8</v>
      </c>
    </row>
    <row r="2618" spans="1:6" x14ac:dyDescent="0.55000000000000004">
      <c r="A2618" t="s">
        <v>106</v>
      </c>
      <c r="B2618" t="s">
        <v>42</v>
      </c>
      <c r="C2618">
        <v>201.4</v>
      </c>
      <c r="D2618" t="s">
        <v>232</v>
      </c>
      <c r="E2618">
        <v>2019</v>
      </c>
      <c r="F2618">
        <v>8</v>
      </c>
    </row>
    <row r="2619" spans="1:6" x14ac:dyDescent="0.55000000000000004">
      <c r="A2619" t="s">
        <v>106</v>
      </c>
      <c r="B2619" t="s">
        <v>43</v>
      </c>
      <c r="C2619">
        <v>245680.13740000001</v>
      </c>
      <c r="D2619" t="s">
        <v>232</v>
      </c>
      <c r="E2619">
        <v>2019</v>
      </c>
      <c r="F2619">
        <v>8</v>
      </c>
    </row>
    <row r="2620" spans="1:6" x14ac:dyDescent="0.55000000000000004">
      <c r="A2620" t="s">
        <v>106</v>
      </c>
      <c r="B2620" t="s">
        <v>44</v>
      </c>
      <c r="C2620">
        <v>0</v>
      </c>
      <c r="D2620" t="s">
        <v>232</v>
      </c>
      <c r="E2620">
        <v>2019</v>
      </c>
      <c r="F2620">
        <v>8</v>
      </c>
    </row>
    <row r="2621" spans="1:6" x14ac:dyDescent="0.55000000000000004">
      <c r="A2621" t="s">
        <v>106</v>
      </c>
      <c r="B2621" t="s">
        <v>45</v>
      </c>
      <c r="C2621">
        <v>6052.8680999999997</v>
      </c>
      <c r="D2621" t="s">
        <v>232</v>
      </c>
      <c r="E2621">
        <v>2019</v>
      </c>
      <c r="F2621">
        <v>8</v>
      </c>
    </row>
    <row r="2622" spans="1:6" x14ac:dyDescent="0.55000000000000004">
      <c r="A2622" t="s">
        <v>106</v>
      </c>
      <c r="B2622" t="s">
        <v>46</v>
      </c>
      <c r="C2622">
        <v>97328.89</v>
      </c>
      <c r="D2622" t="s">
        <v>232</v>
      </c>
      <c r="E2622">
        <v>2019</v>
      </c>
      <c r="F2622">
        <v>8</v>
      </c>
    </row>
    <row r="2623" spans="1:6" x14ac:dyDescent="0.55000000000000004">
      <c r="A2623" t="s">
        <v>106</v>
      </c>
      <c r="B2623" t="s">
        <v>47</v>
      </c>
      <c r="C2623">
        <v>0</v>
      </c>
      <c r="D2623" t="s">
        <v>232</v>
      </c>
      <c r="E2623">
        <v>2019</v>
      </c>
      <c r="F2623">
        <v>8</v>
      </c>
    </row>
    <row r="2624" spans="1:6" x14ac:dyDescent="0.55000000000000004">
      <c r="A2624" t="s">
        <v>106</v>
      </c>
      <c r="B2624" t="s">
        <v>48</v>
      </c>
      <c r="C2624">
        <v>504410.83380000002</v>
      </c>
      <c r="D2624" t="s">
        <v>232</v>
      </c>
      <c r="E2624">
        <v>2019</v>
      </c>
      <c r="F2624">
        <v>8</v>
      </c>
    </row>
    <row r="2625" spans="1:6" x14ac:dyDescent="0.55000000000000004">
      <c r="A2625" t="s">
        <v>106</v>
      </c>
      <c r="B2625" t="s">
        <v>49</v>
      </c>
      <c r="C2625">
        <v>47.712000000000003</v>
      </c>
      <c r="D2625" t="s">
        <v>232</v>
      </c>
      <c r="E2625">
        <v>2019</v>
      </c>
      <c r="F2625">
        <v>8</v>
      </c>
    </row>
    <row r="2626" spans="1:6" x14ac:dyDescent="0.55000000000000004">
      <c r="A2626" t="s">
        <v>106</v>
      </c>
      <c r="B2626" t="s">
        <v>50</v>
      </c>
      <c r="C2626">
        <v>31316.091199999999</v>
      </c>
      <c r="D2626" t="s">
        <v>232</v>
      </c>
      <c r="E2626">
        <v>2019</v>
      </c>
      <c r="F2626">
        <v>8</v>
      </c>
    </row>
    <row r="2627" spans="1:6" x14ac:dyDescent="0.55000000000000004">
      <c r="A2627" t="s">
        <v>106</v>
      </c>
      <c r="B2627" t="s">
        <v>51</v>
      </c>
      <c r="C2627">
        <v>3467.9238</v>
      </c>
      <c r="D2627" t="s">
        <v>232</v>
      </c>
      <c r="E2627">
        <v>2019</v>
      </c>
      <c r="F2627">
        <v>8</v>
      </c>
    </row>
    <row r="2628" spans="1:6" x14ac:dyDescent="0.55000000000000004">
      <c r="A2628" t="s">
        <v>106</v>
      </c>
      <c r="B2628" t="s">
        <v>52</v>
      </c>
      <c r="C2628">
        <v>44.1952</v>
      </c>
      <c r="D2628" t="s">
        <v>232</v>
      </c>
      <c r="E2628">
        <v>2019</v>
      </c>
      <c r="F2628">
        <v>8</v>
      </c>
    </row>
    <row r="2629" spans="1:6" x14ac:dyDescent="0.55000000000000004">
      <c r="A2629" t="s">
        <v>106</v>
      </c>
      <c r="B2629" t="s">
        <v>53</v>
      </c>
      <c r="C2629">
        <v>38044.449999999997</v>
      </c>
      <c r="D2629" t="s">
        <v>232</v>
      </c>
      <c r="E2629">
        <v>2019</v>
      </c>
      <c r="F2629">
        <v>8</v>
      </c>
    </row>
    <row r="2630" spans="1:6" x14ac:dyDescent="0.55000000000000004">
      <c r="A2630" t="s">
        <v>106</v>
      </c>
      <c r="B2630" t="s">
        <v>54</v>
      </c>
      <c r="C2630">
        <v>21296.475399999999</v>
      </c>
      <c r="D2630" t="s">
        <v>232</v>
      </c>
      <c r="E2630">
        <v>2019</v>
      </c>
      <c r="F2630">
        <v>8</v>
      </c>
    </row>
    <row r="2631" spans="1:6" x14ac:dyDescent="0.55000000000000004">
      <c r="A2631" t="s">
        <v>106</v>
      </c>
      <c r="B2631" t="s">
        <v>55</v>
      </c>
      <c r="C2631">
        <v>25429.666700000002</v>
      </c>
      <c r="D2631" t="s">
        <v>232</v>
      </c>
      <c r="E2631">
        <v>2019</v>
      </c>
      <c r="F2631">
        <v>8</v>
      </c>
    </row>
    <row r="2632" spans="1:6" x14ac:dyDescent="0.55000000000000004">
      <c r="A2632" t="s">
        <v>106</v>
      </c>
      <c r="B2632" t="s">
        <v>56</v>
      </c>
      <c r="C2632">
        <v>5120</v>
      </c>
      <c r="D2632" t="s">
        <v>232</v>
      </c>
      <c r="E2632">
        <v>2019</v>
      </c>
      <c r="F2632">
        <v>8</v>
      </c>
    </row>
    <row r="2633" spans="1:6" x14ac:dyDescent="0.55000000000000004">
      <c r="A2633" t="s">
        <v>106</v>
      </c>
      <c r="B2633" t="s">
        <v>57</v>
      </c>
      <c r="C2633">
        <v>931.02250000000004</v>
      </c>
      <c r="D2633" t="s">
        <v>232</v>
      </c>
      <c r="E2633">
        <v>2019</v>
      </c>
      <c r="F2633">
        <v>8</v>
      </c>
    </row>
    <row r="2634" spans="1:6" x14ac:dyDescent="0.55000000000000004">
      <c r="A2634" t="s">
        <v>106</v>
      </c>
      <c r="B2634" t="s">
        <v>58</v>
      </c>
      <c r="C2634">
        <v>489183.99</v>
      </c>
      <c r="D2634" t="s">
        <v>232</v>
      </c>
      <c r="E2634">
        <v>2019</v>
      </c>
      <c r="F2634">
        <v>8</v>
      </c>
    </row>
    <row r="2635" spans="1:6" x14ac:dyDescent="0.55000000000000004">
      <c r="A2635" t="s">
        <v>106</v>
      </c>
      <c r="B2635" t="s">
        <v>59</v>
      </c>
      <c r="C2635">
        <v>23268.144899999999</v>
      </c>
      <c r="D2635" t="s">
        <v>232</v>
      </c>
      <c r="E2635">
        <v>2019</v>
      </c>
      <c r="F2635">
        <v>8</v>
      </c>
    </row>
    <row r="2636" spans="1:6" x14ac:dyDescent="0.55000000000000004">
      <c r="A2636" t="s">
        <v>106</v>
      </c>
      <c r="B2636" t="s">
        <v>60</v>
      </c>
      <c r="C2636">
        <v>1865457.5423999999</v>
      </c>
      <c r="D2636" t="s">
        <v>232</v>
      </c>
      <c r="E2636">
        <v>2019</v>
      </c>
      <c r="F2636">
        <v>8</v>
      </c>
    </row>
    <row r="2637" spans="1:6" x14ac:dyDescent="0.55000000000000004">
      <c r="A2637" t="s">
        <v>106</v>
      </c>
      <c r="B2637" t="s">
        <v>61</v>
      </c>
      <c r="C2637">
        <v>971.00229999999999</v>
      </c>
      <c r="D2637" t="s">
        <v>232</v>
      </c>
      <c r="E2637">
        <v>2019</v>
      </c>
      <c r="F2637">
        <v>8</v>
      </c>
    </row>
    <row r="2638" spans="1:6" x14ac:dyDescent="0.55000000000000004">
      <c r="A2638" t="s">
        <v>106</v>
      </c>
      <c r="B2638" t="s">
        <v>62</v>
      </c>
      <c r="C2638">
        <v>1302.8163999999999</v>
      </c>
      <c r="D2638" t="s">
        <v>232</v>
      </c>
      <c r="E2638">
        <v>2019</v>
      </c>
      <c r="F2638">
        <v>8</v>
      </c>
    </row>
    <row r="2639" spans="1:6" x14ac:dyDescent="0.55000000000000004">
      <c r="A2639" t="s">
        <v>106</v>
      </c>
      <c r="B2639" t="s">
        <v>63</v>
      </c>
      <c r="C2639">
        <v>0</v>
      </c>
      <c r="D2639" t="s">
        <v>232</v>
      </c>
      <c r="E2639">
        <v>2019</v>
      </c>
      <c r="F2639">
        <v>8</v>
      </c>
    </row>
    <row r="2640" spans="1:6" x14ac:dyDescent="0.55000000000000004">
      <c r="A2640" t="s">
        <v>107</v>
      </c>
      <c r="B2640" t="s">
        <v>4</v>
      </c>
      <c r="C2640">
        <v>10092334.644300001</v>
      </c>
      <c r="D2640" t="s">
        <v>233</v>
      </c>
      <c r="E2640">
        <v>2019</v>
      </c>
      <c r="F2640">
        <v>9</v>
      </c>
    </row>
    <row r="2641" spans="1:6" x14ac:dyDescent="0.55000000000000004">
      <c r="A2641" t="s">
        <v>107</v>
      </c>
      <c r="B2641" t="s">
        <v>5</v>
      </c>
      <c r="C2641">
        <v>1089257.6843000001</v>
      </c>
      <c r="D2641" t="s">
        <v>233</v>
      </c>
      <c r="E2641">
        <v>2019</v>
      </c>
      <c r="F2641">
        <v>9</v>
      </c>
    </row>
    <row r="2642" spans="1:6" x14ac:dyDescent="0.55000000000000004">
      <c r="A2642" t="s">
        <v>107</v>
      </c>
      <c r="B2642" t="s">
        <v>6</v>
      </c>
      <c r="C2642">
        <v>1959509.4064</v>
      </c>
      <c r="D2642" t="s">
        <v>233</v>
      </c>
      <c r="E2642">
        <v>2019</v>
      </c>
      <c r="F2642">
        <v>9</v>
      </c>
    </row>
    <row r="2643" spans="1:6" x14ac:dyDescent="0.55000000000000004">
      <c r="A2643" t="s">
        <v>107</v>
      </c>
      <c r="B2643" t="s">
        <v>7</v>
      </c>
      <c r="C2643">
        <v>3392432.8045999999</v>
      </c>
      <c r="D2643" t="s">
        <v>233</v>
      </c>
      <c r="E2643">
        <v>2019</v>
      </c>
      <c r="F2643">
        <v>9</v>
      </c>
    </row>
    <row r="2644" spans="1:6" x14ac:dyDescent="0.55000000000000004">
      <c r="A2644" t="s">
        <v>107</v>
      </c>
      <c r="B2644" t="s">
        <v>8</v>
      </c>
      <c r="C2644">
        <v>3651134.7489999998</v>
      </c>
      <c r="D2644" t="s">
        <v>233</v>
      </c>
      <c r="E2644">
        <v>2019</v>
      </c>
      <c r="F2644">
        <v>9</v>
      </c>
    </row>
    <row r="2645" spans="1:6" x14ac:dyDescent="0.55000000000000004">
      <c r="A2645" t="s">
        <v>107</v>
      </c>
      <c r="B2645" t="s">
        <v>9</v>
      </c>
      <c r="C2645">
        <v>919.55</v>
      </c>
      <c r="D2645" t="s">
        <v>233</v>
      </c>
      <c r="E2645">
        <v>2019</v>
      </c>
      <c r="F2645">
        <v>9</v>
      </c>
    </row>
    <row r="2646" spans="1:6" x14ac:dyDescent="0.55000000000000004">
      <c r="A2646" t="s">
        <v>107</v>
      </c>
      <c r="B2646" t="s">
        <v>10</v>
      </c>
      <c r="C2646">
        <v>3296</v>
      </c>
      <c r="D2646" t="s">
        <v>233</v>
      </c>
      <c r="E2646">
        <v>2019</v>
      </c>
      <c r="F2646">
        <v>9</v>
      </c>
    </row>
    <row r="2647" spans="1:6" x14ac:dyDescent="0.55000000000000004">
      <c r="A2647" t="s">
        <v>107</v>
      </c>
      <c r="B2647" t="s">
        <v>11</v>
      </c>
      <c r="C2647">
        <v>3495386.5614</v>
      </c>
      <c r="D2647" t="s">
        <v>233</v>
      </c>
      <c r="E2647">
        <v>2019</v>
      </c>
      <c r="F2647">
        <v>9</v>
      </c>
    </row>
    <row r="2648" spans="1:6" x14ac:dyDescent="0.55000000000000004">
      <c r="A2648" t="s">
        <v>107</v>
      </c>
      <c r="B2648" t="s">
        <v>12</v>
      </c>
      <c r="C2648">
        <v>22422.083299999998</v>
      </c>
      <c r="D2648" t="s">
        <v>233</v>
      </c>
      <c r="E2648">
        <v>2019</v>
      </c>
      <c r="F2648">
        <v>9</v>
      </c>
    </row>
    <row r="2649" spans="1:6" x14ac:dyDescent="0.55000000000000004">
      <c r="A2649" t="s">
        <v>107</v>
      </c>
      <c r="B2649" t="s">
        <v>13</v>
      </c>
      <c r="C2649">
        <v>17448.333299999998</v>
      </c>
      <c r="D2649" t="s">
        <v>233</v>
      </c>
      <c r="E2649">
        <v>2019</v>
      </c>
      <c r="F2649">
        <v>9</v>
      </c>
    </row>
    <row r="2650" spans="1:6" x14ac:dyDescent="0.55000000000000004">
      <c r="A2650" t="s">
        <v>107</v>
      </c>
      <c r="B2650" t="s">
        <v>14</v>
      </c>
      <c r="C2650">
        <v>920</v>
      </c>
      <c r="D2650" t="s">
        <v>233</v>
      </c>
      <c r="E2650">
        <v>2019</v>
      </c>
      <c r="F2650">
        <v>9</v>
      </c>
    </row>
    <row r="2651" spans="1:6" x14ac:dyDescent="0.55000000000000004">
      <c r="A2651" t="s">
        <v>107</v>
      </c>
      <c r="B2651" t="s">
        <v>15</v>
      </c>
      <c r="C2651">
        <v>1008896.1433</v>
      </c>
      <c r="D2651" t="s">
        <v>233</v>
      </c>
      <c r="E2651">
        <v>2019</v>
      </c>
      <c r="F2651">
        <v>9</v>
      </c>
    </row>
    <row r="2652" spans="1:6" x14ac:dyDescent="0.55000000000000004">
      <c r="A2652" t="s">
        <v>107</v>
      </c>
      <c r="B2652" t="s">
        <v>16</v>
      </c>
      <c r="C2652">
        <v>0</v>
      </c>
      <c r="D2652" t="s">
        <v>233</v>
      </c>
      <c r="E2652">
        <v>2019</v>
      </c>
      <c r="F2652">
        <v>9</v>
      </c>
    </row>
    <row r="2653" spans="1:6" x14ac:dyDescent="0.55000000000000004">
      <c r="A2653" t="s">
        <v>107</v>
      </c>
      <c r="B2653" t="s">
        <v>17</v>
      </c>
      <c r="C2653">
        <v>60919.0605</v>
      </c>
      <c r="D2653" t="s">
        <v>233</v>
      </c>
      <c r="E2653">
        <v>2019</v>
      </c>
      <c r="F2653">
        <v>9</v>
      </c>
    </row>
    <row r="2654" spans="1:6" x14ac:dyDescent="0.55000000000000004">
      <c r="A2654" t="s">
        <v>107</v>
      </c>
      <c r="B2654" t="s">
        <v>18</v>
      </c>
      <c r="C2654">
        <v>313549.61629999999</v>
      </c>
      <c r="D2654" t="s">
        <v>233</v>
      </c>
      <c r="E2654">
        <v>2019</v>
      </c>
      <c r="F2654">
        <v>9</v>
      </c>
    </row>
    <row r="2655" spans="1:6" x14ac:dyDescent="0.55000000000000004">
      <c r="A2655" t="s">
        <v>107</v>
      </c>
      <c r="B2655" t="s">
        <v>19</v>
      </c>
      <c r="C2655">
        <v>1349.6353999999999</v>
      </c>
      <c r="D2655" t="s">
        <v>233</v>
      </c>
      <c r="E2655">
        <v>2019</v>
      </c>
      <c r="F2655">
        <v>9</v>
      </c>
    </row>
    <row r="2656" spans="1:6" x14ac:dyDescent="0.55000000000000004">
      <c r="A2656" t="s">
        <v>107</v>
      </c>
      <c r="B2656" t="s">
        <v>20</v>
      </c>
      <c r="C2656">
        <v>22967</v>
      </c>
      <c r="D2656" t="s">
        <v>233</v>
      </c>
      <c r="E2656">
        <v>2019</v>
      </c>
      <c r="F2656">
        <v>9</v>
      </c>
    </row>
    <row r="2657" spans="1:6" x14ac:dyDescent="0.55000000000000004">
      <c r="A2657" t="s">
        <v>107</v>
      </c>
      <c r="B2657" t="s">
        <v>21</v>
      </c>
      <c r="C2657">
        <v>2351.0156999999999</v>
      </c>
      <c r="D2657" t="s">
        <v>233</v>
      </c>
      <c r="E2657">
        <v>2019</v>
      </c>
      <c r="F2657">
        <v>9</v>
      </c>
    </row>
    <row r="2658" spans="1:6" x14ac:dyDescent="0.55000000000000004">
      <c r="A2658" t="s">
        <v>107</v>
      </c>
      <c r="B2658" t="s">
        <v>22</v>
      </c>
      <c r="C2658">
        <v>58498.109299999996</v>
      </c>
      <c r="D2658" t="s">
        <v>233</v>
      </c>
      <c r="E2658">
        <v>2019</v>
      </c>
      <c r="F2658">
        <v>9</v>
      </c>
    </row>
    <row r="2659" spans="1:6" x14ac:dyDescent="0.55000000000000004">
      <c r="A2659" t="s">
        <v>107</v>
      </c>
      <c r="B2659" t="s">
        <v>23</v>
      </c>
      <c r="C2659">
        <v>26185.565500000001</v>
      </c>
      <c r="D2659" t="s">
        <v>233</v>
      </c>
      <c r="E2659">
        <v>2019</v>
      </c>
      <c r="F2659">
        <v>9</v>
      </c>
    </row>
    <row r="2660" spans="1:6" x14ac:dyDescent="0.55000000000000004">
      <c r="A2660" t="s">
        <v>107</v>
      </c>
      <c r="B2660" t="s">
        <v>24</v>
      </c>
      <c r="C2660">
        <v>0</v>
      </c>
      <c r="D2660" t="s">
        <v>233</v>
      </c>
      <c r="E2660">
        <v>2019</v>
      </c>
      <c r="F2660">
        <v>9</v>
      </c>
    </row>
    <row r="2661" spans="1:6" x14ac:dyDescent="0.55000000000000004">
      <c r="A2661" t="s">
        <v>107</v>
      </c>
      <c r="B2661" t="s">
        <v>25</v>
      </c>
      <c r="C2661">
        <v>361760.38660000003</v>
      </c>
      <c r="D2661" t="s">
        <v>233</v>
      </c>
      <c r="E2661">
        <v>2019</v>
      </c>
      <c r="F2661">
        <v>9</v>
      </c>
    </row>
    <row r="2662" spans="1:6" x14ac:dyDescent="0.55000000000000004">
      <c r="A2662" t="s">
        <v>107</v>
      </c>
      <c r="B2662" t="s">
        <v>26</v>
      </c>
      <c r="C2662">
        <v>0</v>
      </c>
      <c r="D2662" t="s">
        <v>233</v>
      </c>
      <c r="E2662">
        <v>2019</v>
      </c>
      <c r="F2662">
        <v>9</v>
      </c>
    </row>
    <row r="2663" spans="1:6" x14ac:dyDescent="0.55000000000000004">
      <c r="A2663" t="s">
        <v>107</v>
      </c>
      <c r="B2663" t="s">
        <v>27</v>
      </c>
      <c r="C2663">
        <v>418.52370000000002</v>
      </c>
      <c r="D2663" t="s">
        <v>233</v>
      </c>
      <c r="E2663">
        <v>2019</v>
      </c>
      <c r="F2663">
        <v>9</v>
      </c>
    </row>
    <row r="2664" spans="1:6" x14ac:dyDescent="0.55000000000000004">
      <c r="A2664" t="s">
        <v>107</v>
      </c>
      <c r="B2664" t="s">
        <v>28</v>
      </c>
      <c r="C2664">
        <v>215118.2084</v>
      </c>
      <c r="D2664" t="s">
        <v>233</v>
      </c>
      <c r="E2664">
        <v>2019</v>
      </c>
      <c r="F2664">
        <v>9</v>
      </c>
    </row>
    <row r="2665" spans="1:6" x14ac:dyDescent="0.55000000000000004">
      <c r="A2665" t="s">
        <v>107</v>
      </c>
      <c r="B2665" t="s">
        <v>29</v>
      </c>
      <c r="C2665">
        <v>6247.9318000000003</v>
      </c>
      <c r="D2665" t="s">
        <v>233</v>
      </c>
      <c r="E2665">
        <v>2019</v>
      </c>
      <c r="F2665">
        <v>9</v>
      </c>
    </row>
    <row r="2666" spans="1:6" x14ac:dyDescent="0.55000000000000004">
      <c r="A2666" t="s">
        <v>107</v>
      </c>
      <c r="B2666" t="s">
        <v>30</v>
      </c>
      <c r="C2666">
        <v>30.333300000000001</v>
      </c>
      <c r="D2666" t="s">
        <v>233</v>
      </c>
      <c r="E2666">
        <v>2019</v>
      </c>
      <c r="F2666">
        <v>9</v>
      </c>
    </row>
    <row r="2667" spans="1:6" x14ac:dyDescent="0.55000000000000004">
      <c r="A2667" t="s">
        <v>107</v>
      </c>
      <c r="B2667" t="s">
        <v>31</v>
      </c>
      <c r="C2667">
        <v>77.713800000000006</v>
      </c>
      <c r="D2667" t="s">
        <v>233</v>
      </c>
      <c r="E2667">
        <v>2019</v>
      </c>
      <c r="F2667">
        <v>9</v>
      </c>
    </row>
    <row r="2668" spans="1:6" x14ac:dyDescent="0.55000000000000004">
      <c r="A2668" t="s">
        <v>107</v>
      </c>
      <c r="B2668" t="s">
        <v>32</v>
      </c>
      <c r="C2668">
        <v>246410.47700000001</v>
      </c>
      <c r="D2668" t="s">
        <v>233</v>
      </c>
      <c r="E2668">
        <v>2019</v>
      </c>
      <c r="F2668">
        <v>9</v>
      </c>
    </row>
    <row r="2669" spans="1:6" x14ac:dyDescent="0.55000000000000004">
      <c r="A2669" t="s">
        <v>107</v>
      </c>
      <c r="B2669" t="s">
        <v>33</v>
      </c>
      <c r="C2669">
        <v>415176.14409999998</v>
      </c>
      <c r="D2669" t="s">
        <v>233</v>
      </c>
      <c r="E2669">
        <v>2019</v>
      </c>
      <c r="F2669">
        <v>9</v>
      </c>
    </row>
    <row r="2670" spans="1:6" x14ac:dyDescent="0.55000000000000004">
      <c r="A2670" t="s">
        <v>107</v>
      </c>
      <c r="B2670" t="s">
        <v>34</v>
      </c>
      <c r="C2670">
        <v>702817.59719999996</v>
      </c>
      <c r="D2670" t="s">
        <v>233</v>
      </c>
      <c r="E2670">
        <v>2019</v>
      </c>
      <c r="F2670">
        <v>9</v>
      </c>
    </row>
    <row r="2671" spans="1:6" x14ac:dyDescent="0.55000000000000004">
      <c r="A2671" t="s">
        <v>107</v>
      </c>
      <c r="B2671" t="s">
        <v>35</v>
      </c>
      <c r="C2671">
        <v>1609.3517999999999</v>
      </c>
      <c r="D2671" t="s">
        <v>233</v>
      </c>
      <c r="E2671">
        <v>2019</v>
      </c>
      <c r="F2671">
        <v>9</v>
      </c>
    </row>
    <row r="2672" spans="1:6" x14ac:dyDescent="0.55000000000000004">
      <c r="A2672" t="s">
        <v>107</v>
      </c>
      <c r="B2672" t="s">
        <v>36</v>
      </c>
      <c r="C2672">
        <v>68592.251000000004</v>
      </c>
      <c r="D2672" t="s">
        <v>233</v>
      </c>
      <c r="E2672">
        <v>2019</v>
      </c>
      <c r="F2672">
        <v>9</v>
      </c>
    </row>
    <row r="2673" spans="1:6" x14ac:dyDescent="0.55000000000000004">
      <c r="A2673" t="s">
        <v>107</v>
      </c>
      <c r="B2673" t="s">
        <v>37</v>
      </c>
      <c r="C2673">
        <v>48835.8842</v>
      </c>
      <c r="D2673" t="s">
        <v>233</v>
      </c>
      <c r="E2673">
        <v>2019</v>
      </c>
      <c r="F2673">
        <v>9</v>
      </c>
    </row>
    <row r="2674" spans="1:6" x14ac:dyDescent="0.55000000000000004">
      <c r="A2674" t="s">
        <v>107</v>
      </c>
      <c r="B2674" t="s">
        <v>38</v>
      </c>
      <c r="C2674">
        <v>0</v>
      </c>
      <c r="D2674" t="s">
        <v>233</v>
      </c>
      <c r="E2674">
        <v>2019</v>
      </c>
      <c r="F2674">
        <v>9</v>
      </c>
    </row>
    <row r="2675" spans="1:6" x14ac:dyDescent="0.55000000000000004">
      <c r="A2675" t="s">
        <v>107</v>
      </c>
      <c r="B2675" t="s">
        <v>39</v>
      </c>
      <c r="C2675">
        <v>25</v>
      </c>
      <c r="D2675" t="s">
        <v>233</v>
      </c>
      <c r="E2675">
        <v>2019</v>
      </c>
      <c r="F2675">
        <v>9</v>
      </c>
    </row>
    <row r="2676" spans="1:6" x14ac:dyDescent="0.55000000000000004">
      <c r="A2676" t="s">
        <v>107</v>
      </c>
      <c r="B2676" t="s">
        <v>40</v>
      </c>
      <c r="C2676">
        <v>569.73800000000006</v>
      </c>
      <c r="D2676" t="s">
        <v>233</v>
      </c>
      <c r="E2676">
        <v>2019</v>
      </c>
      <c r="F2676">
        <v>9</v>
      </c>
    </row>
    <row r="2677" spans="1:6" x14ac:dyDescent="0.55000000000000004">
      <c r="A2677" t="s">
        <v>107</v>
      </c>
      <c r="B2677" t="s">
        <v>41</v>
      </c>
      <c r="C2677">
        <v>144752.71969999999</v>
      </c>
      <c r="D2677" t="s">
        <v>233</v>
      </c>
      <c r="E2677">
        <v>2019</v>
      </c>
      <c r="F2677">
        <v>9</v>
      </c>
    </row>
    <row r="2678" spans="1:6" x14ac:dyDescent="0.55000000000000004">
      <c r="A2678" t="s">
        <v>107</v>
      </c>
      <c r="B2678" t="s">
        <v>42</v>
      </c>
      <c r="C2678">
        <v>86.616699999999994</v>
      </c>
      <c r="D2678" t="s">
        <v>233</v>
      </c>
      <c r="E2678">
        <v>2019</v>
      </c>
      <c r="F2678">
        <v>9</v>
      </c>
    </row>
    <row r="2679" spans="1:6" x14ac:dyDescent="0.55000000000000004">
      <c r="A2679" t="s">
        <v>107</v>
      </c>
      <c r="B2679" t="s">
        <v>43</v>
      </c>
      <c r="C2679">
        <v>128349.9623</v>
      </c>
      <c r="D2679" t="s">
        <v>233</v>
      </c>
      <c r="E2679">
        <v>2019</v>
      </c>
      <c r="F2679">
        <v>9</v>
      </c>
    </row>
    <row r="2680" spans="1:6" x14ac:dyDescent="0.55000000000000004">
      <c r="A2680" t="s">
        <v>107</v>
      </c>
      <c r="B2680" t="s">
        <v>44</v>
      </c>
      <c r="C2680">
        <v>0</v>
      </c>
      <c r="D2680" t="s">
        <v>233</v>
      </c>
      <c r="E2680">
        <v>2019</v>
      </c>
      <c r="F2680">
        <v>9</v>
      </c>
    </row>
    <row r="2681" spans="1:6" x14ac:dyDescent="0.55000000000000004">
      <c r="A2681" t="s">
        <v>107</v>
      </c>
      <c r="B2681" t="s">
        <v>45</v>
      </c>
      <c r="C2681">
        <v>6518.2660999999998</v>
      </c>
      <c r="D2681" t="s">
        <v>233</v>
      </c>
      <c r="E2681">
        <v>2019</v>
      </c>
      <c r="F2681">
        <v>9</v>
      </c>
    </row>
    <row r="2682" spans="1:6" x14ac:dyDescent="0.55000000000000004">
      <c r="A2682" t="s">
        <v>107</v>
      </c>
      <c r="B2682" t="s">
        <v>46</v>
      </c>
      <c r="C2682">
        <v>95411.66</v>
      </c>
      <c r="D2682" t="s">
        <v>233</v>
      </c>
      <c r="E2682">
        <v>2019</v>
      </c>
      <c r="F2682">
        <v>9</v>
      </c>
    </row>
    <row r="2683" spans="1:6" x14ac:dyDescent="0.55000000000000004">
      <c r="A2683" t="s">
        <v>107</v>
      </c>
      <c r="B2683" t="s">
        <v>47</v>
      </c>
      <c r="C2683">
        <v>0</v>
      </c>
      <c r="D2683" t="s">
        <v>233</v>
      </c>
      <c r="E2683">
        <v>2019</v>
      </c>
      <c r="F2683">
        <v>9</v>
      </c>
    </row>
    <row r="2684" spans="1:6" x14ac:dyDescent="0.55000000000000004">
      <c r="A2684" t="s">
        <v>107</v>
      </c>
      <c r="B2684" t="s">
        <v>48</v>
      </c>
      <c r="C2684">
        <v>616298.64619999996</v>
      </c>
      <c r="D2684" t="s">
        <v>233</v>
      </c>
      <c r="E2684">
        <v>2019</v>
      </c>
      <c r="F2684">
        <v>9</v>
      </c>
    </row>
    <row r="2685" spans="1:6" x14ac:dyDescent="0.55000000000000004">
      <c r="A2685" t="s">
        <v>107</v>
      </c>
      <c r="B2685" t="s">
        <v>49</v>
      </c>
      <c r="C2685">
        <v>957.84</v>
      </c>
      <c r="D2685" t="s">
        <v>233</v>
      </c>
      <c r="E2685">
        <v>2019</v>
      </c>
      <c r="F2685">
        <v>9</v>
      </c>
    </row>
    <row r="2686" spans="1:6" x14ac:dyDescent="0.55000000000000004">
      <c r="A2686" t="s">
        <v>107</v>
      </c>
      <c r="B2686" t="s">
        <v>50</v>
      </c>
      <c r="C2686">
        <v>46028.91</v>
      </c>
      <c r="D2686" t="s">
        <v>233</v>
      </c>
      <c r="E2686">
        <v>2019</v>
      </c>
      <c r="F2686">
        <v>9</v>
      </c>
    </row>
    <row r="2687" spans="1:6" x14ac:dyDescent="0.55000000000000004">
      <c r="A2687" t="s">
        <v>107</v>
      </c>
      <c r="B2687" t="s">
        <v>51</v>
      </c>
      <c r="C2687">
        <v>4389.5937999999996</v>
      </c>
      <c r="D2687" t="s">
        <v>233</v>
      </c>
      <c r="E2687">
        <v>2019</v>
      </c>
      <c r="F2687">
        <v>9</v>
      </c>
    </row>
    <row r="2688" spans="1:6" x14ac:dyDescent="0.55000000000000004">
      <c r="A2688" t="s">
        <v>107</v>
      </c>
      <c r="B2688" t="s">
        <v>52</v>
      </c>
      <c r="C2688">
        <v>49.072200000000002</v>
      </c>
      <c r="D2688" t="s">
        <v>233</v>
      </c>
      <c r="E2688">
        <v>2019</v>
      </c>
      <c r="F2688">
        <v>9</v>
      </c>
    </row>
    <row r="2689" spans="1:6" x14ac:dyDescent="0.55000000000000004">
      <c r="A2689" t="s">
        <v>107</v>
      </c>
      <c r="B2689" t="s">
        <v>53</v>
      </c>
      <c r="C2689">
        <v>33284.79</v>
      </c>
      <c r="D2689" t="s">
        <v>233</v>
      </c>
      <c r="E2689">
        <v>2019</v>
      </c>
      <c r="F2689">
        <v>9</v>
      </c>
    </row>
    <row r="2690" spans="1:6" x14ac:dyDescent="0.55000000000000004">
      <c r="A2690" t="s">
        <v>107</v>
      </c>
      <c r="B2690" t="s">
        <v>54</v>
      </c>
      <c r="C2690">
        <v>16541.9611</v>
      </c>
      <c r="D2690" t="s">
        <v>233</v>
      </c>
      <c r="E2690">
        <v>2019</v>
      </c>
      <c r="F2690">
        <v>9</v>
      </c>
    </row>
    <row r="2691" spans="1:6" x14ac:dyDescent="0.55000000000000004">
      <c r="A2691" t="s">
        <v>107</v>
      </c>
      <c r="B2691" t="s">
        <v>55</v>
      </c>
      <c r="C2691">
        <v>13507.1667</v>
      </c>
      <c r="D2691" t="s">
        <v>233</v>
      </c>
      <c r="E2691">
        <v>2019</v>
      </c>
      <c r="F2691">
        <v>9</v>
      </c>
    </row>
    <row r="2692" spans="1:6" x14ac:dyDescent="0.55000000000000004">
      <c r="A2692" t="s">
        <v>107</v>
      </c>
      <c r="B2692" t="s">
        <v>56</v>
      </c>
      <c r="C2692">
        <v>0</v>
      </c>
      <c r="D2692" t="s">
        <v>233</v>
      </c>
      <c r="E2692">
        <v>2019</v>
      </c>
      <c r="F2692">
        <v>9</v>
      </c>
    </row>
    <row r="2693" spans="1:6" x14ac:dyDescent="0.55000000000000004">
      <c r="A2693" t="s">
        <v>107</v>
      </c>
      <c r="B2693" t="s">
        <v>57</v>
      </c>
      <c r="C2693">
        <v>317.54629999999997</v>
      </c>
      <c r="D2693" t="s">
        <v>233</v>
      </c>
      <c r="E2693">
        <v>2019</v>
      </c>
      <c r="F2693">
        <v>9</v>
      </c>
    </row>
    <row r="2694" spans="1:6" x14ac:dyDescent="0.55000000000000004">
      <c r="A2694" t="s">
        <v>107</v>
      </c>
      <c r="B2694" t="s">
        <v>58</v>
      </c>
      <c r="C2694">
        <v>362218.99</v>
      </c>
      <c r="D2694" t="s">
        <v>233</v>
      </c>
      <c r="E2694">
        <v>2019</v>
      </c>
      <c r="F2694">
        <v>9</v>
      </c>
    </row>
    <row r="2695" spans="1:6" x14ac:dyDescent="0.55000000000000004">
      <c r="A2695" t="s">
        <v>107</v>
      </c>
      <c r="B2695" t="s">
        <v>59</v>
      </c>
      <c r="C2695">
        <v>34.164900000000003</v>
      </c>
      <c r="D2695" t="s">
        <v>233</v>
      </c>
      <c r="E2695">
        <v>2019</v>
      </c>
      <c r="F2695">
        <v>9</v>
      </c>
    </row>
    <row r="2696" spans="1:6" x14ac:dyDescent="0.55000000000000004">
      <c r="A2696" t="s">
        <v>107</v>
      </c>
      <c r="B2696" t="s">
        <v>60</v>
      </c>
      <c r="C2696">
        <v>1518218.8447</v>
      </c>
      <c r="D2696" t="s">
        <v>233</v>
      </c>
      <c r="E2696">
        <v>2019</v>
      </c>
      <c r="F2696">
        <v>9</v>
      </c>
    </row>
    <row r="2697" spans="1:6" x14ac:dyDescent="0.55000000000000004">
      <c r="A2697" t="s">
        <v>107</v>
      </c>
      <c r="B2697" t="s">
        <v>61</v>
      </c>
      <c r="C2697">
        <v>775.01229999999998</v>
      </c>
      <c r="D2697" t="s">
        <v>233</v>
      </c>
      <c r="E2697">
        <v>2019</v>
      </c>
      <c r="F2697">
        <v>9</v>
      </c>
    </row>
    <row r="2698" spans="1:6" x14ac:dyDescent="0.55000000000000004">
      <c r="A2698" t="s">
        <v>107</v>
      </c>
      <c r="B2698" t="s">
        <v>62</v>
      </c>
      <c r="C2698">
        <v>1794.6664000000001</v>
      </c>
      <c r="D2698" t="s">
        <v>233</v>
      </c>
      <c r="E2698">
        <v>2019</v>
      </c>
      <c r="F2698">
        <v>9</v>
      </c>
    </row>
    <row r="2699" spans="1:6" x14ac:dyDescent="0.55000000000000004">
      <c r="A2699" t="s">
        <v>107</v>
      </c>
      <c r="B2699" t="s">
        <v>63</v>
      </c>
      <c r="C2699">
        <v>0</v>
      </c>
      <c r="D2699" t="s">
        <v>233</v>
      </c>
      <c r="E2699">
        <v>2019</v>
      </c>
      <c r="F2699">
        <v>9</v>
      </c>
    </row>
    <row r="2700" spans="1:6" x14ac:dyDescent="0.55000000000000004">
      <c r="A2700" t="s">
        <v>108</v>
      </c>
      <c r="B2700" t="s">
        <v>4</v>
      </c>
      <c r="C2700">
        <v>9368746.9454999994</v>
      </c>
      <c r="D2700" t="s">
        <v>234</v>
      </c>
      <c r="E2700">
        <v>2019</v>
      </c>
      <c r="F2700">
        <v>10</v>
      </c>
    </row>
    <row r="2701" spans="1:6" x14ac:dyDescent="0.55000000000000004">
      <c r="A2701" t="s">
        <v>108</v>
      </c>
      <c r="B2701" t="s">
        <v>5</v>
      </c>
      <c r="C2701">
        <v>1317679.8733999999</v>
      </c>
      <c r="D2701" t="s">
        <v>234</v>
      </c>
      <c r="E2701">
        <v>2019</v>
      </c>
      <c r="F2701">
        <v>10</v>
      </c>
    </row>
    <row r="2702" spans="1:6" x14ac:dyDescent="0.55000000000000004">
      <c r="A2702" t="s">
        <v>108</v>
      </c>
      <c r="B2702" t="s">
        <v>6</v>
      </c>
      <c r="C2702">
        <v>1515708.6721000001</v>
      </c>
      <c r="D2702" t="s">
        <v>234</v>
      </c>
      <c r="E2702">
        <v>2019</v>
      </c>
      <c r="F2702">
        <v>10</v>
      </c>
    </row>
    <row r="2703" spans="1:6" x14ac:dyDescent="0.55000000000000004">
      <c r="A2703" t="s">
        <v>108</v>
      </c>
      <c r="B2703" t="s">
        <v>7</v>
      </c>
      <c r="C2703">
        <v>3508045.7496000002</v>
      </c>
      <c r="D2703" t="s">
        <v>234</v>
      </c>
      <c r="E2703">
        <v>2019</v>
      </c>
      <c r="F2703">
        <v>10</v>
      </c>
    </row>
    <row r="2704" spans="1:6" x14ac:dyDescent="0.55000000000000004">
      <c r="A2704" t="s">
        <v>108</v>
      </c>
      <c r="B2704" t="s">
        <v>8</v>
      </c>
      <c r="C2704">
        <v>3027312.6504000002</v>
      </c>
      <c r="D2704" t="s">
        <v>234</v>
      </c>
      <c r="E2704">
        <v>2019</v>
      </c>
      <c r="F2704">
        <v>10</v>
      </c>
    </row>
    <row r="2705" spans="1:6" x14ac:dyDescent="0.55000000000000004">
      <c r="A2705" t="s">
        <v>108</v>
      </c>
      <c r="B2705" t="s">
        <v>9</v>
      </c>
      <c r="C2705">
        <v>3317.18</v>
      </c>
      <c r="D2705" t="s">
        <v>234</v>
      </c>
      <c r="E2705">
        <v>2019</v>
      </c>
      <c r="F2705">
        <v>10</v>
      </c>
    </row>
    <row r="2706" spans="1:6" x14ac:dyDescent="0.55000000000000004">
      <c r="A2706" t="s">
        <v>108</v>
      </c>
      <c r="B2706" t="s">
        <v>10</v>
      </c>
      <c r="C2706">
        <v>3459.5832999999998</v>
      </c>
      <c r="D2706" t="s">
        <v>234</v>
      </c>
      <c r="E2706">
        <v>2019</v>
      </c>
      <c r="F2706">
        <v>10</v>
      </c>
    </row>
    <row r="2707" spans="1:6" x14ac:dyDescent="0.55000000000000004">
      <c r="A2707" t="s">
        <v>108</v>
      </c>
      <c r="B2707" t="s">
        <v>11</v>
      </c>
      <c r="C2707">
        <v>3670113.2012</v>
      </c>
      <c r="D2707" t="s">
        <v>234</v>
      </c>
      <c r="E2707">
        <v>2019</v>
      </c>
      <c r="F2707">
        <v>10</v>
      </c>
    </row>
    <row r="2708" spans="1:6" x14ac:dyDescent="0.55000000000000004">
      <c r="A2708" t="s">
        <v>108</v>
      </c>
      <c r="B2708" t="s">
        <v>12</v>
      </c>
      <c r="C2708">
        <v>19818.383399999999</v>
      </c>
      <c r="D2708" t="s">
        <v>234</v>
      </c>
      <c r="E2708">
        <v>2019</v>
      </c>
      <c r="F2708">
        <v>10</v>
      </c>
    </row>
    <row r="2709" spans="1:6" x14ac:dyDescent="0.55000000000000004">
      <c r="A2709" t="s">
        <v>108</v>
      </c>
      <c r="B2709" t="s">
        <v>13</v>
      </c>
      <c r="C2709">
        <v>22600</v>
      </c>
      <c r="D2709" t="s">
        <v>234</v>
      </c>
      <c r="E2709">
        <v>2019</v>
      </c>
      <c r="F2709">
        <v>10</v>
      </c>
    </row>
    <row r="2710" spans="1:6" x14ac:dyDescent="0.55000000000000004">
      <c r="A2710" t="s">
        <v>108</v>
      </c>
      <c r="B2710" t="s">
        <v>14</v>
      </c>
      <c r="C2710">
        <v>1528.33</v>
      </c>
      <c r="D2710" t="s">
        <v>234</v>
      </c>
      <c r="E2710">
        <v>2019</v>
      </c>
      <c r="F2710">
        <v>10</v>
      </c>
    </row>
    <row r="2711" spans="1:6" x14ac:dyDescent="0.55000000000000004">
      <c r="A2711" t="s">
        <v>108</v>
      </c>
      <c r="B2711" t="s">
        <v>15</v>
      </c>
      <c r="C2711">
        <v>1211774.4267</v>
      </c>
      <c r="D2711" t="s">
        <v>234</v>
      </c>
      <c r="E2711">
        <v>2019</v>
      </c>
      <c r="F2711">
        <v>10</v>
      </c>
    </row>
    <row r="2712" spans="1:6" x14ac:dyDescent="0.55000000000000004">
      <c r="A2712" t="s">
        <v>108</v>
      </c>
      <c r="B2712" t="s">
        <v>16</v>
      </c>
      <c r="C2712">
        <v>0.55530000000000002</v>
      </c>
      <c r="D2712" t="s">
        <v>234</v>
      </c>
      <c r="E2712">
        <v>2019</v>
      </c>
      <c r="F2712">
        <v>10</v>
      </c>
    </row>
    <row r="2713" spans="1:6" x14ac:dyDescent="0.55000000000000004">
      <c r="A2713" t="s">
        <v>108</v>
      </c>
      <c r="B2713" t="s">
        <v>17</v>
      </c>
      <c r="C2713">
        <v>11852.9676</v>
      </c>
      <c r="D2713" t="s">
        <v>234</v>
      </c>
      <c r="E2713">
        <v>2019</v>
      </c>
      <c r="F2713">
        <v>10</v>
      </c>
    </row>
    <row r="2714" spans="1:6" x14ac:dyDescent="0.55000000000000004">
      <c r="A2714" t="s">
        <v>108</v>
      </c>
      <c r="B2714" t="s">
        <v>18</v>
      </c>
      <c r="C2714">
        <v>97243.283200000005</v>
      </c>
      <c r="D2714" t="s">
        <v>234</v>
      </c>
      <c r="E2714">
        <v>2019</v>
      </c>
      <c r="F2714">
        <v>10</v>
      </c>
    </row>
    <row r="2715" spans="1:6" x14ac:dyDescent="0.55000000000000004">
      <c r="A2715" t="s">
        <v>108</v>
      </c>
      <c r="B2715" t="s">
        <v>19</v>
      </c>
      <c r="C2715">
        <v>1349.6353999999999</v>
      </c>
      <c r="D2715" t="s">
        <v>234</v>
      </c>
      <c r="E2715">
        <v>2019</v>
      </c>
      <c r="F2715">
        <v>10</v>
      </c>
    </row>
    <row r="2716" spans="1:6" x14ac:dyDescent="0.55000000000000004">
      <c r="A2716" t="s">
        <v>108</v>
      </c>
      <c r="B2716" t="s">
        <v>20</v>
      </c>
      <c r="C2716">
        <v>15037.296</v>
      </c>
      <c r="D2716" t="s">
        <v>234</v>
      </c>
      <c r="E2716">
        <v>2019</v>
      </c>
      <c r="F2716">
        <v>10</v>
      </c>
    </row>
    <row r="2717" spans="1:6" x14ac:dyDescent="0.55000000000000004">
      <c r="A2717" t="s">
        <v>108</v>
      </c>
      <c r="B2717" t="s">
        <v>21</v>
      </c>
      <c r="C2717">
        <v>1940.1375</v>
      </c>
      <c r="D2717" t="s">
        <v>234</v>
      </c>
      <c r="E2717">
        <v>2019</v>
      </c>
      <c r="F2717">
        <v>10</v>
      </c>
    </row>
    <row r="2718" spans="1:6" x14ac:dyDescent="0.55000000000000004">
      <c r="A2718" t="s">
        <v>108</v>
      </c>
      <c r="B2718" t="s">
        <v>22</v>
      </c>
      <c r="C2718">
        <v>34045.473899999997</v>
      </c>
      <c r="D2718" t="s">
        <v>234</v>
      </c>
      <c r="E2718">
        <v>2019</v>
      </c>
      <c r="F2718">
        <v>10</v>
      </c>
    </row>
    <row r="2719" spans="1:6" x14ac:dyDescent="0.55000000000000004">
      <c r="A2719" t="s">
        <v>108</v>
      </c>
      <c r="B2719" t="s">
        <v>23</v>
      </c>
      <c r="C2719">
        <v>13412.7544</v>
      </c>
      <c r="D2719" t="s">
        <v>234</v>
      </c>
      <c r="E2719">
        <v>2019</v>
      </c>
      <c r="F2719">
        <v>10</v>
      </c>
    </row>
    <row r="2720" spans="1:6" x14ac:dyDescent="0.55000000000000004">
      <c r="A2720" t="s">
        <v>108</v>
      </c>
      <c r="B2720" t="s">
        <v>24</v>
      </c>
      <c r="C2720">
        <v>0</v>
      </c>
      <c r="D2720" t="s">
        <v>234</v>
      </c>
      <c r="E2720">
        <v>2019</v>
      </c>
      <c r="F2720">
        <v>10</v>
      </c>
    </row>
    <row r="2721" spans="1:6" x14ac:dyDescent="0.55000000000000004">
      <c r="A2721" t="s">
        <v>108</v>
      </c>
      <c r="B2721" t="s">
        <v>25</v>
      </c>
      <c r="C2721">
        <v>415125.25</v>
      </c>
      <c r="D2721" t="s">
        <v>234</v>
      </c>
      <c r="E2721">
        <v>2019</v>
      </c>
      <c r="F2721">
        <v>10</v>
      </c>
    </row>
    <row r="2722" spans="1:6" x14ac:dyDescent="0.55000000000000004">
      <c r="A2722" t="s">
        <v>108</v>
      </c>
      <c r="B2722" t="s">
        <v>26</v>
      </c>
      <c r="C2722">
        <v>0</v>
      </c>
      <c r="D2722" t="s">
        <v>234</v>
      </c>
      <c r="E2722">
        <v>2019</v>
      </c>
      <c r="F2722">
        <v>10</v>
      </c>
    </row>
    <row r="2723" spans="1:6" x14ac:dyDescent="0.55000000000000004">
      <c r="A2723" t="s">
        <v>108</v>
      </c>
      <c r="B2723" t="s">
        <v>27</v>
      </c>
      <c r="C2723">
        <v>541.05610000000001</v>
      </c>
      <c r="D2723" t="s">
        <v>234</v>
      </c>
      <c r="E2723">
        <v>2019</v>
      </c>
      <c r="F2723">
        <v>10</v>
      </c>
    </row>
    <row r="2724" spans="1:6" x14ac:dyDescent="0.55000000000000004">
      <c r="A2724" t="s">
        <v>108</v>
      </c>
      <c r="B2724" t="s">
        <v>28</v>
      </c>
      <c r="C2724">
        <v>85431.823900000003</v>
      </c>
      <c r="D2724" t="s">
        <v>234</v>
      </c>
      <c r="E2724">
        <v>2019</v>
      </c>
      <c r="F2724">
        <v>10</v>
      </c>
    </row>
    <row r="2725" spans="1:6" x14ac:dyDescent="0.55000000000000004">
      <c r="A2725" t="s">
        <v>108</v>
      </c>
      <c r="B2725" t="s">
        <v>29</v>
      </c>
      <c r="C2725">
        <v>5072.3818000000001</v>
      </c>
      <c r="D2725" t="s">
        <v>234</v>
      </c>
      <c r="E2725">
        <v>2019</v>
      </c>
      <c r="F2725">
        <v>10</v>
      </c>
    </row>
    <row r="2726" spans="1:6" x14ac:dyDescent="0.55000000000000004">
      <c r="A2726" t="s">
        <v>108</v>
      </c>
      <c r="B2726" t="s">
        <v>30</v>
      </c>
      <c r="C2726">
        <v>469.17</v>
      </c>
      <c r="D2726" t="s">
        <v>234</v>
      </c>
      <c r="E2726">
        <v>2019</v>
      </c>
      <c r="F2726">
        <v>10</v>
      </c>
    </row>
    <row r="2727" spans="1:6" x14ac:dyDescent="0.55000000000000004">
      <c r="A2727" t="s">
        <v>108</v>
      </c>
      <c r="B2727" t="s">
        <v>31</v>
      </c>
      <c r="C2727">
        <v>17.429500000000001</v>
      </c>
      <c r="D2727" t="s">
        <v>234</v>
      </c>
      <c r="E2727">
        <v>2019</v>
      </c>
      <c r="F2727">
        <v>10</v>
      </c>
    </row>
    <row r="2728" spans="1:6" x14ac:dyDescent="0.55000000000000004">
      <c r="A2728" t="s">
        <v>108</v>
      </c>
      <c r="B2728" t="s">
        <v>32</v>
      </c>
      <c r="C2728">
        <v>74979.777700000006</v>
      </c>
      <c r="D2728" t="s">
        <v>234</v>
      </c>
      <c r="E2728">
        <v>2019</v>
      </c>
      <c r="F2728">
        <v>10</v>
      </c>
    </row>
    <row r="2729" spans="1:6" x14ac:dyDescent="0.55000000000000004">
      <c r="A2729" t="s">
        <v>108</v>
      </c>
      <c r="B2729" t="s">
        <v>33</v>
      </c>
      <c r="C2729">
        <v>343220.16859999998</v>
      </c>
      <c r="D2729" t="s">
        <v>234</v>
      </c>
      <c r="E2729">
        <v>2019</v>
      </c>
      <c r="F2729">
        <v>10</v>
      </c>
    </row>
    <row r="2730" spans="1:6" x14ac:dyDescent="0.55000000000000004">
      <c r="A2730" t="s">
        <v>108</v>
      </c>
      <c r="B2730" t="s">
        <v>34</v>
      </c>
      <c r="C2730">
        <v>342464.22019999998</v>
      </c>
      <c r="D2730" t="s">
        <v>234</v>
      </c>
      <c r="E2730">
        <v>2019</v>
      </c>
      <c r="F2730">
        <v>10</v>
      </c>
    </row>
    <row r="2731" spans="1:6" x14ac:dyDescent="0.55000000000000004">
      <c r="A2731" t="s">
        <v>108</v>
      </c>
      <c r="B2731" t="s">
        <v>35</v>
      </c>
      <c r="C2731">
        <v>534.60799999999995</v>
      </c>
      <c r="D2731" t="s">
        <v>234</v>
      </c>
      <c r="E2731">
        <v>2019</v>
      </c>
      <c r="F2731">
        <v>10</v>
      </c>
    </row>
    <row r="2732" spans="1:6" x14ac:dyDescent="0.55000000000000004">
      <c r="A2732" t="s">
        <v>108</v>
      </c>
      <c r="B2732" t="s">
        <v>36</v>
      </c>
      <c r="C2732">
        <v>58680.306700000001</v>
      </c>
      <c r="D2732" t="s">
        <v>234</v>
      </c>
      <c r="E2732">
        <v>2019</v>
      </c>
      <c r="F2732">
        <v>10</v>
      </c>
    </row>
    <row r="2733" spans="1:6" x14ac:dyDescent="0.55000000000000004">
      <c r="A2733" t="s">
        <v>108</v>
      </c>
      <c r="B2733" t="s">
        <v>37</v>
      </c>
      <c r="C2733">
        <v>49675.941599999998</v>
      </c>
      <c r="D2733" t="s">
        <v>234</v>
      </c>
      <c r="E2733">
        <v>2019</v>
      </c>
      <c r="F2733">
        <v>10</v>
      </c>
    </row>
    <row r="2734" spans="1:6" x14ac:dyDescent="0.55000000000000004">
      <c r="A2734" t="s">
        <v>108</v>
      </c>
      <c r="B2734" t="s">
        <v>38</v>
      </c>
      <c r="C2734">
        <v>0</v>
      </c>
      <c r="D2734" t="s">
        <v>234</v>
      </c>
      <c r="E2734">
        <v>2019</v>
      </c>
      <c r="F2734">
        <v>10</v>
      </c>
    </row>
    <row r="2735" spans="1:6" x14ac:dyDescent="0.55000000000000004">
      <c r="A2735" t="s">
        <v>108</v>
      </c>
      <c r="B2735" t="s">
        <v>39</v>
      </c>
      <c r="C2735">
        <v>1525.0992000000001</v>
      </c>
      <c r="D2735" t="s">
        <v>234</v>
      </c>
      <c r="E2735">
        <v>2019</v>
      </c>
      <c r="F2735">
        <v>10</v>
      </c>
    </row>
    <row r="2736" spans="1:6" x14ac:dyDescent="0.55000000000000004">
      <c r="A2736" t="s">
        <v>108</v>
      </c>
      <c r="B2736" t="s">
        <v>40</v>
      </c>
      <c r="C2736">
        <v>889.73800000000006</v>
      </c>
      <c r="D2736" t="s">
        <v>234</v>
      </c>
      <c r="E2736">
        <v>2019</v>
      </c>
      <c r="F2736">
        <v>10</v>
      </c>
    </row>
    <row r="2737" spans="1:6" x14ac:dyDescent="0.55000000000000004">
      <c r="A2737" t="s">
        <v>108</v>
      </c>
      <c r="B2737" t="s">
        <v>41</v>
      </c>
      <c r="C2737">
        <v>150159.24119999999</v>
      </c>
      <c r="D2737" t="s">
        <v>234</v>
      </c>
      <c r="E2737">
        <v>2019</v>
      </c>
      <c r="F2737">
        <v>10</v>
      </c>
    </row>
    <row r="2738" spans="1:6" x14ac:dyDescent="0.55000000000000004">
      <c r="A2738" t="s">
        <v>108</v>
      </c>
      <c r="B2738" t="s">
        <v>42</v>
      </c>
      <c r="C2738">
        <v>158.83330000000001</v>
      </c>
      <c r="D2738" t="s">
        <v>234</v>
      </c>
      <c r="E2738">
        <v>2019</v>
      </c>
      <c r="F2738">
        <v>10</v>
      </c>
    </row>
    <row r="2739" spans="1:6" x14ac:dyDescent="0.55000000000000004">
      <c r="A2739" t="s">
        <v>108</v>
      </c>
      <c r="B2739" t="s">
        <v>43</v>
      </c>
      <c r="C2739">
        <v>106803.48360000001</v>
      </c>
      <c r="D2739" t="s">
        <v>234</v>
      </c>
      <c r="E2739">
        <v>2019</v>
      </c>
      <c r="F2739">
        <v>10</v>
      </c>
    </row>
    <row r="2740" spans="1:6" x14ac:dyDescent="0.55000000000000004">
      <c r="A2740" t="s">
        <v>108</v>
      </c>
      <c r="B2740" t="s">
        <v>44</v>
      </c>
      <c r="C2740">
        <v>0</v>
      </c>
      <c r="D2740" t="s">
        <v>234</v>
      </c>
      <c r="E2740">
        <v>2019</v>
      </c>
      <c r="F2740">
        <v>10</v>
      </c>
    </row>
    <row r="2741" spans="1:6" x14ac:dyDescent="0.55000000000000004">
      <c r="A2741" t="s">
        <v>108</v>
      </c>
      <c r="B2741" t="s">
        <v>45</v>
      </c>
      <c r="C2741">
        <v>3968.7125999999998</v>
      </c>
      <c r="D2741" t="s">
        <v>234</v>
      </c>
      <c r="E2741">
        <v>2019</v>
      </c>
      <c r="F2741">
        <v>10</v>
      </c>
    </row>
    <row r="2742" spans="1:6" x14ac:dyDescent="0.55000000000000004">
      <c r="A2742" t="s">
        <v>108</v>
      </c>
      <c r="B2742" t="s">
        <v>46</v>
      </c>
      <c r="C2742">
        <v>56565.33</v>
      </c>
      <c r="D2742" t="s">
        <v>234</v>
      </c>
      <c r="E2742">
        <v>2019</v>
      </c>
      <c r="F2742">
        <v>10</v>
      </c>
    </row>
    <row r="2743" spans="1:6" x14ac:dyDescent="0.55000000000000004">
      <c r="A2743" t="s">
        <v>108</v>
      </c>
      <c r="B2743" t="s">
        <v>47</v>
      </c>
      <c r="C2743">
        <v>0</v>
      </c>
      <c r="D2743" t="s">
        <v>234</v>
      </c>
      <c r="E2743">
        <v>2019</v>
      </c>
      <c r="F2743">
        <v>10</v>
      </c>
    </row>
    <row r="2744" spans="1:6" x14ac:dyDescent="0.55000000000000004">
      <c r="A2744" t="s">
        <v>108</v>
      </c>
      <c r="B2744" t="s">
        <v>48</v>
      </c>
      <c r="C2744">
        <v>556974.6875</v>
      </c>
      <c r="D2744" t="s">
        <v>234</v>
      </c>
      <c r="E2744">
        <v>2019</v>
      </c>
      <c r="F2744">
        <v>10</v>
      </c>
    </row>
    <row r="2745" spans="1:6" x14ac:dyDescent="0.55000000000000004">
      <c r="A2745" t="s">
        <v>108</v>
      </c>
      <c r="B2745" t="s">
        <v>49</v>
      </c>
      <c r="C2745">
        <v>903.05799999999999</v>
      </c>
      <c r="D2745" t="s">
        <v>234</v>
      </c>
      <c r="E2745">
        <v>2019</v>
      </c>
      <c r="F2745">
        <v>10</v>
      </c>
    </row>
    <row r="2746" spans="1:6" x14ac:dyDescent="0.55000000000000004">
      <c r="A2746" t="s">
        <v>108</v>
      </c>
      <c r="B2746" t="s">
        <v>50</v>
      </c>
      <c r="C2746">
        <v>54954.787499999999</v>
      </c>
      <c r="D2746" t="s">
        <v>234</v>
      </c>
      <c r="E2746">
        <v>2019</v>
      </c>
      <c r="F2746">
        <v>10</v>
      </c>
    </row>
    <row r="2747" spans="1:6" x14ac:dyDescent="0.55000000000000004">
      <c r="A2747" t="s">
        <v>108</v>
      </c>
      <c r="B2747" t="s">
        <v>51</v>
      </c>
      <c r="C2747">
        <v>4367.9337999999998</v>
      </c>
      <c r="D2747" t="s">
        <v>234</v>
      </c>
      <c r="E2747">
        <v>2019</v>
      </c>
      <c r="F2747">
        <v>10</v>
      </c>
    </row>
    <row r="2748" spans="1:6" x14ac:dyDescent="0.55000000000000004">
      <c r="A2748" t="s">
        <v>108</v>
      </c>
      <c r="B2748" t="s">
        <v>52</v>
      </c>
      <c r="C2748">
        <v>44.854399999999998</v>
      </c>
      <c r="D2748" t="s">
        <v>234</v>
      </c>
      <c r="E2748">
        <v>2019</v>
      </c>
      <c r="F2748">
        <v>10</v>
      </c>
    </row>
    <row r="2749" spans="1:6" x14ac:dyDescent="0.55000000000000004">
      <c r="A2749" t="s">
        <v>108</v>
      </c>
      <c r="B2749" t="s">
        <v>53</v>
      </c>
      <c r="C2749">
        <v>96126.64</v>
      </c>
      <c r="D2749" t="s">
        <v>234</v>
      </c>
      <c r="E2749">
        <v>2019</v>
      </c>
      <c r="F2749">
        <v>10</v>
      </c>
    </row>
    <row r="2750" spans="1:6" x14ac:dyDescent="0.55000000000000004">
      <c r="A2750" t="s">
        <v>108</v>
      </c>
      <c r="B2750" t="s">
        <v>54</v>
      </c>
      <c r="C2750">
        <v>14248.9822</v>
      </c>
      <c r="D2750" t="s">
        <v>234</v>
      </c>
      <c r="E2750">
        <v>2019</v>
      </c>
      <c r="F2750">
        <v>10</v>
      </c>
    </row>
    <row r="2751" spans="1:6" x14ac:dyDescent="0.55000000000000004">
      <c r="A2751" t="s">
        <v>108</v>
      </c>
      <c r="B2751" t="s">
        <v>55</v>
      </c>
      <c r="C2751">
        <v>13548.55</v>
      </c>
      <c r="D2751" t="s">
        <v>234</v>
      </c>
      <c r="E2751">
        <v>2019</v>
      </c>
      <c r="F2751">
        <v>10</v>
      </c>
    </row>
    <row r="2752" spans="1:6" x14ac:dyDescent="0.55000000000000004">
      <c r="A2752" t="s">
        <v>108</v>
      </c>
      <c r="B2752" t="s">
        <v>56</v>
      </c>
      <c r="C2752">
        <v>2304.9666999999999</v>
      </c>
      <c r="D2752" t="s">
        <v>234</v>
      </c>
      <c r="E2752">
        <v>2019</v>
      </c>
      <c r="F2752">
        <v>10</v>
      </c>
    </row>
    <row r="2753" spans="1:6" x14ac:dyDescent="0.55000000000000004">
      <c r="A2753" t="s">
        <v>108</v>
      </c>
      <c r="B2753" t="s">
        <v>57</v>
      </c>
      <c r="C2753">
        <v>404.90179999999998</v>
      </c>
      <c r="D2753" t="s">
        <v>234</v>
      </c>
      <c r="E2753">
        <v>2019</v>
      </c>
      <c r="F2753">
        <v>10</v>
      </c>
    </row>
    <row r="2754" spans="1:6" x14ac:dyDescent="0.55000000000000004">
      <c r="A2754" t="s">
        <v>108</v>
      </c>
      <c r="B2754" t="s">
        <v>58</v>
      </c>
      <c r="C2754">
        <v>378238</v>
      </c>
      <c r="D2754" t="s">
        <v>234</v>
      </c>
      <c r="E2754">
        <v>2019</v>
      </c>
      <c r="F2754">
        <v>10</v>
      </c>
    </row>
    <row r="2755" spans="1:6" x14ac:dyDescent="0.55000000000000004">
      <c r="A2755" t="s">
        <v>108</v>
      </c>
      <c r="B2755" t="s">
        <v>59</v>
      </c>
      <c r="C2755">
        <v>34.164900000000003</v>
      </c>
      <c r="D2755" t="s">
        <v>234</v>
      </c>
      <c r="E2755">
        <v>2019</v>
      </c>
      <c r="F2755">
        <v>10</v>
      </c>
    </row>
    <row r="2756" spans="1:6" x14ac:dyDescent="0.55000000000000004">
      <c r="A2756" t="s">
        <v>108</v>
      </c>
      <c r="B2756" t="s">
        <v>60</v>
      </c>
      <c r="C2756">
        <v>1439646.5833999999</v>
      </c>
      <c r="D2756" t="s">
        <v>234</v>
      </c>
      <c r="E2756">
        <v>2019</v>
      </c>
      <c r="F2756">
        <v>10</v>
      </c>
    </row>
    <row r="2757" spans="1:6" x14ac:dyDescent="0.55000000000000004">
      <c r="A2757" t="s">
        <v>108</v>
      </c>
      <c r="B2757" t="s">
        <v>61</v>
      </c>
      <c r="C2757">
        <v>1534.5823</v>
      </c>
      <c r="D2757" t="s">
        <v>234</v>
      </c>
      <c r="E2757">
        <v>2019</v>
      </c>
      <c r="F2757">
        <v>10</v>
      </c>
    </row>
    <row r="2758" spans="1:6" x14ac:dyDescent="0.55000000000000004">
      <c r="A2758" t="s">
        <v>108</v>
      </c>
      <c r="B2758" t="s">
        <v>62</v>
      </c>
      <c r="C2758">
        <v>998.40639999999996</v>
      </c>
      <c r="D2758" t="s">
        <v>234</v>
      </c>
      <c r="E2758">
        <v>2019</v>
      </c>
      <c r="F2758">
        <v>10</v>
      </c>
    </row>
    <row r="2759" spans="1:6" x14ac:dyDescent="0.55000000000000004">
      <c r="A2759" t="s">
        <v>108</v>
      </c>
      <c r="B2759" t="s">
        <v>63</v>
      </c>
      <c r="C2759">
        <v>640.06669999999997</v>
      </c>
      <c r="D2759" t="s">
        <v>234</v>
      </c>
      <c r="E2759">
        <v>2019</v>
      </c>
      <c r="F2759">
        <v>10</v>
      </c>
    </row>
    <row r="2760" spans="1:6" x14ac:dyDescent="0.55000000000000004">
      <c r="A2760" t="s">
        <v>109</v>
      </c>
      <c r="B2760" t="s">
        <v>4</v>
      </c>
      <c r="C2760">
        <v>9590551.5613000002</v>
      </c>
      <c r="D2760" t="s">
        <v>235</v>
      </c>
      <c r="E2760">
        <v>2019</v>
      </c>
      <c r="F2760">
        <v>11</v>
      </c>
    </row>
    <row r="2761" spans="1:6" x14ac:dyDescent="0.55000000000000004">
      <c r="A2761" t="s">
        <v>109</v>
      </c>
      <c r="B2761" t="s">
        <v>5</v>
      </c>
      <c r="C2761">
        <v>1278858.2006999999</v>
      </c>
      <c r="D2761" t="s">
        <v>235</v>
      </c>
      <c r="E2761">
        <v>2019</v>
      </c>
      <c r="F2761">
        <v>11</v>
      </c>
    </row>
    <row r="2762" spans="1:6" x14ac:dyDescent="0.55000000000000004">
      <c r="A2762" t="s">
        <v>109</v>
      </c>
      <c r="B2762" t="s">
        <v>6</v>
      </c>
      <c r="C2762">
        <v>1363437.7309999999</v>
      </c>
      <c r="D2762" t="s">
        <v>235</v>
      </c>
      <c r="E2762">
        <v>2019</v>
      </c>
      <c r="F2762">
        <v>11</v>
      </c>
    </row>
    <row r="2763" spans="1:6" x14ac:dyDescent="0.55000000000000004">
      <c r="A2763" t="s">
        <v>109</v>
      </c>
      <c r="B2763" t="s">
        <v>7</v>
      </c>
      <c r="C2763">
        <v>3243747.9246999999</v>
      </c>
      <c r="D2763" t="s">
        <v>235</v>
      </c>
      <c r="E2763">
        <v>2019</v>
      </c>
      <c r="F2763">
        <v>11</v>
      </c>
    </row>
    <row r="2764" spans="1:6" x14ac:dyDescent="0.55000000000000004">
      <c r="A2764" t="s">
        <v>109</v>
      </c>
      <c r="B2764" t="s">
        <v>8</v>
      </c>
      <c r="C2764">
        <v>3704507.7048999998</v>
      </c>
      <c r="D2764" t="s">
        <v>235</v>
      </c>
      <c r="E2764">
        <v>2019</v>
      </c>
      <c r="F2764">
        <v>11</v>
      </c>
    </row>
    <row r="2765" spans="1:6" x14ac:dyDescent="0.55000000000000004">
      <c r="A2765" t="s">
        <v>109</v>
      </c>
      <c r="B2765" t="s">
        <v>9</v>
      </c>
      <c r="C2765">
        <v>2995.51</v>
      </c>
      <c r="D2765" t="s">
        <v>235</v>
      </c>
      <c r="E2765">
        <v>2019</v>
      </c>
      <c r="F2765">
        <v>11</v>
      </c>
    </row>
    <row r="2766" spans="1:6" x14ac:dyDescent="0.55000000000000004">
      <c r="A2766" t="s">
        <v>109</v>
      </c>
      <c r="B2766" t="s">
        <v>10</v>
      </c>
      <c r="C2766">
        <v>1637.4167</v>
      </c>
      <c r="D2766" t="s">
        <v>235</v>
      </c>
      <c r="E2766">
        <v>2019</v>
      </c>
      <c r="F2766">
        <v>11</v>
      </c>
    </row>
    <row r="2767" spans="1:6" x14ac:dyDescent="0.55000000000000004">
      <c r="A2767" t="s">
        <v>109</v>
      </c>
      <c r="B2767" t="s">
        <v>11</v>
      </c>
      <c r="C2767">
        <v>3281473.3001999999</v>
      </c>
      <c r="D2767" t="s">
        <v>235</v>
      </c>
      <c r="E2767">
        <v>2019</v>
      </c>
      <c r="F2767">
        <v>11</v>
      </c>
    </row>
    <row r="2768" spans="1:6" x14ac:dyDescent="0.55000000000000004">
      <c r="A2768" t="s">
        <v>109</v>
      </c>
      <c r="B2768" t="s">
        <v>12</v>
      </c>
      <c r="C2768">
        <v>24116.666700000002</v>
      </c>
      <c r="D2768" t="s">
        <v>235</v>
      </c>
      <c r="E2768">
        <v>2019</v>
      </c>
      <c r="F2768">
        <v>11</v>
      </c>
    </row>
    <row r="2769" spans="1:6" x14ac:dyDescent="0.55000000000000004">
      <c r="A2769" t="s">
        <v>109</v>
      </c>
      <c r="B2769" t="s">
        <v>13</v>
      </c>
      <c r="C2769">
        <v>13600</v>
      </c>
      <c r="D2769" t="s">
        <v>235</v>
      </c>
      <c r="E2769">
        <v>2019</v>
      </c>
      <c r="F2769">
        <v>11</v>
      </c>
    </row>
    <row r="2770" spans="1:6" x14ac:dyDescent="0.55000000000000004">
      <c r="A2770" t="s">
        <v>109</v>
      </c>
      <c r="B2770" t="s">
        <v>14</v>
      </c>
      <c r="C2770">
        <v>610</v>
      </c>
      <c r="D2770" t="s">
        <v>235</v>
      </c>
      <c r="E2770">
        <v>2019</v>
      </c>
      <c r="F2770">
        <v>11</v>
      </c>
    </row>
    <row r="2771" spans="1:6" x14ac:dyDescent="0.55000000000000004">
      <c r="A2771" t="s">
        <v>109</v>
      </c>
      <c r="B2771" t="s">
        <v>15</v>
      </c>
      <c r="C2771">
        <v>1162322.4240000001</v>
      </c>
      <c r="D2771" t="s">
        <v>235</v>
      </c>
      <c r="E2771">
        <v>2019</v>
      </c>
      <c r="F2771">
        <v>11</v>
      </c>
    </row>
    <row r="2772" spans="1:6" x14ac:dyDescent="0.55000000000000004">
      <c r="A2772" t="s">
        <v>109</v>
      </c>
      <c r="B2772" t="s">
        <v>16</v>
      </c>
      <c r="C2772">
        <v>0</v>
      </c>
      <c r="D2772" t="s">
        <v>235</v>
      </c>
      <c r="E2772">
        <v>2019</v>
      </c>
      <c r="F2772">
        <v>11</v>
      </c>
    </row>
    <row r="2773" spans="1:6" x14ac:dyDescent="0.55000000000000004">
      <c r="A2773" t="s">
        <v>109</v>
      </c>
      <c r="B2773" t="s">
        <v>17</v>
      </c>
      <c r="C2773">
        <v>9557.7419000000009</v>
      </c>
      <c r="D2773" t="s">
        <v>235</v>
      </c>
      <c r="E2773">
        <v>2019</v>
      </c>
      <c r="F2773">
        <v>11</v>
      </c>
    </row>
    <row r="2774" spans="1:6" x14ac:dyDescent="0.55000000000000004">
      <c r="A2774" t="s">
        <v>109</v>
      </c>
      <c r="B2774" t="s">
        <v>18</v>
      </c>
      <c r="C2774">
        <v>263009.48359999998</v>
      </c>
      <c r="D2774" t="s">
        <v>235</v>
      </c>
      <c r="E2774">
        <v>2019</v>
      </c>
      <c r="F2774">
        <v>11</v>
      </c>
    </row>
    <row r="2775" spans="1:6" x14ac:dyDescent="0.55000000000000004">
      <c r="A2775" t="s">
        <v>109</v>
      </c>
      <c r="B2775" t="s">
        <v>19</v>
      </c>
      <c r="C2775">
        <v>1349.6353999999999</v>
      </c>
      <c r="D2775" t="s">
        <v>235</v>
      </c>
      <c r="E2775">
        <v>2019</v>
      </c>
      <c r="F2775">
        <v>11</v>
      </c>
    </row>
    <row r="2776" spans="1:6" x14ac:dyDescent="0.55000000000000004">
      <c r="A2776" t="s">
        <v>109</v>
      </c>
      <c r="B2776" t="s">
        <v>20</v>
      </c>
      <c r="C2776">
        <v>16128.876</v>
      </c>
      <c r="D2776" t="s">
        <v>235</v>
      </c>
      <c r="E2776">
        <v>2019</v>
      </c>
      <c r="F2776">
        <v>11</v>
      </c>
    </row>
    <row r="2777" spans="1:6" x14ac:dyDescent="0.55000000000000004">
      <c r="A2777" t="s">
        <v>109</v>
      </c>
      <c r="B2777" t="s">
        <v>21</v>
      </c>
      <c r="C2777">
        <v>2757.2238000000002</v>
      </c>
      <c r="D2777" t="s">
        <v>235</v>
      </c>
      <c r="E2777">
        <v>2019</v>
      </c>
      <c r="F2777">
        <v>11</v>
      </c>
    </row>
    <row r="2778" spans="1:6" x14ac:dyDescent="0.55000000000000004">
      <c r="A2778" t="s">
        <v>109</v>
      </c>
      <c r="B2778" t="s">
        <v>22</v>
      </c>
      <c r="C2778">
        <v>54231.872300000003</v>
      </c>
      <c r="D2778" t="s">
        <v>235</v>
      </c>
      <c r="E2778">
        <v>2019</v>
      </c>
      <c r="F2778">
        <v>11</v>
      </c>
    </row>
    <row r="2779" spans="1:6" x14ac:dyDescent="0.55000000000000004">
      <c r="A2779" t="s">
        <v>109</v>
      </c>
      <c r="B2779" t="s">
        <v>23</v>
      </c>
      <c r="C2779">
        <v>12035.113300000001</v>
      </c>
      <c r="D2779" t="s">
        <v>235</v>
      </c>
      <c r="E2779">
        <v>2019</v>
      </c>
      <c r="F2779">
        <v>11</v>
      </c>
    </row>
    <row r="2780" spans="1:6" x14ac:dyDescent="0.55000000000000004">
      <c r="A2780" t="s">
        <v>109</v>
      </c>
      <c r="B2780" t="s">
        <v>24</v>
      </c>
      <c r="C2780">
        <v>0</v>
      </c>
      <c r="D2780" t="s">
        <v>235</v>
      </c>
      <c r="E2780">
        <v>2019</v>
      </c>
      <c r="F2780">
        <v>11</v>
      </c>
    </row>
    <row r="2781" spans="1:6" x14ac:dyDescent="0.55000000000000004">
      <c r="A2781" t="s">
        <v>109</v>
      </c>
      <c r="B2781" t="s">
        <v>25</v>
      </c>
      <c r="C2781">
        <v>267557.73330000002</v>
      </c>
      <c r="D2781" t="s">
        <v>235</v>
      </c>
      <c r="E2781">
        <v>2019</v>
      </c>
      <c r="F2781">
        <v>11</v>
      </c>
    </row>
    <row r="2782" spans="1:6" x14ac:dyDescent="0.55000000000000004">
      <c r="A2782" t="s">
        <v>109</v>
      </c>
      <c r="B2782" t="s">
        <v>26</v>
      </c>
      <c r="C2782">
        <v>0</v>
      </c>
      <c r="D2782" t="s">
        <v>235</v>
      </c>
      <c r="E2782">
        <v>2019</v>
      </c>
      <c r="F2782">
        <v>11</v>
      </c>
    </row>
    <row r="2783" spans="1:6" x14ac:dyDescent="0.55000000000000004">
      <c r="A2783" t="s">
        <v>109</v>
      </c>
      <c r="B2783" t="s">
        <v>27</v>
      </c>
      <c r="C2783">
        <v>185.33840000000001</v>
      </c>
      <c r="D2783" t="s">
        <v>235</v>
      </c>
      <c r="E2783">
        <v>2019</v>
      </c>
      <c r="F2783">
        <v>11</v>
      </c>
    </row>
    <row r="2784" spans="1:6" x14ac:dyDescent="0.55000000000000004">
      <c r="A2784" t="s">
        <v>109</v>
      </c>
      <c r="B2784" t="s">
        <v>28</v>
      </c>
      <c r="C2784">
        <v>66375.825599999996</v>
      </c>
      <c r="D2784" t="s">
        <v>235</v>
      </c>
      <c r="E2784">
        <v>2019</v>
      </c>
      <c r="F2784">
        <v>11</v>
      </c>
    </row>
    <row r="2785" spans="1:6" x14ac:dyDescent="0.55000000000000004">
      <c r="A2785" t="s">
        <v>109</v>
      </c>
      <c r="B2785" t="s">
        <v>29</v>
      </c>
      <c r="C2785">
        <v>5372.2618000000002</v>
      </c>
      <c r="D2785" t="s">
        <v>235</v>
      </c>
      <c r="E2785">
        <v>2019</v>
      </c>
      <c r="F2785">
        <v>11</v>
      </c>
    </row>
    <row r="2786" spans="1:6" x14ac:dyDescent="0.55000000000000004">
      <c r="A2786" t="s">
        <v>109</v>
      </c>
      <c r="B2786" t="s">
        <v>30</v>
      </c>
      <c r="C2786">
        <v>96.59</v>
      </c>
      <c r="D2786" t="s">
        <v>235</v>
      </c>
      <c r="E2786">
        <v>2019</v>
      </c>
      <c r="F2786">
        <v>11</v>
      </c>
    </row>
    <row r="2787" spans="1:6" x14ac:dyDescent="0.55000000000000004">
      <c r="A2787" t="s">
        <v>109</v>
      </c>
      <c r="B2787" t="s">
        <v>31</v>
      </c>
      <c r="C2787">
        <v>17.429500000000001</v>
      </c>
      <c r="D2787" t="s">
        <v>235</v>
      </c>
      <c r="E2787">
        <v>2019</v>
      </c>
      <c r="F2787">
        <v>11</v>
      </c>
    </row>
    <row r="2788" spans="1:6" x14ac:dyDescent="0.55000000000000004">
      <c r="A2788" t="s">
        <v>109</v>
      </c>
      <c r="B2788" t="s">
        <v>32</v>
      </c>
      <c r="C2788">
        <v>106823.03999999999</v>
      </c>
      <c r="D2788" t="s">
        <v>235</v>
      </c>
      <c r="E2788">
        <v>2019</v>
      </c>
      <c r="F2788">
        <v>11</v>
      </c>
    </row>
    <row r="2789" spans="1:6" x14ac:dyDescent="0.55000000000000004">
      <c r="A2789" t="s">
        <v>109</v>
      </c>
      <c r="B2789" t="s">
        <v>33</v>
      </c>
      <c r="C2789">
        <v>341836.67170000001</v>
      </c>
      <c r="D2789" t="s">
        <v>235</v>
      </c>
      <c r="E2789">
        <v>2019</v>
      </c>
      <c r="F2789">
        <v>11</v>
      </c>
    </row>
    <row r="2790" spans="1:6" x14ac:dyDescent="0.55000000000000004">
      <c r="A2790" t="s">
        <v>109</v>
      </c>
      <c r="B2790" t="s">
        <v>34</v>
      </c>
      <c r="C2790">
        <v>637316.70259999996</v>
      </c>
      <c r="D2790" t="s">
        <v>235</v>
      </c>
      <c r="E2790">
        <v>2019</v>
      </c>
      <c r="F2790">
        <v>11</v>
      </c>
    </row>
    <row r="2791" spans="1:6" x14ac:dyDescent="0.55000000000000004">
      <c r="A2791" t="s">
        <v>109</v>
      </c>
      <c r="B2791" t="s">
        <v>35</v>
      </c>
      <c r="C2791">
        <v>660.46990000000005</v>
      </c>
      <c r="D2791" t="s">
        <v>235</v>
      </c>
      <c r="E2791">
        <v>2019</v>
      </c>
      <c r="F2791">
        <v>11</v>
      </c>
    </row>
    <row r="2792" spans="1:6" x14ac:dyDescent="0.55000000000000004">
      <c r="A2792" t="s">
        <v>109</v>
      </c>
      <c r="B2792" t="s">
        <v>36</v>
      </c>
      <c r="C2792">
        <v>62821.519699999997</v>
      </c>
      <c r="D2792" t="s">
        <v>235</v>
      </c>
      <c r="E2792">
        <v>2019</v>
      </c>
      <c r="F2792">
        <v>11</v>
      </c>
    </row>
    <row r="2793" spans="1:6" x14ac:dyDescent="0.55000000000000004">
      <c r="A2793" t="s">
        <v>109</v>
      </c>
      <c r="B2793" t="s">
        <v>37</v>
      </c>
      <c r="C2793">
        <v>49675.8606</v>
      </c>
      <c r="D2793" t="s">
        <v>235</v>
      </c>
      <c r="E2793">
        <v>2019</v>
      </c>
      <c r="F2793">
        <v>11</v>
      </c>
    </row>
    <row r="2794" spans="1:6" x14ac:dyDescent="0.55000000000000004">
      <c r="A2794" t="s">
        <v>109</v>
      </c>
      <c r="B2794" t="s">
        <v>38</v>
      </c>
      <c r="C2794">
        <v>0</v>
      </c>
      <c r="D2794" t="s">
        <v>235</v>
      </c>
      <c r="E2794">
        <v>2019</v>
      </c>
      <c r="F2794">
        <v>11</v>
      </c>
    </row>
    <row r="2795" spans="1:6" x14ac:dyDescent="0.55000000000000004">
      <c r="A2795" t="s">
        <v>109</v>
      </c>
      <c r="B2795" t="s">
        <v>39</v>
      </c>
      <c r="C2795">
        <v>609.20000000000005</v>
      </c>
      <c r="D2795" t="s">
        <v>235</v>
      </c>
      <c r="E2795">
        <v>2019</v>
      </c>
      <c r="F2795">
        <v>11</v>
      </c>
    </row>
    <row r="2796" spans="1:6" x14ac:dyDescent="0.55000000000000004">
      <c r="A2796" t="s">
        <v>109</v>
      </c>
      <c r="B2796" t="s">
        <v>40</v>
      </c>
      <c r="C2796">
        <v>1139.7380000000001</v>
      </c>
      <c r="D2796" t="s">
        <v>235</v>
      </c>
      <c r="E2796">
        <v>2019</v>
      </c>
      <c r="F2796">
        <v>11</v>
      </c>
    </row>
    <row r="2797" spans="1:6" x14ac:dyDescent="0.55000000000000004">
      <c r="A2797" t="s">
        <v>109</v>
      </c>
      <c r="B2797" t="s">
        <v>41</v>
      </c>
      <c r="C2797">
        <v>127018.91989999999</v>
      </c>
      <c r="D2797" t="s">
        <v>235</v>
      </c>
      <c r="E2797">
        <v>2019</v>
      </c>
      <c r="F2797">
        <v>11</v>
      </c>
    </row>
    <row r="2798" spans="1:6" x14ac:dyDescent="0.55000000000000004">
      <c r="A2798" t="s">
        <v>109</v>
      </c>
      <c r="B2798" t="s">
        <v>42</v>
      </c>
      <c r="C2798">
        <v>25.644200000000001</v>
      </c>
      <c r="D2798" t="s">
        <v>235</v>
      </c>
      <c r="E2798">
        <v>2019</v>
      </c>
      <c r="F2798">
        <v>11</v>
      </c>
    </row>
    <row r="2799" spans="1:6" x14ac:dyDescent="0.55000000000000004">
      <c r="A2799" t="s">
        <v>109</v>
      </c>
      <c r="B2799" t="s">
        <v>43</v>
      </c>
      <c r="C2799">
        <v>82950.795199999993</v>
      </c>
      <c r="D2799" t="s">
        <v>235</v>
      </c>
      <c r="E2799">
        <v>2019</v>
      </c>
      <c r="F2799">
        <v>11</v>
      </c>
    </row>
    <row r="2800" spans="1:6" x14ac:dyDescent="0.55000000000000004">
      <c r="A2800" t="s">
        <v>109</v>
      </c>
      <c r="B2800" t="s">
        <v>44</v>
      </c>
      <c r="C2800">
        <v>0</v>
      </c>
      <c r="D2800" t="s">
        <v>235</v>
      </c>
      <c r="E2800">
        <v>2019</v>
      </c>
      <c r="F2800">
        <v>11</v>
      </c>
    </row>
    <row r="2801" spans="1:6" x14ac:dyDescent="0.55000000000000004">
      <c r="A2801" t="s">
        <v>109</v>
      </c>
      <c r="B2801" t="s">
        <v>45</v>
      </c>
      <c r="C2801">
        <v>2605.0212999999999</v>
      </c>
      <c r="D2801" t="s">
        <v>235</v>
      </c>
      <c r="E2801">
        <v>2019</v>
      </c>
      <c r="F2801">
        <v>11</v>
      </c>
    </row>
    <row r="2802" spans="1:6" x14ac:dyDescent="0.55000000000000004">
      <c r="A2802" t="s">
        <v>109</v>
      </c>
      <c r="B2802" t="s">
        <v>46</v>
      </c>
      <c r="C2802">
        <v>79964.975000000006</v>
      </c>
      <c r="D2802" t="s">
        <v>235</v>
      </c>
      <c r="E2802">
        <v>2019</v>
      </c>
      <c r="F2802">
        <v>11</v>
      </c>
    </row>
    <row r="2803" spans="1:6" x14ac:dyDescent="0.55000000000000004">
      <c r="A2803" t="s">
        <v>109</v>
      </c>
      <c r="B2803" t="s">
        <v>47</v>
      </c>
      <c r="C2803">
        <v>0</v>
      </c>
      <c r="D2803" t="s">
        <v>235</v>
      </c>
      <c r="E2803">
        <v>2019</v>
      </c>
      <c r="F2803">
        <v>11</v>
      </c>
    </row>
    <row r="2804" spans="1:6" x14ac:dyDescent="0.55000000000000004">
      <c r="A2804" t="s">
        <v>109</v>
      </c>
      <c r="B2804" t="s">
        <v>48</v>
      </c>
      <c r="C2804">
        <v>451868.37229999999</v>
      </c>
      <c r="D2804" t="s">
        <v>235</v>
      </c>
      <c r="E2804">
        <v>2019</v>
      </c>
      <c r="F2804">
        <v>11</v>
      </c>
    </row>
    <row r="2805" spans="1:6" x14ac:dyDescent="0.55000000000000004">
      <c r="A2805" t="s">
        <v>109</v>
      </c>
      <c r="B2805" t="s">
        <v>49</v>
      </c>
      <c r="C2805">
        <v>677.48199999999997</v>
      </c>
      <c r="D2805" t="s">
        <v>235</v>
      </c>
      <c r="E2805">
        <v>2019</v>
      </c>
      <c r="F2805">
        <v>11</v>
      </c>
    </row>
    <row r="2806" spans="1:6" x14ac:dyDescent="0.55000000000000004">
      <c r="A2806" t="s">
        <v>109</v>
      </c>
      <c r="B2806" t="s">
        <v>50</v>
      </c>
      <c r="C2806">
        <v>33612.504999999997</v>
      </c>
      <c r="D2806" t="s">
        <v>235</v>
      </c>
      <c r="E2806">
        <v>2019</v>
      </c>
      <c r="F2806">
        <v>11</v>
      </c>
    </row>
    <row r="2807" spans="1:6" x14ac:dyDescent="0.55000000000000004">
      <c r="A2807" t="s">
        <v>109</v>
      </c>
      <c r="B2807" t="s">
        <v>51</v>
      </c>
      <c r="C2807">
        <v>2824.5938000000001</v>
      </c>
      <c r="D2807" t="s">
        <v>235</v>
      </c>
      <c r="E2807">
        <v>2019</v>
      </c>
      <c r="F2807">
        <v>11</v>
      </c>
    </row>
    <row r="2808" spans="1:6" x14ac:dyDescent="0.55000000000000004">
      <c r="A2808" t="s">
        <v>109</v>
      </c>
      <c r="B2808" t="s">
        <v>52</v>
      </c>
      <c r="C2808">
        <v>73.504900000000006</v>
      </c>
      <c r="D2808" t="s">
        <v>235</v>
      </c>
      <c r="E2808">
        <v>2019</v>
      </c>
      <c r="F2808">
        <v>11</v>
      </c>
    </row>
    <row r="2809" spans="1:6" x14ac:dyDescent="0.55000000000000004">
      <c r="A2809" t="s">
        <v>109</v>
      </c>
      <c r="B2809" t="s">
        <v>53</v>
      </c>
      <c r="C2809">
        <v>87790.343999999997</v>
      </c>
      <c r="D2809" t="s">
        <v>235</v>
      </c>
      <c r="E2809">
        <v>2019</v>
      </c>
      <c r="F2809">
        <v>11</v>
      </c>
    </row>
    <row r="2810" spans="1:6" x14ac:dyDescent="0.55000000000000004">
      <c r="A2810" t="s">
        <v>109</v>
      </c>
      <c r="B2810" t="s">
        <v>54</v>
      </c>
      <c r="C2810">
        <v>19384.917799999999</v>
      </c>
      <c r="D2810" t="s">
        <v>235</v>
      </c>
      <c r="E2810">
        <v>2019</v>
      </c>
      <c r="F2810">
        <v>11</v>
      </c>
    </row>
    <row r="2811" spans="1:6" x14ac:dyDescent="0.55000000000000004">
      <c r="A2811" t="s">
        <v>109</v>
      </c>
      <c r="B2811" t="s">
        <v>55</v>
      </c>
      <c r="C2811">
        <v>10500.1667</v>
      </c>
      <c r="D2811" t="s">
        <v>235</v>
      </c>
      <c r="E2811">
        <v>2019</v>
      </c>
      <c r="F2811">
        <v>11</v>
      </c>
    </row>
    <row r="2812" spans="1:6" x14ac:dyDescent="0.55000000000000004">
      <c r="A2812" t="s">
        <v>109</v>
      </c>
      <c r="B2812" t="s">
        <v>56</v>
      </c>
      <c r="C2812">
        <v>1600</v>
      </c>
      <c r="D2812" t="s">
        <v>235</v>
      </c>
      <c r="E2812">
        <v>2019</v>
      </c>
      <c r="F2812">
        <v>11</v>
      </c>
    </row>
    <row r="2813" spans="1:6" x14ac:dyDescent="0.55000000000000004">
      <c r="A2813" t="s">
        <v>109</v>
      </c>
      <c r="B2813" t="s">
        <v>57</v>
      </c>
      <c r="C2813">
        <v>105.4436</v>
      </c>
      <c r="D2813" t="s">
        <v>235</v>
      </c>
      <c r="E2813">
        <v>2019</v>
      </c>
      <c r="F2813">
        <v>11</v>
      </c>
    </row>
    <row r="2814" spans="1:6" x14ac:dyDescent="0.55000000000000004">
      <c r="A2814" t="s">
        <v>109</v>
      </c>
      <c r="B2814" t="s">
        <v>58</v>
      </c>
      <c r="C2814">
        <v>438815.01</v>
      </c>
      <c r="D2814" t="s">
        <v>235</v>
      </c>
      <c r="E2814">
        <v>2019</v>
      </c>
      <c r="F2814">
        <v>11</v>
      </c>
    </row>
    <row r="2815" spans="1:6" x14ac:dyDescent="0.55000000000000004">
      <c r="A2815" t="s">
        <v>109</v>
      </c>
      <c r="B2815" t="s">
        <v>59</v>
      </c>
      <c r="C2815">
        <v>36.270899999999997</v>
      </c>
      <c r="D2815" t="s">
        <v>235</v>
      </c>
      <c r="E2815">
        <v>2019</v>
      </c>
      <c r="F2815">
        <v>11</v>
      </c>
    </row>
    <row r="2816" spans="1:6" x14ac:dyDescent="0.55000000000000004">
      <c r="A2816" t="s">
        <v>109</v>
      </c>
      <c r="B2816" t="s">
        <v>60</v>
      </c>
      <c r="C2816">
        <v>1860388.3703000001</v>
      </c>
      <c r="D2816" t="s">
        <v>235</v>
      </c>
      <c r="E2816">
        <v>2019</v>
      </c>
      <c r="F2816">
        <v>11</v>
      </c>
    </row>
    <row r="2817" spans="1:6" x14ac:dyDescent="0.55000000000000004">
      <c r="A2817" t="s">
        <v>109</v>
      </c>
      <c r="B2817" t="s">
        <v>61</v>
      </c>
      <c r="C2817">
        <v>1749.905</v>
      </c>
      <c r="D2817" t="s">
        <v>235</v>
      </c>
      <c r="E2817">
        <v>2019</v>
      </c>
      <c r="F2817">
        <v>11</v>
      </c>
    </row>
    <row r="2818" spans="1:6" x14ac:dyDescent="0.55000000000000004">
      <c r="A2818" t="s">
        <v>109</v>
      </c>
      <c r="B2818" t="s">
        <v>62</v>
      </c>
      <c r="C2818">
        <v>1605.6744000000001</v>
      </c>
      <c r="D2818" t="s">
        <v>235</v>
      </c>
      <c r="E2818">
        <v>2019</v>
      </c>
      <c r="F2818">
        <v>11</v>
      </c>
    </row>
    <row r="2819" spans="1:6" x14ac:dyDescent="0.55000000000000004">
      <c r="A2819" t="s">
        <v>109</v>
      </c>
      <c r="B2819" t="s">
        <v>63</v>
      </c>
      <c r="C2819">
        <v>640</v>
      </c>
      <c r="D2819" t="s">
        <v>235</v>
      </c>
      <c r="E2819">
        <v>2019</v>
      </c>
      <c r="F2819">
        <v>11</v>
      </c>
    </row>
    <row r="2820" spans="1:6" x14ac:dyDescent="0.55000000000000004">
      <c r="A2820" t="s">
        <v>110</v>
      </c>
      <c r="B2820" t="s">
        <v>4</v>
      </c>
      <c r="C2820">
        <v>10828207.259400001</v>
      </c>
      <c r="D2820" t="s">
        <v>236</v>
      </c>
      <c r="E2820">
        <v>2019</v>
      </c>
      <c r="F2820">
        <v>12</v>
      </c>
    </row>
    <row r="2821" spans="1:6" x14ac:dyDescent="0.55000000000000004">
      <c r="A2821" t="s">
        <v>110</v>
      </c>
      <c r="B2821" t="s">
        <v>5</v>
      </c>
      <c r="C2821">
        <v>1511815.1583</v>
      </c>
      <c r="D2821" t="s">
        <v>236</v>
      </c>
      <c r="E2821">
        <v>2019</v>
      </c>
      <c r="F2821">
        <v>12</v>
      </c>
    </row>
    <row r="2822" spans="1:6" x14ac:dyDescent="0.55000000000000004">
      <c r="A2822" t="s">
        <v>110</v>
      </c>
      <c r="B2822" t="s">
        <v>6</v>
      </c>
      <c r="C2822">
        <v>1733429.0371999999</v>
      </c>
      <c r="D2822" t="s">
        <v>236</v>
      </c>
      <c r="E2822">
        <v>2019</v>
      </c>
      <c r="F2822">
        <v>12</v>
      </c>
    </row>
    <row r="2823" spans="1:6" x14ac:dyDescent="0.55000000000000004">
      <c r="A2823" t="s">
        <v>110</v>
      </c>
      <c r="B2823" t="s">
        <v>7</v>
      </c>
      <c r="C2823">
        <v>2895103.2078</v>
      </c>
      <c r="D2823" t="s">
        <v>236</v>
      </c>
      <c r="E2823">
        <v>2019</v>
      </c>
      <c r="F2823">
        <v>12</v>
      </c>
    </row>
    <row r="2824" spans="1:6" x14ac:dyDescent="0.55000000000000004">
      <c r="A2824" t="s">
        <v>110</v>
      </c>
      <c r="B2824" t="s">
        <v>8</v>
      </c>
      <c r="C2824">
        <v>4687859.8561000004</v>
      </c>
      <c r="D2824" t="s">
        <v>236</v>
      </c>
      <c r="E2824">
        <v>2019</v>
      </c>
      <c r="F2824">
        <v>12</v>
      </c>
    </row>
    <row r="2825" spans="1:6" x14ac:dyDescent="0.55000000000000004">
      <c r="A2825" t="s">
        <v>110</v>
      </c>
      <c r="B2825" t="s">
        <v>9</v>
      </c>
      <c r="C2825">
        <v>804.53</v>
      </c>
      <c r="D2825" t="s">
        <v>236</v>
      </c>
      <c r="E2825">
        <v>2019</v>
      </c>
      <c r="F2825">
        <v>12</v>
      </c>
    </row>
    <row r="2826" spans="1:6" x14ac:dyDescent="0.55000000000000004">
      <c r="A2826" t="s">
        <v>110</v>
      </c>
      <c r="B2826" t="s">
        <v>10</v>
      </c>
      <c r="C2826">
        <v>4232.8666999999996</v>
      </c>
      <c r="D2826" t="s">
        <v>236</v>
      </c>
      <c r="E2826">
        <v>2019</v>
      </c>
      <c r="F2826">
        <v>12</v>
      </c>
    </row>
    <row r="2827" spans="1:6" x14ac:dyDescent="0.55000000000000004">
      <c r="A2827" t="s">
        <v>110</v>
      </c>
      <c r="B2827" t="s">
        <v>11</v>
      </c>
      <c r="C2827">
        <v>3072707.0425999998</v>
      </c>
      <c r="D2827" t="s">
        <v>236</v>
      </c>
      <c r="E2827">
        <v>2019</v>
      </c>
      <c r="F2827">
        <v>12</v>
      </c>
    </row>
    <row r="2828" spans="1:6" x14ac:dyDescent="0.55000000000000004">
      <c r="A2828" t="s">
        <v>110</v>
      </c>
      <c r="B2828" t="s">
        <v>12</v>
      </c>
      <c r="C2828">
        <v>24380.41</v>
      </c>
      <c r="D2828" t="s">
        <v>236</v>
      </c>
      <c r="E2828">
        <v>2019</v>
      </c>
      <c r="F2828">
        <v>12</v>
      </c>
    </row>
    <row r="2829" spans="1:6" x14ac:dyDescent="0.55000000000000004">
      <c r="A2829" t="s">
        <v>110</v>
      </c>
      <c r="B2829" t="s">
        <v>13</v>
      </c>
      <c r="C2829">
        <v>8500</v>
      </c>
      <c r="D2829" t="s">
        <v>236</v>
      </c>
      <c r="E2829">
        <v>2019</v>
      </c>
      <c r="F2829">
        <v>12</v>
      </c>
    </row>
    <row r="2830" spans="1:6" x14ac:dyDescent="0.55000000000000004">
      <c r="A2830" t="s">
        <v>110</v>
      </c>
      <c r="B2830" t="s">
        <v>14</v>
      </c>
      <c r="C2830">
        <v>0</v>
      </c>
      <c r="D2830" t="s">
        <v>236</v>
      </c>
      <c r="E2830">
        <v>2019</v>
      </c>
      <c r="F2830">
        <v>12</v>
      </c>
    </row>
    <row r="2831" spans="1:6" x14ac:dyDescent="0.55000000000000004">
      <c r="A2831" t="s">
        <v>110</v>
      </c>
      <c r="B2831" t="s">
        <v>15</v>
      </c>
      <c r="C2831">
        <v>1386690.5522</v>
      </c>
      <c r="D2831" t="s">
        <v>236</v>
      </c>
      <c r="E2831">
        <v>2019</v>
      </c>
      <c r="F2831">
        <v>12</v>
      </c>
    </row>
    <row r="2832" spans="1:6" x14ac:dyDescent="0.55000000000000004">
      <c r="A2832" t="s">
        <v>110</v>
      </c>
      <c r="B2832" t="s">
        <v>16</v>
      </c>
      <c r="C2832">
        <v>0</v>
      </c>
      <c r="D2832" t="s">
        <v>236</v>
      </c>
      <c r="E2832">
        <v>2019</v>
      </c>
      <c r="F2832">
        <v>12</v>
      </c>
    </row>
    <row r="2833" spans="1:6" x14ac:dyDescent="0.55000000000000004">
      <c r="A2833" t="s">
        <v>110</v>
      </c>
      <c r="B2833" t="s">
        <v>17</v>
      </c>
      <c r="C2833">
        <v>19794.0105</v>
      </c>
      <c r="D2833" t="s">
        <v>236</v>
      </c>
      <c r="E2833">
        <v>2019</v>
      </c>
      <c r="F2833">
        <v>12</v>
      </c>
    </row>
    <row r="2834" spans="1:6" x14ac:dyDescent="0.55000000000000004">
      <c r="A2834" t="s">
        <v>110</v>
      </c>
      <c r="B2834" t="s">
        <v>18</v>
      </c>
      <c r="C2834">
        <v>57378.983500000002</v>
      </c>
      <c r="D2834" t="s">
        <v>236</v>
      </c>
      <c r="E2834">
        <v>2019</v>
      </c>
      <c r="F2834">
        <v>12</v>
      </c>
    </row>
    <row r="2835" spans="1:6" x14ac:dyDescent="0.55000000000000004">
      <c r="A2835" t="s">
        <v>110</v>
      </c>
      <c r="B2835" t="s">
        <v>19</v>
      </c>
      <c r="C2835">
        <v>1349.6353999999999</v>
      </c>
      <c r="D2835" t="s">
        <v>236</v>
      </c>
      <c r="E2835">
        <v>2019</v>
      </c>
      <c r="F2835">
        <v>12</v>
      </c>
    </row>
    <row r="2836" spans="1:6" x14ac:dyDescent="0.55000000000000004">
      <c r="A2836" t="s">
        <v>110</v>
      </c>
      <c r="B2836" t="s">
        <v>20</v>
      </c>
      <c r="C2836">
        <v>9435.2459999999992</v>
      </c>
      <c r="D2836" t="s">
        <v>236</v>
      </c>
      <c r="E2836">
        <v>2019</v>
      </c>
      <c r="F2836">
        <v>12</v>
      </c>
    </row>
    <row r="2837" spans="1:6" x14ac:dyDescent="0.55000000000000004">
      <c r="A2837" t="s">
        <v>110</v>
      </c>
      <c r="B2837" t="s">
        <v>21</v>
      </c>
      <c r="C2837">
        <v>2404.7764000000002</v>
      </c>
      <c r="D2837" t="s">
        <v>236</v>
      </c>
      <c r="E2837">
        <v>2019</v>
      </c>
      <c r="F2837">
        <v>12</v>
      </c>
    </row>
    <row r="2838" spans="1:6" x14ac:dyDescent="0.55000000000000004">
      <c r="A2838" t="s">
        <v>110</v>
      </c>
      <c r="B2838" t="s">
        <v>22</v>
      </c>
      <c r="C2838">
        <v>60244.109199999999</v>
      </c>
      <c r="D2838" t="s">
        <v>236</v>
      </c>
      <c r="E2838">
        <v>2019</v>
      </c>
      <c r="F2838">
        <v>12</v>
      </c>
    </row>
    <row r="2839" spans="1:6" x14ac:dyDescent="0.55000000000000004">
      <c r="A2839" t="s">
        <v>110</v>
      </c>
      <c r="B2839" t="s">
        <v>23</v>
      </c>
      <c r="C2839">
        <v>8491.5532999999996</v>
      </c>
      <c r="D2839" t="s">
        <v>236</v>
      </c>
      <c r="E2839">
        <v>2019</v>
      </c>
      <c r="F2839">
        <v>12</v>
      </c>
    </row>
    <row r="2840" spans="1:6" x14ac:dyDescent="0.55000000000000004">
      <c r="A2840" t="s">
        <v>110</v>
      </c>
      <c r="B2840" t="s">
        <v>24</v>
      </c>
      <c r="C2840">
        <v>0</v>
      </c>
      <c r="D2840" t="s">
        <v>236</v>
      </c>
      <c r="E2840">
        <v>2019</v>
      </c>
      <c r="F2840">
        <v>12</v>
      </c>
    </row>
    <row r="2841" spans="1:6" x14ac:dyDescent="0.55000000000000004">
      <c r="A2841" t="s">
        <v>110</v>
      </c>
      <c r="B2841" t="s">
        <v>25</v>
      </c>
      <c r="C2841">
        <v>243998.26670000001</v>
      </c>
      <c r="D2841" t="s">
        <v>236</v>
      </c>
      <c r="E2841">
        <v>2019</v>
      </c>
      <c r="F2841">
        <v>12</v>
      </c>
    </row>
    <row r="2842" spans="1:6" x14ac:dyDescent="0.55000000000000004">
      <c r="A2842" t="s">
        <v>110</v>
      </c>
      <c r="B2842" t="s">
        <v>26</v>
      </c>
      <c r="C2842">
        <v>0</v>
      </c>
      <c r="D2842" t="s">
        <v>236</v>
      </c>
      <c r="E2842">
        <v>2019</v>
      </c>
      <c r="F2842">
        <v>12</v>
      </c>
    </row>
    <row r="2843" spans="1:6" x14ac:dyDescent="0.55000000000000004">
      <c r="A2843" t="s">
        <v>110</v>
      </c>
      <c r="B2843" t="s">
        <v>27</v>
      </c>
      <c r="C2843">
        <v>64.730900000000005</v>
      </c>
      <c r="D2843" t="s">
        <v>236</v>
      </c>
      <c r="E2843">
        <v>2019</v>
      </c>
      <c r="F2843">
        <v>12</v>
      </c>
    </row>
    <row r="2844" spans="1:6" x14ac:dyDescent="0.55000000000000004">
      <c r="A2844" t="s">
        <v>110</v>
      </c>
      <c r="B2844" t="s">
        <v>28</v>
      </c>
      <c r="C2844">
        <v>129444.3328</v>
      </c>
      <c r="D2844" t="s">
        <v>236</v>
      </c>
      <c r="E2844">
        <v>2019</v>
      </c>
      <c r="F2844">
        <v>12</v>
      </c>
    </row>
    <row r="2845" spans="1:6" x14ac:dyDescent="0.55000000000000004">
      <c r="A2845" t="s">
        <v>110</v>
      </c>
      <c r="B2845" t="s">
        <v>29</v>
      </c>
      <c r="C2845">
        <v>4933.2618000000002</v>
      </c>
      <c r="D2845" t="s">
        <v>236</v>
      </c>
      <c r="E2845">
        <v>2019</v>
      </c>
      <c r="F2845">
        <v>12</v>
      </c>
    </row>
    <row r="2846" spans="1:6" x14ac:dyDescent="0.55000000000000004">
      <c r="A2846" t="s">
        <v>110</v>
      </c>
      <c r="B2846" t="s">
        <v>30</v>
      </c>
      <c r="C2846">
        <v>111.19329999999999</v>
      </c>
      <c r="D2846" t="s">
        <v>236</v>
      </c>
      <c r="E2846">
        <v>2019</v>
      </c>
      <c r="F2846">
        <v>12</v>
      </c>
    </row>
    <row r="2847" spans="1:6" x14ac:dyDescent="0.55000000000000004">
      <c r="A2847" t="s">
        <v>110</v>
      </c>
      <c r="B2847" t="s">
        <v>31</v>
      </c>
      <c r="C2847">
        <v>76.536799999999999</v>
      </c>
      <c r="D2847" t="s">
        <v>236</v>
      </c>
      <c r="E2847">
        <v>2019</v>
      </c>
      <c r="F2847">
        <v>12</v>
      </c>
    </row>
    <row r="2848" spans="1:6" x14ac:dyDescent="0.55000000000000004">
      <c r="A2848" t="s">
        <v>110</v>
      </c>
      <c r="B2848" t="s">
        <v>32</v>
      </c>
      <c r="C2848">
        <v>339952.30499999999</v>
      </c>
      <c r="D2848" t="s">
        <v>236</v>
      </c>
      <c r="E2848">
        <v>2019</v>
      </c>
      <c r="F2848">
        <v>12</v>
      </c>
    </row>
    <row r="2849" spans="1:6" x14ac:dyDescent="0.55000000000000004">
      <c r="A2849" t="s">
        <v>110</v>
      </c>
      <c r="B2849" t="s">
        <v>33</v>
      </c>
      <c r="C2849">
        <v>380453.56339999998</v>
      </c>
      <c r="D2849" t="s">
        <v>236</v>
      </c>
      <c r="E2849">
        <v>2019</v>
      </c>
      <c r="F2849">
        <v>12</v>
      </c>
    </row>
    <row r="2850" spans="1:6" x14ac:dyDescent="0.55000000000000004">
      <c r="A2850" t="s">
        <v>110</v>
      </c>
      <c r="B2850" t="s">
        <v>34</v>
      </c>
      <c r="C2850">
        <v>497557.27759999997</v>
      </c>
      <c r="D2850" t="s">
        <v>236</v>
      </c>
      <c r="E2850">
        <v>2019</v>
      </c>
      <c r="F2850">
        <v>12</v>
      </c>
    </row>
    <row r="2851" spans="1:6" x14ac:dyDescent="0.55000000000000004">
      <c r="A2851" t="s">
        <v>110</v>
      </c>
      <c r="B2851" t="s">
        <v>35</v>
      </c>
      <c r="C2851">
        <v>1244.0948000000001</v>
      </c>
      <c r="D2851" t="s">
        <v>236</v>
      </c>
      <c r="E2851">
        <v>2019</v>
      </c>
      <c r="F2851">
        <v>12</v>
      </c>
    </row>
    <row r="2852" spans="1:6" x14ac:dyDescent="0.55000000000000004">
      <c r="A2852" t="s">
        <v>110</v>
      </c>
      <c r="B2852" t="s">
        <v>36</v>
      </c>
      <c r="C2852">
        <v>53279.0861</v>
      </c>
      <c r="D2852" t="s">
        <v>236</v>
      </c>
      <c r="E2852">
        <v>2019</v>
      </c>
      <c r="F2852">
        <v>12</v>
      </c>
    </row>
    <row r="2853" spans="1:6" x14ac:dyDescent="0.55000000000000004">
      <c r="A2853" t="s">
        <v>110</v>
      </c>
      <c r="B2853" t="s">
        <v>37</v>
      </c>
      <c r="C2853">
        <v>43492.808599999997</v>
      </c>
      <c r="D2853" t="s">
        <v>236</v>
      </c>
      <c r="E2853">
        <v>2019</v>
      </c>
      <c r="F2853">
        <v>12</v>
      </c>
    </row>
    <row r="2854" spans="1:6" x14ac:dyDescent="0.55000000000000004">
      <c r="A2854" t="s">
        <v>110</v>
      </c>
      <c r="B2854" t="s">
        <v>38</v>
      </c>
      <c r="C2854">
        <v>0</v>
      </c>
      <c r="D2854" t="s">
        <v>236</v>
      </c>
      <c r="E2854">
        <v>2019</v>
      </c>
      <c r="F2854">
        <v>12</v>
      </c>
    </row>
    <row r="2855" spans="1:6" x14ac:dyDescent="0.55000000000000004">
      <c r="A2855" t="s">
        <v>110</v>
      </c>
      <c r="B2855" t="s">
        <v>39</v>
      </c>
      <c r="C2855">
        <v>1888.2064</v>
      </c>
      <c r="D2855" t="s">
        <v>236</v>
      </c>
      <c r="E2855">
        <v>2019</v>
      </c>
      <c r="F2855">
        <v>12</v>
      </c>
    </row>
    <row r="2856" spans="1:6" x14ac:dyDescent="0.55000000000000004">
      <c r="A2856" t="s">
        <v>110</v>
      </c>
      <c r="B2856" t="s">
        <v>40</v>
      </c>
      <c r="C2856">
        <v>2535.9479999999999</v>
      </c>
      <c r="D2856" t="s">
        <v>236</v>
      </c>
      <c r="E2856">
        <v>2019</v>
      </c>
      <c r="F2856">
        <v>12</v>
      </c>
    </row>
    <row r="2857" spans="1:6" x14ac:dyDescent="0.55000000000000004">
      <c r="A2857" t="s">
        <v>110</v>
      </c>
      <c r="B2857" t="s">
        <v>41</v>
      </c>
      <c r="C2857">
        <v>177637.39629999999</v>
      </c>
      <c r="D2857" t="s">
        <v>236</v>
      </c>
      <c r="E2857">
        <v>2019</v>
      </c>
      <c r="F2857">
        <v>12</v>
      </c>
    </row>
    <row r="2858" spans="1:6" x14ac:dyDescent="0.55000000000000004">
      <c r="A2858" t="s">
        <v>110</v>
      </c>
      <c r="B2858" t="s">
        <v>42</v>
      </c>
      <c r="C2858">
        <v>10.2667</v>
      </c>
      <c r="D2858" t="s">
        <v>236</v>
      </c>
      <c r="E2858">
        <v>2019</v>
      </c>
      <c r="F2858">
        <v>12</v>
      </c>
    </row>
    <row r="2859" spans="1:6" x14ac:dyDescent="0.55000000000000004">
      <c r="A2859" t="s">
        <v>110</v>
      </c>
      <c r="B2859" t="s">
        <v>43</v>
      </c>
      <c r="C2859">
        <v>129241.7387</v>
      </c>
      <c r="D2859" t="s">
        <v>236</v>
      </c>
      <c r="E2859">
        <v>2019</v>
      </c>
      <c r="F2859">
        <v>12</v>
      </c>
    </row>
    <row r="2860" spans="1:6" x14ac:dyDescent="0.55000000000000004">
      <c r="A2860" t="s">
        <v>110</v>
      </c>
      <c r="B2860" t="s">
        <v>44</v>
      </c>
      <c r="C2860">
        <v>0</v>
      </c>
      <c r="D2860" t="s">
        <v>236</v>
      </c>
      <c r="E2860">
        <v>2019</v>
      </c>
      <c r="F2860">
        <v>12</v>
      </c>
    </row>
    <row r="2861" spans="1:6" x14ac:dyDescent="0.55000000000000004">
      <c r="A2861" t="s">
        <v>110</v>
      </c>
      <c r="B2861" t="s">
        <v>45</v>
      </c>
      <c r="C2861">
        <v>1713.8033</v>
      </c>
      <c r="D2861" t="s">
        <v>236</v>
      </c>
      <c r="E2861">
        <v>2019</v>
      </c>
      <c r="F2861">
        <v>12</v>
      </c>
    </row>
    <row r="2862" spans="1:6" x14ac:dyDescent="0.55000000000000004">
      <c r="A2862" t="s">
        <v>110</v>
      </c>
      <c r="B2862" t="s">
        <v>46</v>
      </c>
      <c r="C2862">
        <v>55195.07</v>
      </c>
      <c r="D2862" t="s">
        <v>236</v>
      </c>
      <c r="E2862">
        <v>2019</v>
      </c>
      <c r="F2862">
        <v>12</v>
      </c>
    </row>
    <row r="2863" spans="1:6" x14ac:dyDescent="0.55000000000000004">
      <c r="A2863" t="s">
        <v>110</v>
      </c>
      <c r="B2863" t="s">
        <v>47</v>
      </c>
      <c r="C2863">
        <v>0.67430000000000001</v>
      </c>
      <c r="D2863" t="s">
        <v>236</v>
      </c>
      <c r="E2863">
        <v>2019</v>
      </c>
      <c r="F2863">
        <v>12</v>
      </c>
    </row>
    <row r="2864" spans="1:6" x14ac:dyDescent="0.55000000000000004">
      <c r="A2864" t="s">
        <v>110</v>
      </c>
      <c r="B2864" t="s">
        <v>48</v>
      </c>
      <c r="C2864">
        <v>503634.59090000001</v>
      </c>
      <c r="D2864" t="s">
        <v>236</v>
      </c>
      <c r="E2864">
        <v>2019</v>
      </c>
      <c r="F2864">
        <v>12</v>
      </c>
    </row>
    <row r="2865" spans="1:6" x14ac:dyDescent="0.55000000000000004">
      <c r="A2865" t="s">
        <v>110</v>
      </c>
      <c r="B2865" t="s">
        <v>49</v>
      </c>
      <c r="C2865">
        <v>3.2130000000000001</v>
      </c>
      <c r="D2865" t="s">
        <v>236</v>
      </c>
      <c r="E2865">
        <v>2019</v>
      </c>
      <c r="F2865">
        <v>12</v>
      </c>
    </row>
    <row r="2866" spans="1:6" x14ac:dyDescent="0.55000000000000004">
      <c r="A2866" t="s">
        <v>110</v>
      </c>
      <c r="B2866" t="s">
        <v>50</v>
      </c>
      <c r="C2866">
        <v>44774.737200000003</v>
      </c>
      <c r="D2866" t="s">
        <v>236</v>
      </c>
      <c r="E2866">
        <v>2019</v>
      </c>
      <c r="F2866">
        <v>12</v>
      </c>
    </row>
    <row r="2867" spans="1:6" x14ac:dyDescent="0.55000000000000004">
      <c r="A2867" t="s">
        <v>110</v>
      </c>
      <c r="B2867" t="s">
        <v>51</v>
      </c>
      <c r="C2867">
        <v>2594.5938000000001</v>
      </c>
      <c r="D2867" t="s">
        <v>236</v>
      </c>
      <c r="E2867">
        <v>2019</v>
      </c>
      <c r="F2867">
        <v>12</v>
      </c>
    </row>
    <row r="2868" spans="1:6" x14ac:dyDescent="0.55000000000000004">
      <c r="A2868" t="s">
        <v>110</v>
      </c>
      <c r="B2868" t="s">
        <v>52</v>
      </c>
      <c r="C2868">
        <v>50.418900000000001</v>
      </c>
      <c r="D2868" t="s">
        <v>236</v>
      </c>
      <c r="E2868">
        <v>2019</v>
      </c>
      <c r="F2868">
        <v>12</v>
      </c>
    </row>
    <row r="2869" spans="1:6" x14ac:dyDescent="0.55000000000000004">
      <c r="A2869" t="s">
        <v>110</v>
      </c>
      <c r="B2869" t="s">
        <v>53</v>
      </c>
      <c r="C2869">
        <v>111115.9</v>
      </c>
      <c r="D2869" t="s">
        <v>236</v>
      </c>
      <c r="E2869">
        <v>2019</v>
      </c>
      <c r="F2869">
        <v>12</v>
      </c>
    </row>
    <row r="2870" spans="1:6" x14ac:dyDescent="0.55000000000000004">
      <c r="A2870" t="s">
        <v>110</v>
      </c>
      <c r="B2870" t="s">
        <v>54</v>
      </c>
      <c r="C2870">
        <v>17514.3285</v>
      </c>
      <c r="D2870" t="s">
        <v>236</v>
      </c>
      <c r="E2870">
        <v>2019</v>
      </c>
      <c r="F2870">
        <v>12</v>
      </c>
    </row>
    <row r="2871" spans="1:6" x14ac:dyDescent="0.55000000000000004">
      <c r="A2871" t="s">
        <v>110</v>
      </c>
      <c r="B2871" t="s">
        <v>55</v>
      </c>
      <c r="C2871">
        <v>8196.1666999999998</v>
      </c>
      <c r="D2871" t="s">
        <v>236</v>
      </c>
      <c r="E2871">
        <v>2019</v>
      </c>
      <c r="F2871">
        <v>12</v>
      </c>
    </row>
    <row r="2872" spans="1:6" x14ac:dyDescent="0.55000000000000004">
      <c r="A2872" t="s">
        <v>110</v>
      </c>
      <c r="B2872" t="s">
        <v>56</v>
      </c>
      <c r="C2872">
        <v>0</v>
      </c>
      <c r="D2872" t="s">
        <v>236</v>
      </c>
      <c r="E2872">
        <v>2019</v>
      </c>
      <c r="F2872">
        <v>12</v>
      </c>
    </row>
    <row r="2873" spans="1:6" x14ac:dyDescent="0.55000000000000004">
      <c r="A2873" t="s">
        <v>110</v>
      </c>
      <c r="B2873" t="s">
        <v>57</v>
      </c>
      <c r="C2873">
        <v>665.94380000000001</v>
      </c>
      <c r="D2873" t="s">
        <v>236</v>
      </c>
      <c r="E2873">
        <v>2019</v>
      </c>
      <c r="F2873">
        <v>12</v>
      </c>
    </row>
    <row r="2874" spans="1:6" x14ac:dyDescent="0.55000000000000004">
      <c r="A2874" t="s">
        <v>110</v>
      </c>
      <c r="B2874" t="s">
        <v>58</v>
      </c>
      <c r="C2874">
        <v>330248</v>
      </c>
      <c r="D2874" t="s">
        <v>236</v>
      </c>
      <c r="E2874">
        <v>2019</v>
      </c>
      <c r="F2874">
        <v>12</v>
      </c>
    </row>
    <row r="2875" spans="1:6" x14ac:dyDescent="0.55000000000000004">
      <c r="A2875" t="s">
        <v>110</v>
      </c>
      <c r="B2875" t="s">
        <v>59</v>
      </c>
      <c r="C2875">
        <v>34.164900000000003</v>
      </c>
      <c r="D2875" t="s">
        <v>236</v>
      </c>
      <c r="E2875">
        <v>2019</v>
      </c>
      <c r="F2875">
        <v>12</v>
      </c>
    </row>
    <row r="2876" spans="1:6" x14ac:dyDescent="0.55000000000000004">
      <c r="A2876" t="s">
        <v>110</v>
      </c>
      <c r="B2876" t="s">
        <v>60</v>
      </c>
      <c r="C2876">
        <v>3087129.4679999999</v>
      </c>
      <c r="D2876" t="s">
        <v>236</v>
      </c>
      <c r="E2876">
        <v>2019</v>
      </c>
      <c r="F2876">
        <v>12</v>
      </c>
    </row>
    <row r="2877" spans="1:6" x14ac:dyDescent="0.55000000000000004">
      <c r="A2877" t="s">
        <v>110</v>
      </c>
      <c r="B2877" t="s">
        <v>61</v>
      </c>
      <c r="C2877">
        <v>393.28230000000002</v>
      </c>
      <c r="D2877" t="s">
        <v>236</v>
      </c>
      <c r="E2877">
        <v>2019</v>
      </c>
      <c r="F2877">
        <v>12</v>
      </c>
    </row>
    <row r="2878" spans="1:6" x14ac:dyDescent="0.55000000000000004">
      <c r="A2878" t="s">
        <v>110</v>
      </c>
      <c r="B2878" t="s">
        <v>62</v>
      </c>
      <c r="C2878">
        <v>800.80640000000005</v>
      </c>
      <c r="D2878" t="s">
        <v>236</v>
      </c>
      <c r="E2878">
        <v>2019</v>
      </c>
      <c r="F2878">
        <v>12</v>
      </c>
    </row>
    <row r="2879" spans="1:6" x14ac:dyDescent="0.55000000000000004">
      <c r="A2879" t="s">
        <v>110</v>
      </c>
      <c r="B2879" t="s">
        <v>63</v>
      </c>
      <c r="C2879">
        <v>1807.3677</v>
      </c>
      <c r="D2879" t="s">
        <v>236</v>
      </c>
      <c r="E2879">
        <v>2019</v>
      </c>
      <c r="F2879">
        <v>12</v>
      </c>
    </row>
    <row r="2880" spans="1:6" x14ac:dyDescent="0.55000000000000004">
      <c r="A2880" t="s">
        <v>111</v>
      </c>
      <c r="B2880" t="s">
        <v>4</v>
      </c>
      <c r="C2880">
        <v>10627231.445</v>
      </c>
      <c r="D2880" t="s">
        <v>237</v>
      </c>
      <c r="E2880">
        <v>2020</v>
      </c>
      <c r="F2880">
        <v>1</v>
      </c>
    </row>
    <row r="2881" spans="1:6" x14ac:dyDescent="0.55000000000000004">
      <c r="A2881" t="s">
        <v>111</v>
      </c>
      <c r="B2881" t="s">
        <v>5</v>
      </c>
      <c r="C2881">
        <v>1168960.1301</v>
      </c>
      <c r="D2881" t="s">
        <v>237</v>
      </c>
      <c r="E2881">
        <v>2020</v>
      </c>
      <c r="F2881">
        <v>1</v>
      </c>
    </row>
    <row r="2882" spans="1:6" x14ac:dyDescent="0.55000000000000004">
      <c r="A2882" t="s">
        <v>111</v>
      </c>
      <c r="B2882" t="s">
        <v>6</v>
      </c>
      <c r="C2882">
        <v>2028171.9098</v>
      </c>
      <c r="D2882" t="s">
        <v>237</v>
      </c>
      <c r="E2882">
        <v>2020</v>
      </c>
      <c r="F2882">
        <v>1</v>
      </c>
    </row>
    <row r="2883" spans="1:6" x14ac:dyDescent="0.55000000000000004">
      <c r="A2883" t="s">
        <v>111</v>
      </c>
      <c r="B2883" t="s">
        <v>7</v>
      </c>
      <c r="C2883">
        <v>3547389.6033000001</v>
      </c>
      <c r="D2883" t="s">
        <v>237</v>
      </c>
      <c r="E2883">
        <v>2020</v>
      </c>
      <c r="F2883">
        <v>1</v>
      </c>
    </row>
    <row r="2884" spans="1:6" x14ac:dyDescent="0.55000000000000004">
      <c r="A2884" t="s">
        <v>111</v>
      </c>
      <c r="B2884" t="s">
        <v>8</v>
      </c>
      <c r="C2884">
        <v>3882709.8018</v>
      </c>
      <c r="D2884" t="s">
        <v>237</v>
      </c>
      <c r="E2884">
        <v>2020</v>
      </c>
      <c r="F2884">
        <v>1</v>
      </c>
    </row>
    <row r="2885" spans="1:6" x14ac:dyDescent="0.55000000000000004">
      <c r="A2885" t="s">
        <v>111</v>
      </c>
      <c r="B2885" t="s">
        <v>9</v>
      </c>
      <c r="C2885">
        <v>2111.1007</v>
      </c>
      <c r="D2885" t="s">
        <v>237</v>
      </c>
      <c r="E2885">
        <v>2020</v>
      </c>
      <c r="F2885">
        <v>1</v>
      </c>
    </row>
    <row r="2886" spans="1:6" x14ac:dyDescent="0.55000000000000004">
      <c r="A2886" t="s">
        <v>111</v>
      </c>
      <c r="B2886" t="s">
        <v>10</v>
      </c>
      <c r="C2886">
        <v>4187.45</v>
      </c>
      <c r="D2886" t="s">
        <v>237</v>
      </c>
      <c r="E2886">
        <v>2020</v>
      </c>
      <c r="F2886">
        <v>1</v>
      </c>
    </row>
    <row r="2887" spans="1:6" x14ac:dyDescent="0.55000000000000004">
      <c r="A2887" t="s">
        <v>111</v>
      </c>
      <c r="B2887" t="s">
        <v>11</v>
      </c>
      <c r="C2887">
        <v>3474087.4794000001</v>
      </c>
      <c r="D2887" t="s">
        <v>237</v>
      </c>
      <c r="E2887">
        <v>2020</v>
      </c>
      <c r="F2887">
        <v>1</v>
      </c>
    </row>
    <row r="2888" spans="1:6" x14ac:dyDescent="0.55000000000000004">
      <c r="A2888" t="s">
        <v>111</v>
      </c>
      <c r="B2888" t="s">
        <v>12</v>
      </c>
      <c r="C2888">
        <v>21876.283299999999</v>
      </c>
      <c r="D2888" t="s">
        <v>237</v>
      </c>
      <c r="E2888">
        <v>2020</v>
      </c>
      <c r="F2888">
        <v>1</v>
      </c>
    </row>
    <row r="2889" spans="1:6" x14ac:dyDescent="0.55000000000000004">
      <c r="A2889" t="s">
        <v>111</v>
      </c>
      <c r="B2889" t="s">
        <v>13</v>
      </c>
      <c r="C2889">
        <v>5636.6666999999998</v>
      </c>
      <c r="D2889" t="s">
        <v>237</v>
      </c>
      <c r="E2889">
        <v>2020</v>
      </c>
      <c r="F2889">
        <v>1</v>
      </c>
    </row>
    <row r="2890" spans="1:6" x14ac:dyDescent="0.55000000000000004">
      <c r="A2890" t="s">
        <v>111</v>
      </c>
      <c r="B2890" t="s">
        <v>14</v>
      </c>
      <c r="C2890">
        <v>1500</v>
      </c>
      <c r="D2890" t="s">
        <v>237</v>
      </c>
      <c r="E2890">
        <v>2020</v>
      </c>
      <c r="F2890">
        <v>1</v>
      </c>
    </row>
    <row r="2891" spans="1:6" x14ac:dyDescent="0.55000000000000004">
      <c r="A2891" t="s">
        <v>111</v>
      </c>
      <c r="B2891" t="s">
        <v>15</v>
      </c>
      <c r="C2891">
        <v>1065415.4887999999</v>
      </c>
      <c r="D2891" t="s">
        <v>237</v>
      </c>
      <c r="E2891">
        <v>2020</v>
      </c>
      <c r="F2891">
        <v>1</v>
      </c>
    </row>
    <row r="2892" spans="1:6" x14ac:dyDescent="0.55000000000000004">
      <c r="A2892" t="s">
        <v>111</v>
      </c>
      <c r="B2892" t="s">
        <v>16</v>
      </c>
      <c r="C2892">
        <v>0</v>
      </c>
      <c r="D2892" t="s">
        <v>237</v>
      </c>
      <c r="E2892">
        <v>2020</v>
      </c>
      <c r="F2892">
        <v>1</v>
      </c>
    </row>
    <row r="2893" spans="1:6" x14ac:dyDescent="0.55000000000000004">
      <c r="A2893" t="s">
        <v>111</v>
      </c>
      <c r="B2893" t="s">
        <v>17</v>
      </c>
      <c r="C2893">
        <v>50006.3586</v>
      </c>
      <c r="D2893" t="s">
        <v>237</v>
      </c>
      <c r="E2893">
        <v>2020</v>
      </c>
      <c r="F2893">
        <v>1</v>
      </c>
    </row>
    <row r="2894" spans="1:6" x14ac:dyDescent="0.55000000000000004">
      <c r="A2894" t="s">
        <v>111</v>
      </c>
      <c r="B2894" t="s">
        <v>18</v>
      </c>
      <c r="C2894">
        <v>140521.01699999999</v>
      </c>
      <c r="D2894" t="s">
        <v>237</v>
      </c>
      <c r="E2894">
        <v>2020</v>
      </c>
      <c r="F2894">
        <v>1</v>
      </c>
    </row>
    <row r="2895" spans="1:6" x14ac:dyDescent="0.55000000000000004">
      <c r="A2895" t="s">
        <v>111</v>
      </c>
      <c r="B2895" t="s">
        <v>19</v>
      </c>
      <c r="C2895">
        <v>1927.1832999999999</v>
      </c>
      <c r="D2895" t="s">
        <v>237</v>
      </c>
      <c r="E2895">
        <v>2020</v>
      </c>
      <c r="F2895">
        <v>1</v>
      </c>
    </row>
    <row r="2896" spans="1:6" x14ac:dyDescent="0.55000000000000004">
      <c r="A2896" t="s">
        <v>111</v>
      </c>
      <c r="B2896" t="s">
        <v>20</v>
      </c>
      <c r="C2896">
        <v>12000</v>
      </c>
      <c r="D2896" t="s">
        <v>237</v>
      </c>
      <c r="E2896">
        <v>2020</v>
      </c>
      <c r="F2896">
        <v>1</v>
      </c>
    </row>
    <row r="2897" spans="1:6" x14ac:dyDescent="0.55000000000000004">
      <c r="A2897" t="s">
        <v>111</v>
      </c>
      <c r="B2897" t="s">
        <v>21</v>
      </c>
      <c r="C2897">
        <v>1333.9899</v>
      </c>
      <c r="D2897" t="s">
        <v>237</v>
      </c>
      <c r="E2897">
        <v>2020</v>
      </c>
      <c r="F2897">
        <v>1</v>
      </c>
    </row>
    <row r="2898" spans="1:6" x14ac:dyDescent="0.55000000000000004">
      <c r="A2898" t="s">
        <v>111</v>
      </c>
      <c r="B2898" t="s">
        <v>22</v>
      </c>
      <c r="C2898">
        <v>25621.35</v>
      </c>
      <c r="D2898" t="s">
        <v>237</v>
      </c>
      <c r="E2898">
        <v>2020</v>
      </c>
      <c r="F2898">
        <v>1</v>
      </c>
    </row>
    <row r="2899" spans="1:6" x14ac:dyDescent="0.55000000000000004">
      <c r="A2899" t="s">
        <v>111</v>
      </c>
      <c r="B2899" t="s">
        <v>23</v>
      </c>
      <c r="C2899">
        <v>28111.642899999999</v>
      </c>
      <c r="D2899" t="s">
        <v>237</v>
      </c>
      <c r="E2899">
        <v>2020</v>
      </c>
      <c r="F2899">
        <v>1</v>
      </c>
    </row>
    <row r="2900" spans="1:6" x14ac:dyDescent="0.55000000000000004">
      <c r="A2900" t="s">
        <v>111</v>
      </c>
      <c r="B2900" t="s">
        <v>24</v>
      </c>
      <c r="C2900">
        <v>0</v>
      </c>
      <c r="D2900" t="s">
        <v>237</v>
      </c>
      <c r="E2900">
        <v>2020</v>
      </c>
      <c r="F2900">
        <v>1</v>
      </c>
    </row>
    <row r="2901" spans="1:6" x14ac:dyDescent="0.55000000000000004">
      <c r="A2901" t="s">
        <v>111</v>
      </c>
      <c r="B2901" t="s">
        <v>25</v>
      </c>
      <c r="C2901">
        <v>240195.26329999999</v>
      </c>
      <c r="D2901" t="s">
        <v>237</v>
      </c>
      <c r="E2901">
        <v>2020</v>
      </c>
      <c r="F2901">
        <v>1</v>
      </c>
    </row>
    <row r="2902" spans="1:6" x14ac:dyDescent="0.55000000000000004">
      <c r="A2902" t="s">
        <v>111</v>
      </c>
      <c r="B2902" t="s">
        <v>26</v>
      </c>
      <c r="C2902">
        <v>0</v>
      </c>
      <c r="D2902" t="s">
        <v>237</v>
      </c>
      <c r="E2902">
        <v>2020</v>
      </c>
      <c r="F2902">
        <v>1</v>
      </c>
    </row>
    <row r="2903" spans="1:6" x14ac:dyDescent="0.55000000000000004">
      <c r="A2903" t="s">
        <v>111</v>
      </c>
      <c r="B2903" t="s">
        <v>27</v>
      </c>
      <c r="C2903">
        <v>160.39400000000001</v>
      </c>
      <c r="D2903" t="s">
        <v>237</v>
      </c>
      <c r="E2903">
        <v>2020</v>
      </c>
      <c r="F2903">
        <v>1</v>
      </c>
    </row>
    <row r="2904" spans="1:6" x14ac:dyDescent="0.55000000000000004">
      <c r="A2904" t="s">
        <v>111</v>
      </c>
      <c r="B2904" t="s">
        <v>28</v>
      </c>
      <c r="C2904">
        <v>265397.33610000001</v>
      </c>
      <c r="D2904" t="s">
        <v>237</v>
      </c>
      <c r="E2904">
        <v>2020</v>
      </c>
      <c r="F2904">
        <v>1</v>
      </c>
    </row>
    <row r="2905" spans="1:6" x14ac:dyDescent="0.55000000000000004">
      <c r="A2905" t="s">
        <v>111</v>
      </c>
      <c r="B2905" t="s">
        <v>29</v>
      </c>
      <c r="C2905">
        <v>15548.8593</v>
      </c>
      <c r="D2905" t="s">
        <v>237</v>
      </c>
      <c r="E2905">
        <v>2020</v>
      </c>
      <c r="F2905">
        <v>1</v>
      </c>
    </row>
    <row r="2906" spans="1:6" x14ac:dyDescent="0.55000000000000004">
      <c r="A2906" t="s">
        <v>111</v>
      </c>
      <c r="B2906" t="s">
        <v>30</v>
      </c>
      <c r="C2906">
        <v>0</v>
      </c>
      <c r="D2906" t="s">
        <v>237</v>
      </c>
      <c r="E2906">
        <v>2020</v>
      </c>
      <c r="F2906">
        <v>1</v>
      </c>
    </row>
    <row r="2907" spans="1:6" x14ac:dyDescent="0.55000000000000004">
      <c r="A2907" t="s">
        <v>111</v>
      </c>
      <c r="B2907" t="s">
        <v>31</v>
      </c>
      <c r="C2907">
        <v>100</v>
      </c>
      <c r="D2907" t="s">
        <v>237</v>
      </c>
      <c r="E2907">
        <v>2020</v>
      </c>
      <c r="F2907">
        <v>1</v>
      </c>
    </row>
    <row r="2908" spans="1:6" x14ac:dyDescent="0.55000000000000004">
      <c r="A2908" t="s">
        <v>111</v>
      </c>
      <c r="B2908" t="s">
        <v>32</v>
      </c>
      <c r="C2908">
        <v>718886.06799999997</v>
      </c>
      <c r="D2908" t="s">
        <v>237</v>
      </c>
      <c r="E2908">
        <v>2020</v>
      </c>
      <c r="F2908">
        <v>1</v>
      </c>
    </row>
    <row r="2909" spans="1:6" x14ac:dyDescent="0.55000000000000004">
      <c r="A2909" t="s">
        <v>111</v>
      </c>
      <c r="B2909" t="s">
        <v>33</v>
      </c>
      <c r="C2909">
        <v>349043.3762</v>
      </c>
      <c r="D2909" t="s">
        <v>237</v>
      </c>
      <c r="E2909">
        <v>2020</v>
      </c>
      <c r="F2909">
        <v>1</v>
      </c>
    </row>
    <row r="2910" spans="1:6" x14ac:dyDescent="0.55000000000000004">
      <c r="A2910" t="s">
        <v>111</v>
      </c>
      <c r="B2910" t="s">
        <v>34</v>
      </c>
      <c r="C2910">
        <v>511899.60159999999</v>
      </c>
      <c r="D2910" t="s">
        <v>237</v>
      </c>
      <c r="E2910">
        <v>2020</v>
      </c>
      <c r="F2910">
        <v>1</v>
      </c>
    </row>
    <row r="2911" spans="1:6" x14ac:dyDescent="0.55000000000000004">
      <c r="A2911" t="s">
        <v>111</v>
      </c>
      <c r="B2911" t="s">
        <v>35</v>
      </c>
      <c r="C2911">
        <v>562.54639999999995</v>
      </c>
      <c r="D2911" t="s">
        <v>237</v>
      </c>
      <c r="E2911">
        <v>2020</v>
      </c>
      <c r="F2911">
        <v>1</v>
      </c>
    </row>
    <row r="2912" spans="1:6" x14ac:dyDescent="0.55000000000000004">
      <c r="A2912" t="s">
        <v>111</v>
      </c>
      <c r="B2912" t="s">
        <v>36</v>
      </c>
      <c r="C2912">
        <v>37919.921300000002</v>
      </c>
      <c r="D2912" t="s">
        <v>237</v>
      </c>
      <c r="E2912">
        <v>2020</v>
      </c>
      <c r="F2912">
        <v>1</v>
      </c>
    </row>
    <row r="2913" spans="1:6" x14ac:dyDescent="0.55000000000000004">
      <c r="A2913" t="s">
        <v>111</v>
      </c>
      <c r="B2913" t="s">
        <v>37</v>
      </c>
      <c r="C2913">
        <v>42599.996700000003</v>
      </c>
      <c r="D2913" t="s">
        <v>237</v>
      </c>
      <c r="E2913">
        <v>2020</v>
      </c>
      <c r="F2913">
        <v>1</v>
      </c>
    </row>
    <row r="2914" spans="1:6" x14ac:dyDescent="0.55000000000000004">
      <c r="A2914" t="s">
        <v>111</v>
      </c>
      <c r="B2914" t="s">
        <v>38</v>
      </c>
      <c r="C2914">
        <v>500</v>
      </c>
      <c r="D2914" t="s">
        <v>237</v>
      </c>
      <c r="E2914">
        <v>2020</v>
      </c>
      <c r="F2914">
        <v>1</v>
      </c>
    </row>
    <row r="2915" spans="1:6" x14ac:dyDescent="0.55000000000000004">
      <c r="A2915" t="s">
        <v>111</v>
      </c>
      <c r="B2915" t="s">
        <v>39</v>
      </c>
      <c r="C2915">
        <v>1545.4666999999999</v>
      </c>
      <c r="D2915" t="s">
        <v>237</v>
      </c>
      <c r="E2915">
        <v>2020</v>
      </c>
      <c r="F2915">
        <v>1</v>
      </c>
    </row>
    <row r="2916" spans="1:6" x14ac:dyDescent="0.55000000000000004">
      <c r="A2916" t="s">
        <v>111</v>
      </c>
      <c r="B2916" t="s">
        <v>40</v>
      </c>
      <c r="C2916">
        <v>353.33330000000001</v>
      </c>
      <c r="D2916" t="s">
        <v>237</v>
      </c>
      <c r="E2916">
        <v>2020</v>
      </c>
      <c r="F2916">
        <v>1</v>
      </c>
    </row>
    <row r="2917" spans="1:6" x14ac:dyDescent="0.55000000000000004">
      <c r="A2917" t="s">
        <v>111</v>
      </c>
      <c r="B2917" t="s">
        <v>41</v>
      </c>
      <c r="C2917">
        <v>194660.46520000001</v>
      </c>
      <c r="D2917" t="s">
        <v>237</v>
      </c>
      <c r="E2917">
        <v>2020</v>
      </c>
      <c r="F2917">
        <v>1</v>
      </c>
    </row>
    <row r="2918" spans="1:6" x14ac:dyDescent="0.55000000000000004">
      <c r="A2918" t="s">
        <v>111</v>
      </c>
      <c r="B2918" t="s">
        <v>42</v>
      </c>
      <c r="C2918">
        <v>95.758300000000006</v>
      </c>
      <c r="D2918" t="s">
        <v>237</v>
      </c>
      <c r="E2918">
        <v>2020</v>
      </c>
      <c r="F2918">
        <v>1</v>
      </c>
    </row>
    <row r="2919" spans="1:6" x14ac:dyDescent="0.55000000000000004">
      <c r="A2919" t="s">
        <v>111</v>
      </c>
      <c r="B2919" t="s">
        <v>43</v>
      </c>
      <c r="C2919">
        <v>244653.6287</v>
      </c>
      <c r="D2919" t="s">
        <v>237</v>
      </c>
      <c r="E2919">
        <v>2020</v>
      </c>
      <c r="F2919">
        <v>1</v>
      </c>
    </row>
    <row r="2920" spans="1:6" x14ac:dyDescent="0.55000000000000004">
      <c r="A2920" t="s">
        <v>111</v>
      </c>
      <c r="B2920" t="s">
        <v>44</v>
      </c>
      <c r="C2920">
        <v>0</v>
      </c>
      <c r="D2920" t="s">
        <v>237</v>
      </c>
      <c r="E2920">
        <v>2020</v>
      </c>
      <c r="F2920">
        <v>1</v>
      </c>
    </row>
    <row r="2921" spans="1:6" x14ac:dyDescent="0.55000000000000004">
      <c r="A2921" t="s">
        <v>111</v>
      </c>
      <c r="B2921" t="s">
        <v>45</v>
      </c>
      <c r="C2921">
        <v>804.49950000000001</v>
      </c>
      <c r="D2921" t="s">
        <v>237</v>
      </c>
      <c r="E2921">
        <v>2020</v>
      </c>
      <c r="F2921">
        <v>1</v>
      </c>
    </row>
    <row r="2922" spans="1:6" x14ac:dyDescent="0.55000000000000004">
      <c r="A2922" t="s">
        <v>111</v>
      </c>
      <c r="B2922" t="s">
        <v>46</v>
      </c>
      <c r="C2922">
        <v>33029.33</v>
      </c>
      <c r="D2922" t="s">
        <v>237</v>
      </c>
      <c r="E2922">
        <v>2020</v>
      </c>
      <c r="F2922">
        <v>1</v>
      </c>
    </row>
    <row r="2923" spans="1:6" x14ac:dyDescent="0.55000000000000004">
      <c r="A2923" t="s">
        <v>111</v>
      </c>
      <c r="B2923" t="s">
        <v>47</v>
      </c>
      <c r="C2923">
        <v>0</v>
      </c>
      <c r="D2923" t="s">
        <v>237</v>
      </c>
      <c r="E2923">
        <v>2020</v>
      </c>
      <c r="F2923">
        <v>1</v>
      </c>
    </row>
    <row r="2924" spans="1:6" x14ac:dyDescent="0.55000000000000004">
      <c r="A2924" t="s">
        <v>111</v>
      </c>
      <c r="B2924" t="s">
        <v>48</v>
      </c>
      <c r="C2924">
        <v>119488.9434</v>
      </c>
      <c r="D2924" t="s">
        <v>237</v>
      </c>
      <c r="E2924">
        <v>2020</v>
      </c>
      <c r="F2924">
        <v>1</v>
      </c>
    </row>
    <row r="2925" spans="1:6" x14ac:dyDescent="0.55000000000000004">
      <c r="A2925" t="s">
        <v>111</v>
      </c>
      <c r="B2925" t="s">
        <v>49</v>
      </c>
      <c r="C2925">
        <v>119.91200000000001</v>
      </c>
      <c r="D2925" t="s">
        <v>237</v>
      </c>
      <c r="E2925">
        <v>2020</v>
      </c>
      <c r="F2925">
        <v>1</v>
      </c>
    </row>
    <row r="2926" spans="1:6" x14ac:dyDescent="0.55000000000000004">
      <c r="A2926" t="s">
        <v>111</v>
      </c>
      <c r="B2926" t="s">
        <v>50</v>
      </c>
      <c r="C2926">
        <v>19007.102800000001</v>
      </c>
      <c r="D2926" t="s">
        <v>237</v>
      </c>
      <c r="E2926">
        <v>2020</v>
      </c>
      <c r="F2926">
        <v>1</v>
      </c>
    </row>
    <row r="2927" spans="1:6" x14ac:dyDescent="0.55000000000000004">
      <c r="A2927" t="s">
        <v>111</v>
      </c>
      <c r="B2927" t="s">
        <v>51</v>
      </c>
      <c r="C2927">
        <v>1200</v>
      </c>
      <c r="D2927" t="s">
        <v>237</v>
      </c>
      <c r="E2927">
        <v>2020</v>
      </c>
      <c r="F2927">
        <v>1</v>
      </c>
    </row>
    <row r="2928" spans="1:6" x14ac:dyDescent="0.55000000000000004">
      <c r="A2928" t="s">
        <v>111</v>
      </c>
      <c r="B2928" t="s">
        <v>52</v>
      </c>
      <c r="C2928">
        <v>130.8083</v>
      </c>
      <c r="D2928" t="s">
        <v>237</v>
      </c>
      <c r="E2928">
        <v>2020</v>
      </c>
      <c r="F2928">
        <v>1</v>
      </c>
    </row>
    <row r="2929" spans="1:6" x14ac:dyDescent="0.55000000000000004">
      <c r="A2929" t="s">
        <v>111</v>
      </c>
      <c r="B2929" t="s">
        <v>53</v>
      </c>
      <c r="C2929">
        <v>98137.52</v>
      </c>
      <c r="D2929" t="s">
        <v>237</v>
      </c>
      <c r="E2929">
        <v>2020</v>
      </c>
      <c r="F2929">
        <v>1</v>
      </c>
    </row>
    <row r="2930" spans="1:6" x14ac:dyDescent="0.55000000000000004">
      <c r="A2930" t="s">
        <v>111</v>
      </c>
      <c r="B2930" t="s">
        <v>54</v>
      </c>
      <c r="C2930">
        <v>9777.49</v>
      </c>
      <c r="D2930" t="s">
        <v>237</v>
      </c>
      <c r="E2930">
        <v>2020</v>
      </c>
      <c r="F2930">
        <v>1</v>
      </c>
    </row>
    <row r="2931" spans="1:6" x14ac:dyDescent="0.55000000000000004">
      <c r="A2931" t="s">
        <v>111</v>
      </c>
      <c r="B2931" t="s">
        <v>55</v>
      </c>
      <c r="C2931">
        <v>1684.2833000000001</v>
      </c>
      <c r="D2931" t="s">
        <v>237</v>
      </c>
      <c r="E2931">
        <v>2020</v>
      </c>
      <c r="F2931">
        <v>1</v>
      </c>
    </row>
    <row r="2932" spans="1:6" x14ac:dyDescent="0.55000000000000004">
      <c r="A2932" t="s">
        <v>111</v>
      </c>
      <c r="B2932" t="s">
        <v>56</v>
      </c>
      <c r="C2932">
        <v>2240</v>
      </c>
      <c r="D2932" t="s">
        <v>237</v>
      </c>
      <c r="E2932">
        <v>2020</v>
      </c>
      <c r="F2932">
        <v>1</v>
      </c>
    </row>
    <row r="2933" spans="1:6" x14ac:dyDescent="0.55000000000000004">
      <c r="A2933" t="s">
        <v>111</v>
      </c>
      <c r="B2933" t="s">
        <v>57</v>
      </c>
      <c r="C2933">
        <v>101.3501</v>
      </c>
      <c r="D2933" t="s">
        <v>237</v>
      </c>
      <c r="E2933">
        <v>2020</v>
      </c>
      <c r="F2933">
        <v>1</v>
      </c>
    </row>
    <row r="2934" spans="1:6" x14ac:dyDescent="0.55000000000000004">
      <c r="A2934" t="s">
        <v>111</v>
      </c>
      <c r="B2934" t="s">
        <v>58</v>
      </c>
      <c r="C2934">
        <v>469951</v>
      </c>
      <c r="D2934" t="s">
        <v>237</v>
      </c>
      <c r="E2934">
        <v>2020</v>
      </c>
      <c r="F2934">
        <v>1</v>
      </c>
    </row>
    <row r="2935" spans="1:6" x14ac:dyDescent="0.55000000000000004">
      <c r="A2935" t="s">
        <v>111</v>
      </c>
      <c r="B2935" t="s">
        <v>59</v>
      </c>
      <c r="C2935">
        <v>2900</v>
      </c>
      <c r="D2935" t="s">
        <v>237</v>
      </c>
      <c r="E2935">
        <v>2020</v>
      </c>
      <c r="F2935">
        <v>1</v>
      </c>
    </row>
    <row r="2936" spans="1:6" x14ac:dyDescent="0.55000000000000004">
      <c r="A2936" t="s">
        <v>111</v>
      </c>
      <c r="B2936" t="s">
        <v>60</v>
      </c>
      <c r="C2936">
        <v>2399999.9803999998</v>
      </c>
      <c r="D2936" t="s">
        <v>237</v>
      </c>
      <c r="E2936">
        <v>2020</v>
      </c>
      <c r="F2936">
        <v>1</v>
      </c>
    </row>
    <row r="2937" spans="1:6" x14ac:dyDescent="0.55000000000000004">
      <c r="A2937" t="s">
        <v>111</v>
      </c>
      <c r="B2937" t="s">
        <v>61</v>
      </c>
      <c r="C2937">
        <v>4049.9994999999999</v>
      </c>
      <c r="D2937" t="s">
        <v>237</v>
      </c>
      <c r="E2937">
        <v>2020</v>
      </c>
      <c r="F2937">
        <v>1</v>
      </c>
    </row>
    <row r="2938" spans="1:6" x14ac:dyDescent="0.55000000000000004">
      <c r="A2938" t="s">
        <v>111</v>
      </c>
      <c r="B2938" t="s">
        <v>62</v>
      </c>
      <c r="C2938">
        <v>5538.2</v>
      </c>
      <c r="D2938" t="s">
        <v>237</v>
      </c>
      <c r="E2938">
        <v>2020</v>
      </c>
      <c r="F2938">
        <v>1</v>
      </c>
    </row>
    <row r="2939" spans="1:6" x14ac:dyDescent="0.55000000000000004">
      <c r="A2939" t="s">
        <v>111</v>
      </c>
      <c r="B2939" t="s">
        <v>63</v>
      </c>
      <c r="C2939">
        <v>613</v>
      </c>
      <c r="D2939" t="s">
        <v>237</v>
      </c>
      <c r="E2939">
        <v>2020</v>
      </c>
      <c r="F2939">
        <v>1</v>
      </c>
    </row>
    <row r="2940" spans="1:6" x14ac:dyDescent="0.55000000000000004">
      <c r="A2940" t="s">
        <v>112</v>
      </c>
      <c r="B2940" t="s">
        <v>4</v>
      </c>
      <c r="C2940">
        <v>11225107.487400001</v>
      </c>
      <c r="D2940" t="s">
        <v>238</v>
      </c>
      <c r="E2940">
        <v>2020</v>
      </c>
      <c r="F2940">
        <v>2</v>
      </c>
    </row>
    <row r="2941" spans="1:6" x14ac:dyDescent="0.55000000000000004">
      <c r="A2941" t="s">
        <v>112</v>
      </c>
      <c r="B2941" t="s">
        <v>5</v>
      </c>
      <c r="C2941">
        <v>1215741.2201</v>
      </c>
      <c r="D2941" t="s">
        <v>238</v>
      </c>
      <c r="E2941">
        <v>2020</v>
      </c>
      <c r="F2941">
        <v>2</v>
      </c>
    </row>
    <row r="2942" spans="1:6" x14ac:dyDescent="0.55000000000000004">
      <c r="A2942" t="s">
        <v>112</v>
      </c>
      <c r="B2942" t="s">
        <v>6</v>
      </c>
      <c r="C2942">
        <v>2271405.8421999998</v>
      </c>
      <c r="D2942" t="s">
        <v>238</v>
      </c>
      <c r="E2942">
        <v>2020</v>
      </c>
      <c r="F2942">
        <v>2</v>
      </c>
    </row>
    <row r="2943" spans="1:6" x14ac:dyDescent="0.55000000000000004">
      <c r="A2943" t="s">
        <v>112</v>
      </c>
      <c r="B2943" t="s">
        <v>7</v>
      </c>
      <c r="C2943">
        <v>3115254.2648</v>
      </c>
      <c r="D2943" t="s">
        <v>238</v>
      </c>
      <c r="E2943">
        <v>2020</v>
      </c>
      <c r="F2943">
        <v>2</v>
      </c>
    </row>
    <row r="2944" spans="1:6" x14ac:dyDescent="0.55000000000000004">
      <c r="A2944" t="s">
        <v>112</v>
      </c>
      <c r="B2944" t="s">
        <v>8</v>
      </c>
      <c r="C2944">
        <v>4622706.1602999996</v>
      </c>
      <c r="D2944" t="s">
        <v>238</v>
      </c>
      <c r="E2944">
        <v>2020</v>
      </c>
      <c r="F2944">
        <v>2</v>
      </c>
    </row>
    <row r="2945" spans="1:6" x14ac:dyDescent="0.55000000000000004">
      <c r="A2945" t="s">
        <v>112</v>
      </c>
      <c r="B2945" t="s">
        <v>9</v>
      </c>
      <c r="C2945">
        <v>4.4633000000000003</v>
      </c>
      <c r="D2945" t="s">
        <v>238</v>
      </c>
      <c r="E2945">
        <v>2020</v>
      </c>
      <c r="F2945">
        <v>2</v>
      </c>
    </row>
    <row r="2946" spans="1:6" x14ac:dyDescent="0.55000000000000004">
      <c r="A2946" t="s">
        <v>112</v>
      </c>
      <c r="B2946" t="s">
        <v>10</v>
      </c>
      <c r="C2946">
        <v>1668.3</v>
      </c>
      <c r="D2946" t="s">
        <v>238</v>
      </c>
      <c r="E2946">
        <v>2020</v>
      </c>
      <c r="F2946">
        <v>2</v>
      </c>
    </row>
    <row r="2947" spans="1:6" x14ac:dyDescent="0.55000000000000004">
      <c r="A2947" t="s">
        <v>112</v>
      </c>
      <c r="B2947" t="s">
        <v>11</v>
      </c>
      <c r="C2947">
        <v>3007658.7954000002</v>
      </c>
      <c r="D2947" t="s">
        <v>238</v>
      </c>
      <c r="E2947">
        <v>2020</v>
      </c>
      <c r="F2947">
        <v>2</v>
      </c>
    </row>
    <row r="2948" spans="1:6" x14ac:dyDescent="0.55000000000000004">
      <c r="A2948" t="s">
        <v>112</v>
      </c>
      <c r="B2948" t="s">
        <v>12</v>
      </c>
      <c r="C2948">
        <v>8297.9166999999998</v>
      </c>
      <c r="D2948" t="s">
        <v>238</v>
      </c>
      <c r="E2948">
        <v>2020</v>
      </c>
      <c r="F2948">
        <v>2</v>
      </c>
    </row>
    <row r="2949" spans="1:6" x14ac:dyDescent="0.55000000000000004">
      <c r="A2949" t="s">
        <v>112</v>
      </c>
      <c r="B2949" t="s">
        <v>13</v>
      </c>
      <c r="C2949">
        <v>2491</v>
      </c>
      <c r="D2949" t="s">
        <v>238</v>
      </c>
      <c r="E2949">
        <v>2020</v>
      </c>
      <c r="F2949">
        <v>2</v>
      </c>
    </row>
    <row r="2950" spans="1:6" x14ac:dyDescent="0.55000000000000004">
      <c r="A2950" t="s">
        <v>112</v>
      </c>
      <c r="B2950" t="s">
        <v>14</v>
      </c>
      <c r="C2950">
        <v>2000</v>
      </c>
      <c r="D2950" t="s">
        <v>238</v>
      </c>
      <c r="E2950">
        <v>2020</v>
      </c>
      <c r="F2950">
        <v>2</v>
      </c>
    </row>
    <row r="2951" spans="1:6" x14ac:dyDescent="0.55000000000000004">
      <c r="A2951" t="s">
        <v>112</v>
      </c>
      <c r="B2951" t="s">
        <v>15</v>
      </c>
      <c r="C2951">
        <v>1078613.2128999999</v>
      </c>
      <c r="D2951" t="s">
        <v>238</v>
      </c>
      <c r="E2951">
        <v>2020</v>
      </c>
      <c r="F2951">
        <v>2</v>
      </c>
    </row>
    <row r="2952" spans="1:6" x14ac:dyDescent="0.55000000000000004">
      <c r="A2952" t="s">
        <v>112</v>
      </c>
      <c r="B2952" t="s">
        <v>16</v>
      </c>
      <c r="C2952">
        <v>0</v>
      </c>
      <c r="D2952" t="s">
        <v>238</v>
      </c>
      <c r="E2952">
        <v>2020</v>
      </c>
      <c r="F2952">
        <v>2</v>
      </c>
    </row>
    <row r="2953" spans="1:6" x14ac:dyDescent="0.55000000000000004">
      <c r="A2953" t="s">
        <v>112</v>
      </c>
      <c r="B2953" t="s">
        <v>17</v>
      </c>
      <c r="C2953">
        <v>84909.521999999997</v>
      </c>
      <c r="D2953" t="s">
        <v>238</v>
      </c>
      <c r="E2953">
        <v>2020</v>
      </c>
      <c r="F2953">
        <v>2</v>
      </c>
    </row>
    <row r="2954" spans="1:6" x14ac:dyDescent="0.55000000000000004">
      <c r="A2954" t="s">
        <v>112</v>
      </c>
      <c r="B2954" t="s">
        <v>18</v>
      </c>
      <c r="C2954">
        <v>118351.7335</v>
      </c>
      <c r="D2954" t="s">
        <v>238</v>
      </c>
      <c r="E2954">
        <v>2020</v>
      </c>
      <c r="F2954">
        <v>2</v>
      </c>
    </row>
    <row r="2955" spans="1:6" x14ac:dyDescent="0.55000000000000004">
      <c r="A2955" t="s">
        <v>112</v>
      </c>
      <c r="B2955" t="s">
        <v>19</v>
      </c>
      <c r="C2955">
        <v>1927.1832999999999</v>
      </c>
      <c r="D2955" t="s">
        <v>238</v>
      </c>
      <c r="E2955">
        <v>2020</v>
      </c>
      <c r="F2955">
        <v>2</v>
      </c>
    </row>
    <row r="2956" spans="1:6" x14ac:dyDescent="0.55000000000000004">
      <c r="A2956" t="s">
        <v>112</v>
      </c>
      <c r="B2956" t="s">
        <v>20</v>
      </c>
      <c r="C2956">
        <v>15000</v>
      </c>
      <c r="D2956" t="s">
        <v>238</v>
      </c>
      <c r="E2956">
        <v>2020</v>
      </c>
      <c r="F2956">
        <v>2</v>
      </c>
    </row>
    <row r="2957" spans="1:6" x14ac:dyDescent="0.55000000000000004">
      <c r="A2957" t="s">
        <v>112</v>
      </c>
      <c r="B2957" t="s">
        <v>21</v>
      </c>
      <c r="C2957">
        <v>2188.4546999999998</v>
      </c>
      <c r="D2957" t="s">
        <v>238</v>
      </c>
      <c r="E2957">
        <v>2020</v>
      </c>
      <c r="F2957">
        <v>2</v>
      </c>
    </row>
    <row r="2958" spans="1:6" x14ac:dyDescent="0.55000000000000004">
      <c r="A2958" t="s">
        <v>112</v>
      </c>
      <c r="B2958" t="s">
        <v>22</v>
      </c>
      <c r="C2958">
        <v>19037.436600000001</v>
      </c>
      <c r="D2958" t="s">
        <v>238</v>
      </c>
      <c r="E2958">
        <v>2020</v>
      </c>
      <c r="F2958">
        <v>2</v>
      </c>
    </row>
    <row r="2959" spans="1:6" x14ac:dyDescent="0.55000000000000004">
      <c r="A2959" t="s">
        <v>112</v>
      </c>
      <c r="B2959" t="s">
        <v>23</v>
      </c>
      <c r="C2959">
        <v>58412.023699999998</v>
      </c>
      <c r="D2959" t="s">
        <v>238</v>
      </c>
      <c r="E2959">
        <v>2020</v>
      </c>
      <c r="F2959">
        <v>2</v>
      </c>
    </row>
    <row r="2960" spans="1:6" x14ac:dyDescent="0.55000000000000004">
      <c r="A2960" t="s">
        <v>112</v>
      </c>
      <c r="B2960" t="s">
        <v>24</v>
      </c>
      <c r="C2960">
        <v>0</v>
      </c>
      <c r="D2960" t="s">
        <v>238</v>
      </c>
      <c r="E2960">
        <v>2020</v>
      </c>
      <c r="F2960">
        <v>2</v>
      </c>
    </row>
    <row r="2961" spans="1:6" x14ac:dyDescent="0.55000000000000004">
      <c r="A2961" t="s">
        <v>112</v>
      </c>
      <c r="B2961" t="s">
        <v>25</v>
      </c>
      <c r="C2961">
        <v>237994.81770000001</v>
      </c>
      <c r="D2961" t="s">
        <v>238</v>
      </c>
      <c r="E2961">
        <v>2020</v>
      </c>
      <c r="F2961">
        <v>2</v>
      </c>
    </row>
    <row r="2962" spans="1:6" x14ac:dyDescent="0.55000000000000004">
      <c r="A2962" t="s">
        <v>112</v>
      </c>
      <c r="B2962" t="s">
        <v>26</v>
      </c>
      <c r="C2962">
        <v>0</v>
      </c>
      <c r="D2962" t="s">
        <v>238</v>
      </c>
      <c r="E2962">
        <v>2020</v>
      </c>
      <c r="F2962">
        <v>2</v>
      </c>
    </row>
    <row r="2963" spans="1:6" x14ac:dyDescent="0.55000000000000004">
      <c r="A2963" t="s">
        <v>112</v>
      </c>
      <c r="B2963" t="s">
        <v>27</v>
      </c>
      <c r="C2963">
        <v>180.3793</v>
      </c>
      <c r="D2963" t="s">
        <v>238</v>
      </c>
      <c r="E2963">
        <v>2020</v>
      </c>
      <c r="F2963">
        <v>2</v>
      </c>
    </row>
    <row r="2964" spans="1:6" x14ac:dyDescent="0.55000000000000004">
      <c r="A2964" t="s">
        <v>112</v>
      </c>
      <c r="B2964" t="s">
        <v>28</v>
      </c>
      <c r="C2964">
        <v>342466.11229999998</v>
      </c>
      <c r="D2964" t="s">
        <v>238</v>
      </c>
      <c r="E2964">
        <v>2020</v>
      </c>
      <c r="F2964">
        <v>2</v>
      </c>
    </row>
    <row r="2965" spans="1:6" x14ac:dyDescent="0.55000000000000004">
      <c r="A2965" t="s">
        <v>112</v>
      </c>
      <c r="B2965" t="s">
        <v>29</v>
      </c>
      <c r="C2965">
        <v>15811.0075</v>
      </c>
      <c r="D2965" t="s">
        <v>238</v>
      </c>
      <c r="E2965">
        <v>2020</v>
      </c>
      <c r="F2965">
        <v>2</v>
      </c>
    </row>
    <row r="2966" spans="1:6" x14ac:dyDescent="0.55000000000000004">
      <c r="A2966" t="s">
        <v>112</v>
      </c>
      <c r="B2966" t="s">
        <v>30</v>
      </c>
      <c r="C2966">
        <v>19.5</v>
      </c>
      <c r="D2966" t="s">
        <v>238</v>
      </c>
      <c r="E2966">
        <v>2020</v>
      </c>
      <c r="F2966">
        <v>2</v>
      </c>
    </row>
    <row r="2967" spans="1:6" x14ac:dyDescent="0.55000000000000004">
      <c r="A2967" t="s">
        <v>112</v>
      </c>
      <c r="B2967" t="s">
        <v>31</v>
      </c>
      <c r="C2967">
        <v>50</v>
      </c>
      <c r="D2967" t="s">
        <v>238</v>
      </c>
      <c r="E2967">
        <v>2020</v>
      </c>
      <c r="F2967">
        <v>2</v>
      </c>
    </row>
    <row r="2968" spans="1:6" x14ac:dyDescent="0.55000000000000004">
      <c r="A2968" t="s">
        <v>112</v>
      </c>
      <c r="B2968" t="s">
        <v>32</v>
      </c>
      <c r="C2968">
        <v>759009.29</v>
      </c>
      <c r="D2968" t="s">
        <v>238</v>
      </c>
      <c r="E2968">
        <v>2020</v>
      </c>
      <c r="F2968">
        <v>2</v>
      </c>
    </row>
    <row r="2969" spans="1:6" x14ac:dyDescent="0.55000000000000004">
      <c r="A2969" t="s">
        <v>112</v>
      </c>
      <c r="B2969" t="s">
        <v>33</v>
      </c>
      <c r="C2969">
        <v>545194.41749999998</v>
      </c>
      <c r="D2969" t="s">
        <v>238</v>
      </c>
      <c r="E2969">
        <v>2020</v>
      </c>
      <c r="F2969">
        <v>2</v>
      </c>
    </row>
    <row r="2970" spans="1:6" x14ac:dyDescent="0.55000000000000004">
      <c r="A2970" t="s">
        <v>112</v>
      </c>
      <c r="B2970" t="s">
        <v>34</v>
      </c>
      <c r="C2970">
        <v>601967.50439999998</v>
      </c>
      <c r="D2970" t="s">
        <v>238</v>
      </c>
      <c r="E2970">
        <v>2020</v>
      </c>
      <c r="F2970">
        <v>2</v>
      </c>
    </row>
    <row r="2971" spans="1:6" x14ac:dyDescent="0.55000000000000004">
      <c r="A2971" t="s">
        <v>112</v>
      </c>
      <c r="B2971" t="s">
        <v>35</v>
      </c>
      <c r="C2971">
        <v>1640.4123</v>
      </c>
      <c r="D2971" t="s">
        <v>238</v>
      </c>
      <c r="E2971">
        <v>2020</v>
      </c>
      <c r="F2971">
        <v>2</v>
      </c>
    </row>
    <row r="2972" spans="1:6" x14ac:dyDescent="0.55000000000000004">
      <c r="A2972" t="s">
        <v>112</v>
      </c>
      <c r="B2972" t="s">
        <v>36</v>
      </c>
      <c r="C2972">
        <v>61667.297200000001</v>
      </c>
      <c r="D2972" t="s">
        <v>238</v>
      </c>
      <c r="E2972">
        <v>2020</v>
      </c>
      <c r="F2972">
        <v>2</v>
      </c>
    </row>
    <row r="2973" spans="1:6" x14ac:dyDescent="0.55000000000000004">
      <c r="A2973" t="s">
        <v>112</v>
      </c>
      <c r="B2973" t="s">
        <v>37</v>
      </c>
      <c r="C2973">
        <v>102600.001</v>
      </c>
      <c r="D2973" t="s">
        <v>238</v>
      </c>
      <c r="E2973">
        <v>2020</v>
      </c>
      <c r="F2973">
        <v>2</v>
      </c>
    </row>
    <row r="2974" spans="1:6" x14ac:dyDescent="0.55000000000000004">
      <c r="A2974" t="s">
        <v>112</v>
      </c>
      <c r="B2974" t="s">
        <v>38</v>
      </c>
      <c r="C2974">
        <v>150</v>
      </c>
      <c r="D2974" t="s">
        <v>238</v>
      </c>
      <c r="E2974">
        <v>2020</v>
      </c>
      <c r="F2974">
        <v>2</v>
      </c>
    </row>
    <row r="2975" spans="1:6" x14ac:dyDescent="0.55000000000000004">
      <c r="A2975" t="s">
        <v>112</v>
      </c>
      <c r="B2975" t="s">
        <v>39</v>
      </c>
      <c r="C2975">
        <v>1920.0397</v>
      </c>
      <c r="D2975" t="s">
        <v>238</v>
      </c>
      <c r="E2975">
        <v>2020</v>
      </c>
      <c r="F2975">
        <v>2</v>
      </c>
    </row>
    <row r="2976" spans="1:6" x14ac:dyDescent="0.55000000000000004">
      <c r="A2976" t="s">
        <v>112</v>
      </c>
      <c r="B2976" t="s">
        <v>40</v>
      </c>
      <c r="C2976">
        <v>1054.7783999999999</v>
      </c>
      <c r="D2976" t="s">
        <v>238</v>
      </c>
      <c r="E2976">
        <v>2020</v>
      </c>
      <c r="F2976">
        <v>2</v>
      </c>
    </row>
    <row r="2977" spans="1:6" x14ac:dyDescent="0.55000000000000004">
      <c r="A2977" t="s">
        <v>112</v>
      </c>
      <c r="B2977" t="s">
        <v>41</v>
      </c>
      <c r="C2977">
        <v>185541.15100000001</v>
      </c>
      <c r="D2977" t="s">
        <v>238</v>
      </c>
      <c r="E2977">
        <v>2020</v>
      </c>
      <c r="F2977">
        <v>2</v>
      </c>
    </row>
    <row r="2978" spans="1:6" x14ac:dyDescent="0.55000000000000004">
      <c r="A2978" t="s">
        <v>112</v>
      </c>
      <c r="B2978" t="s">
        <v>42</v>
      </c>
      <c r="C2978">
        <v>3.6833</v>
      </c>
      <c r="D2978" t="s">
        <v>238</v>
      </c>
      <c r="E2978">
        <v>2020</v>
      </c>
      <c r="F2978">
        <v>2</v>
      </c>
    </row>
    <row r="2979" spans="1:6" x14ac:dyDescent="0.55000000000000004">
      <c r="A2979" t="s">
        <v>112</v>
      </c>
      <c r="B2979" t="s">
        <v>43</v>
      </c>
      <c r="C2979">
        <v>313603.13179999997</v>
      </c>
      <c r="D2979" t="s">
        <v>238</v>
      </c>
      <c r="E2979">
        <v>2020</v>
      </c>
      <c r="F2979">
        <v>2</v>
      </c>
    </row>
    <row r="2980" spans="1:6" x14ac:dyDescent="0.55000000000000004">
      <c r="A2980" t="s">
        <v>112</v>
      </c>
      <c r="B2980" t="s">
        <v>44</v>
      </c>
      <c r="C2980">
        <v>396.9</v>
      </c>
      <c r="D2980" t="s">
        <v>238</v>
      </c>
      <c r="E2980">
        <v>2020</v>
      </c>
      <c r="F2980">
        <v>2</v>
      </c>
    </row>
    <row r="2981" spans="1:6" x14ac:dyDescent="0.55000000000000004">
      <c r="A2981" t="s">
        <v>112</v>
      </c>
      <c r="B2981" t="s">
        <v>45</v>
      </c>
      <c r="C2981">
        <v>1791.9616000000001</v>
      </c>
      <c r="D2981" t="s">
        <v>238</v>
      </c>
      <c r="E2981">
        <v>2020</v>
      </c>
      <c r="F2981">
        <v>2</v>
      </c>
    </row>
    <row r="2982" spans="1:6" x14ac:dyDescent="0.55000000000000004">
      <c r="A2982" t="s">
        <v>112</v>
      </c>
      <c r="B2982" t="s">
        <v>46</v>
      </c>
      <c r="C2982">
        <v>39314.67</v>
      </c>
      <c r="D2982" t="s">
        <v>238</v>
      </c>
      <c r="E2982">
        <v>2020</v>
      </c>
      <c r="F2982">
        <v>2</v>
      </c>
    </row>
    <row r="2983" spans="1:6" x14ac:dyDescent="0.55000000000000004">
      <c r="A2983" t="s">
        <v>112</v>
      </c>
      <c r="B2983" t="s">
        <v>47</v>
      </c>
      <c r="C2983">
        <v>0</v>
      </c>
      <c r="D2983" t="s">
        <v>238</v>
      </c>
      <c r="E2983">
        <v>2020</v>
      </c>
      <c r="F2983">
        <v>2</v>
      </c>
    </row>
    <row r="2984" spans="1:6" x14ac:dyDescent="0.55000000000000004">
      <c r="A2984" t="s">
        <v>112</v>
      </c>
      <c r="B2984" t="s">
        <v>48</v>
      </c>
      <c r="C2984">
        <v>87718.695999999996</v>
      </c>
      <c r="D2984" t="s">
        <v>238</v>
      </c>
      <c r="E2984">
        <v>2020</v>
      </c>
      <c r="F2984">
        <v>2</v>
      </c>
    </row>
    <row r="2985" spans="1:6" x14ac:dyDescent="0.55000000000000004">
      <c r="A2985" t="s">
        <v>112</v>
      </c>
      <c r="B2985" t="s">
        <v>49</v>
      </c>
      <c r="C2985">
        <v>1115.53</v>
      </c>
      <c r="D2985" t="s">
        <v>238</v>
      </c>
      <c r="E2985">
        <v>2020</v>
      </c>
      <c r="F2985">
        <v>2</v>
      </c>
    </row>
    <row r="2986" spans="1:6" x14ac:dyDescent="0.55000000000000004">
      <c r="A2986" t="s">
        <v>112</v>
      </c>
      <c r="B2986" t="s">
        <v>50</v>
      </c>
      <c r="C2986">
        <v>17476.013999999999</v>
      </c>
      <c r="D2986" t="s">
        <v>238</v>
      </c>
      <c r="E2986">
        <v>2020</v>
      </c>
      <c r="F2986">
        <v>2</v>
      </c>
    </row>
    <row r="2987" spans="1:6" x14ac:dyDescent="0.55000000000000004">
      <c r="A2987" t="s">
        <v>112</v>
      </c>
      <c r="B2987" t="s">
        <v>51</v>
      </c>
      <c r="C2987">
        <v>1500</v>
      </c>
      <c r="D2987" t="s">
        <v>238</v>
      </c>
      <c r="E2987">
        <v>2020</v>
      </c>
      <c r="F2987">
        <v>2</v>
      </c>
    </row>
    <row r="2988" spans="1:6" x14ac:dyDescent="0.55000000000000004">
      <c r="A2988" t="s">
        <v>112</v>
      </c>
      <c r="B2988" t="s">
        <v>52</v>
      </c>
      <c r="C2988">
        <v>130.8083</v>
      </c>
      <c r="D2988" t="s">
        <v>238</v>
      </c>
      <c r="E2988">
        <v>2020</v>
      </c>
      <c r="F2988">
        <v>2</v>
      </c>
    </row>
    <row r="2989" spans="1:6" x14ac:dyDescent="0.55000000000000004">
      <c r="A2989" t="s">
        <v>112</v>
      </c>
      <c r="B2989" t="s">
        <v>53</v>
      </c>
      <c r="C2989">
        <v>90245.21</v>
      </c>
      <c r="D2989" t="s">
        <v>238</v>
      </c>
      <c r="E2989">
        <v>2020</v>
      </c>
      <c r="F2989">
        <v>2</v>
      </c>
    </row>
    <row r="2990" spans="1:6" x14ac:dyDescent="0.55000000000000004">
      <c r="A2990" t="s">
        <v>112</v>
      </c>
      <c r="B2990" t="s">
        <v>54</v>
      </c>
      <c r="C2990">
        <v>25080.6819</v>
      </c>
      <c r="D2990" t="s">
        <v>238</v>
      </c>
      <c r="E2990">
        <v>2020</v>
      </c>
      <c r="F2990">
        <v>2</v>
      </c>
    </row>
    <row r="2991" spans="1:6" x14ac:dyDescent="0.55000000000000004">
      <c r="A2991" t="s">
        <v>112</v>
      </c>
      <c r="B2991" t="s">
        <v>55</v>
      </c>
      <c r="C2991">
        <v>1143</v>
      </c>
      <c r="D2991" t="s">
        <v>238</v>
      </c>
      <c r="E2991">
        <v>2020</v>
      </c>
      <c r="F2991">
        <v>2</v>
      </c>
    </row>
    <row r="2992" spans="1:6" x14ac:dyDescent="0.55000000000000004">
      <c r="A2992" t="s">
        <v>112</v>
      </c>
      <c r="B2992" t="s">
        <v>56</v>
      </c>
      <c r="C2992">
        <v>4587</v>
      </c>
      <c r="D2992" t="s">
        <v>238</v>
      </c>
      <c r="E2992">
        <v>2020</v>
      </c>
      <c r="F2992">
        <v>2</v>
      </c>
    </row>
    <row r="2993" spans="1:6" x14ac:dyDescent="0.55000000000000004">
      <c r="A2993" t="s">
        <v>112</v>
      </c>
      <c r="B2993" t="s">
        <v>57</v>
      </c>
      <c r="C2993">
        <v>212.99760000000001</v>
      </c>
      <c r="D2993" t="s">
        <v>238</v>
      </c>
      <c r="E2993">
        <v>2020</v>
      </c>
      <c r="F2993">
        <v>2</v>
      </c>
    </row>
    <row r="2994" spans="1:6" x14ac:dyDescent="0.55000000000000004">
      <c r="A2994" t="s">
        <v>112</v>
      </c>
      <c r="B2994" t="s">
        <v>58</v>
      </c>
      <c r="C2994">
        <v>472994</v>
      </c>
      <c r="D2994" t="s">
        <v>238</v>
      </c>
      <c r="E2994">
        <v>2020</v>
      </c>
      <c r="F2994">
        <v>2</v>
      </c>
    </row>
    <row r="2995" spans="1:6" x14ac:dyDescent="0.55000000000000004">
      <c r="A2995" t="s">
        <v>112</v>
      </c>
      <c r="B2995" t="s">
        <v>59</v>
      </c>
      <c r="C2995">
        <v>4000</v>
      </c>
      <c r="D2995" t="s">
        <v>238</v>
      </c>
      <c r="E2995">
        <v>2020</v>
      </c>
      <c r="F2995">
        <v>2</v>
      </c>
    </row>
    <row r="2996" spans="1:6" x14ac:dyDescent="0.55000000000000004">
      <c r="A2996" t="s">
        <v>112</v>
      </c>
      <c r="B2996" t="s">
        <v>60</v>
      </c>
      <c r="C2996">
        <v>2900000.0156999999</v>
      </c>
      <c r="D2996" t="s">
        <v>238</v>
      </c>
      <c r="E2996">
        <v>2020</v>
      </c>
      <c r="F2996">
        <v>2</v>
      </c>
    </row>
    <row r="2997" spans="1:6" x14ac:dyDescent="0.55000000000000004">
      <c r="A2997" t="s">
        <v>112</v>
      </c>
      <c r="B2997" t="s">
        <v>61</v>
      </c>
      <c r="C2997">
        <v>3840.0034999999998</v>
      </c>
      <c r="D2997" t="s">
        <v>238</v>
      </c>
      <c r="E2997">
        <v>2020</v>
      </c>
      <c r="F2997">
        <v>2</v>
      </c>
    </row>
    <row r="2998" spans="1:6" x14ac:dyDescent="0.55000000000000004">
      <c r="A2998" t="s">
        <v>112</v>
      </c>
      <c r="B2998" t="s">
        <v>62</v>
      </c>
      <c r="C2998">
        <v>1745.6333</v>
      </c>
      <c r="D2998" t="s">
        <v>238</v>
      </c>
      <c r="E2998">
        <v>2020</v>
      </c>
      <c r="F2998">
        <v>2</v>
      </c>
    </row>
    <row r="2999" spans="1:6" x14ac:dyDescent="0.55000000000000004">
      <c r="A2999" t="s">
        <v>112</v>
      </c>
      <c r="B2999" t="s">
        <v>63</v>
      </c>
      <c r="C2999">
        <v>380.8</v>
      </c>
      <c r="D2999" t="s">
        <v>238</v>
      </c>
      <c r="E2999">
        <v>2020</v>
      </c>
      <c r="F2999">
        <v>2</v>
      </c>
    </row>
    <row r="3000" spans="1:6" x14ac:dyDescent="0.55000000000000004">
      <c r="A3000" t="s">
        <v>113</v>
      </c>
      <c r="B3000" t="s">
        <v>4</v>
      </c>
      <c r="C3000">
        <v>11740202.4191</v>
      </c>
      <c r="D3000" t="s">
        <v>239</v>
      </c>
      <c r="E3000">
        <v>2020</v>
      </c>
      <c r="F3000">
        <v>3</v>
      </c>
    </row>
    <row r="3001" spans="1:6" x14ac:dyDescent="0.55000000000000004">
      <c r="A3001" t="s">
        <v>113</v>
      </c>
      <c r="B3001" t="s">
        <v>5</v>
      </c>
      <c r="C3001">
        <v>1066305.4992</v>
      </c>
      <c r="D3001" t="s">
        <v>239</v>
      </c>
      <c r="E3001">
        <v>2020</v>
      </c>
      <c r="F3001">
        <v>3</v>
      </c>
    </row>
    <row r="3002" spans="1:6" x14ac:dyDescent="0.55000000000000004">
      <c r="A3002" t="s">
        <v>113</v>
      </c>
      <c r="B3002" t="s">
        <v>6</v>
      </c>
      <c r="C3002">
        <v>2476998.6797000002</v>
      </c>
      <c r="D3002" t="s">
        <v>239</v>
      </c>
      <c r="E3002">
        <v>2020</v>
      </c>
      <c r="F3002">
        <v>3</v>
      </c>
    </row>
    <row r="3003" spans="1:6" x14ac:dyDescent="0.55000000000000004">
      <c r="A3003" t="s">
        <v>113</v>
      </c>
      <c r="B3003" t="s">
        <v>7</v>
      </c>
      <c r="C3003">
        <v>3542537.8602999998</v>
      </c>
      <c r="D3003" t="s">
        <v>239</v>
      </c>
      <c r="E3003">
        <v>2020</v>
      </c>
      <c r="F3003">
        <v>3</v>
      </c>
    </row>
    <row r="3004" spans="1:6" x14ac:dyDescent="0.55000000000000004">
      <c r="A3004" t="s">
        <v>113</v>
      </c>
      <c r="B3004" t="s">
        <v>8</v>
      </c>
      <c r="C3004">
        <v>4654360.3799000001</v>
      </c>
      <c r="D3004" t="s">
        <v>239</v>
      </c>
      <c r="E3004">
        <v>2020</v>
      </c>
      <c r="F3004">
        <v>3</v>
      </c>
    </row>
    <row r="3005" spans="1:6" x14ac:dyDescent="0.55000000000000004">
      <c r="A3005" t="s">
        <v>113</v>
      </c>
      <c r="B3005" t="s">
        <v>9</v>
      </c>
      <c r="C3005">
        <v>3146.6667000000002</v>
      </c>
      <c r="D3005" t="s">
        <v>239</v>
      </c>
      <c r="E3005">
        <v>2020</v>
      </c>
      <c r="F3005">
        <v>3</v>
      </c>
    </row>
    <row r="3006" spans="1:6" x14ac:dyDescent="0.55000000000000004">
      <c r="A3006" t="s">
        <v>113</v>
      </c>
      <c r="B3006" t="s">
        <v>10</v>
      </c>
      <c r="C3006">
        <v>1673.8167000000001</v>
      </c>
      <c r="D3006" t="s">
        <v>239</v>
      </c>
      <c r="E3006">
        <v>2020</v>
      </c>
      <c r="F3006">
        <v>3</v>
      </c>
    </row>
    <row r="3007" spans="1:6" x14ac:dyDescent="0.55000000000000004">
      <c r="A3007" t="s">
        <v>113</v>
      </c>
      <c r="B3007" t="s">
        <v>11</v>
      </c>
      <c r="C3007">
        <v>3493433.0885999999</v>
      </c>
      <c r="D3007" t="s">
        <v>239</v>
      </c>
      <c r="E3007">
        <v>2020</v>
      </c>
      <c r="F3007">
        <v>3</v>
      </c>
    </row>
    <row r="3008" spans="1:6" x14ac:dyDescent="0.55000000000000004">
      <c r="A3008" t="s">
        <v>113</v>
      </c>
      <c r="B3008" t="s">
        <v>12</v>
      </c>
      <c r="C3008">
        <v>6945.2166999999999</v>
      </c>
      <c r="D3008" t="s">
        <v>239</v>
      </c>
      <c r="E3008">
        <v>2020</v>
      </c>
      <c r="F3008">
        <v>3</v>
      </c>
    </row>
    <row r="3009" spans="1:6" x14ac:dyDescent="0.55000000000000004">
      <c r="A3009" t="s">
        <v>113</v>
      </c>
      <c r="B3009" t="s">
        <v>13</v>
      </c>
      <c r="C3009">
        <v>7168.3333000000002</v>
      </c>
      <c r="D3009" t="s">
        <v>239</v>
      </c>
      <c r="E3009">
        <v>2020</v>
      </c>
      <c r="F3009">
        <v>3</v>
      </c>
    </row>
    <row r="3010" spans="1:6" x14ac:dyDescent="0.55000000000000004">
      <c r="A3010" t="s">
        <v>113</v>
      </c>
      <c r="B3010" t="s">
        <v>14</v>
      </c>
      <c r="C3010">
        <v>8000</v>
      </c>
      <c r="D3010" t="s">
        <v>239</v>
      </c>
      <c r="E3010">
        <v>2020</v>
      </c>
      <c r="F3010">
        <v>3</v>
      </c>
    </row>
    <row r="3011" spans="1:6" x14ac:dyDescent="0.55000000000000004">
      <c r="A3011" t="s">
        <v>113</v>
      </c>
      <c r="B3011" t="s">
        <v>15</v>
      </c>
      <c r="C3011">
        <v>948208.82440000004</v>
      </c>
      <c r="D3011" t="s">
        <v>239</v>
      </c>
      <c r="E3011">
        <v>2020</v>
      </c>
      <c r="F3011">
        <v>3</v>
      </c>
    </row>
    <row r="3012" spans="1:6" x14ac:dyDescent="0.55000000000000004">
      <c r="A3012" t="s">
        <v>113</v>
      </c>
      <c r="B3012" t="s">
        <v>16</v>
      </c>
      <c r="C3012">
        <v>0</v>
      </c>
      <c r="D3012" t="s">
        <v>239</v>
      </c>
      <c r="E3012">
        <v>2020</v>
      </c>
      <c r="F3012">
        <v>3</v>
      </c>
    </row>
    <row r="3013" spans="1:6" x14ac:dyDescent="0.55000000000000004">
      <c r="A3013" t="s">
        <v>113</v>
      </c>
      <c r="B3013" t="s">
        <v>17</v>
      </c>
      <c r="C3013">
        <v>138070.82999999999</v>
      </c>
      <c r="D3013" t="s">
        <v>239</v>
      </c>
      <c r="E3013">
        <v>2020</v>
      </c>
      <c r="F3013">
        <v>3</v>
      </c>
    </row>
    <row r="3014" spans="1:6" x14ac:dyDescent="0.55000000000000004">
      <c r="A3014" t="s">
        <v>113</v>
      </c>
      <c r="B3014" t="s">
        <v>18</v>
      </c>
      <c r="C3014">
        <v>216334.6838</v>
      </c>
      <c r="D3014" t="s">
        <v>239</v>
      </c>
      <c r="E3014">
        <v>2020</v>
      </c>
      <c r="F3014">
        <v>3</v>
      </c>
    </row>
    <row r="3015" spans="1:6" x14ac:dyDescent="0.55000000000000004">
      <c r="A3015" t="s">
        <v>113</v>
      </c>
      <c r="B3015" t="s">
        <v>19</v>
      </c>
      <c r="C3015">
        <v>1927.1832999999999</v>
      </c>
      <c r="D3015" t="s">
        <v>239</v>
      </c>
      <c r="E3015">
        <v>2020</v>
      </c>
      <c r="F3015">
        <v>3</v>
      </c>
    </row>
    <row r="3016" spans="1:6" x14ac:dyDescent="0.55000000000000004">
      <c r="A3016" t="s">
        <v>113</v>
      </c>
      <c r="B3016" t="s">
        <v>20</v>
      </c>
      <c r="C3016">
        <v>10000</v>
      </c>
      <c r="D3016" t="s">
        <v>239</v>
      </c>
      <c r="E3016">
        <v>2020</v>
      </c>
      <c r="F3016">
        <v>3</v>
      </c>
    </row>
    <row r="3017" spans="1:6" x14ac:dyDescent="0.55000000000000004">
      <c r="A3017" t="s">
        <v>113</v>
      </c>
      <c r="B3017" t="s">
        <v>21</v>
      </c>
      <c r="C3017">
        <v>782.07150000000001</v>
      </c>
      <c r="D3017" t="s">
        <v>239</v>
      </c>
      <c r="E3017">
        <v>2020</v>
      </c>
      <c r="F3017">
        <v>3</v>
      </c>
    </row>
    <row r="3018" spans="1:6" x14ac:dyDescent="0.55000000000000004">
      <c r="A3018" t="s">
        <v>113</v>
      </c>
      <c r="B3018" t="s">
        <v>22</v>
      </c>
      <c r="C3018">
        <v>23330.23</v>
      </c>
      <c r="D3018" t="s">
        <v>239</v>
      </c>
      <c r="E3018">
        <v>2020</v>
      </c>
      <c r="F3018">
        <v>3</v>
      </c>
    </row>
    <row r="3019" spans="1:6" x14ac:dyDescent="0.55000000000000004">
      <c r="A3019" t="s">
        <v>113</v>
      </c>
      <c r="B3019" t="s">
        <v>23</v>
      </c>
      <c r="C3019">
        <v>79038.157500000001</v>
      </c>
      <c r="D3019" t="s">
        <v>239</v>
      </c>
      <c r="E3019">
        <v>2020</v>
      </c>
      <c r="F3019">
        <v>3</v>
      </c>
    </row>
    <row r="3020" spans="1:6" x14ac:dyDescent="0.55000000000000004">
      <c r="A3020" t="s">
        <v>113</v>
      </c>
      <c r="B3020" t="s">
        <v>24</v>
      </c>
      <c r="C3020">
        <v>0</v>
      </c>
      <c r="D3020" t="s">
        <v>239</v>
      </c>
      <c r="E3020">
        <v>2020</v>
      </c>
      <c r="F3020">
        <v>3</v>
      </c>
    </row>
    <row r="3021" spans="1:6" x14ac:dyDescent="0.55000000000000004">
      <c r="A3021" t="s">
        <v>113</v>
      </c>
      <c r="B3021" t="s">
        <v>25</v>
      </c>
      <c r="C3021">
        <v>256428.7</v>
      </c>
      <c r="D3021" t="s">
        <v>239</v>
      </c>
      <c r="E3021">
        <v>2020</v>
      </c>
      <c r="F3021">
        <v>3</v>
      </c>
    </row>
    <row r="3022" spans="1:6" x14ac:dyDescent="0.55000000000000004">
      <c r="A3022" t="s">
        <v>113</v>
      </c>
      <c r="B3022" t="s">
        <v>26</v>
      </c>
      <c r="C3022">
        <v>0</v>
      </c>
      <c r="D3022" t="s">
        <v>239</v>
      </c>
      <c r="E3022">
        <v>2020</v>
      </c>
      <c r="F3022">
        <v>3</v>
      </c>
    </row>
    <row r="3023" spans="1:6" x14ac:dyDescent="0.55000000000000004">
      <c r="A3023" t="s">
        <v>113</v>
      </c>
      <c r="B3023" t="s">
        <v>27</v>
      </c>
      <c r="C3023">
        <v>225.16</v>
      </c>
      <c r="D3023" t="s">
        <v>239</v>
      </c>
      <c r="E3023">
        <v>2020</v>
      </c>
      <c r="F3023">
        <v>3</v>
      </c>
    </row>
    <row r="3024" spans="1:6" x14ac:dyDescent="0.55000000000000004">
      <c r="A3024" t="s">
        <v>113</v>
      </c>
      <c r="B3024" t="s">
        <v>28</v>
      </c>
      <c r="C3024">
        <v>364238.47989999998</v>
      </c>
      <c r="D3024" t="s">
        <v>239</v>
      </c>
      <c r="E3024">
        <v>2020</v>
      </c>
      <c r="F3024">
        <v>3</v>
      </c>
    </row>
    <row r="3025" spans="1:6" x14ac:dyDescent="0.55000000000000004">
      <c r="A3025" t="s">
        <v>113</v>
      </c>
      <c r="B3025" t="s">
        <v>29</v>
      </c>
      <c r="C3025">
        <v>8589.2212</v>
      </c>
      <c r="D3025" t="s">
        <v>239</v>
      </c>
      <c r="E3025">
        <v>2020</v>
      </c>
      <c r="F3025">
        <v>3</v>
      </c>
    </row>
    <row r="3026" spans="1:6" x14ac:dyDescent="0.55000000000000004">
      <c r="A3026" t="s">
        <v>113</v>
      </c>
      <c r="B3026" t="s">
        <v>30</v>
      </c>
      <c r="C3026">
        <v>13.65</v>
      </c>
      <c r="D3026" t="s">
        <v>239</v>
      </c>
      <c r="E3026">
        <v>2020</v>
      </c>
      <c r="F3026">
        <v>3</v>
      </c>
    </row>
    <row r="3027" spans="1:6" x14ac:dyDescent="0.55000000000000004">
      <c r="A3027" t="s">
        <v>113</v>
      </c>
      <c r="B3027" t="s">
        <v>31</v>
      </c>
      <c r="C3027">
        <v>15</v>
      </c>
      <c r="D3027" t="s">
        <v>239</v>
      </c>
      <c r="E3027">
        <v>2020</v>
      </c>
      <c r="F3027">
        <v>3</v>
      </c>
    </row>
    <row r="3028" spans="1:6" x14ac:dyDescent="0.55000000000000004">
      <c r="A3028" t="s">
        <v>113</v>
      </c>
      <c r="B3028" t="s">
        <v>32</v>
      </c>
      <c r="C3028">
        <v>772376.97</v>
      </c>
      <c r="D3028" t="s">
        <v>239</v>
      </c>
      <c r="E3028">
        <v>2020</v>
      </c>
      <c r="F3028">
        <v>3</v>
      </c>
    </row>
    <row r="3029" spans="1:6" x14ac:dyDescent="0.55000000000000004">
      <c r="A3029" t="s">
        <v>113</v>
      </c>
      <c r="B3029" t="s">
        <v>33</v>
      </c>
      <c r="C3029">
        <v>600514.15350000001</v>
      </c>
      <c r="D3029" t="s">
        <v>239</v>
      </c>
      <c r="E3029">
        <v>2020</v>
      </c>
      <c r="F3029">
        <v>3</v>
      </c>
    </row>
    <row r="3030" spans="1:6" x14ac:dyDescent="0.55000000000000004">
      <c r="A3030" t="s">
        <v>113</v>
      </c>
      <c r="B3030" t="s">
        <v>34</v>
      </c>
      <c r="C3030">
        <v>531841.63139999995</v>
      </c>
      <c r="D3030" t="s">
        <v>239</v>
      </c>
      <c r="E3030">
        <v>2020</v>
      </c>
      <c r="F3030">
        <v>3</v>
      </c>
    </row>
    <row r="3031" spans="1:6" x14ac:dyDescent="0.55000000000000004">
      <c r="A3031" t="s">
        <v>113</v>
      </c>
      <c r="B3031" t="s">
        <v>35</v>
      </c>
      <c r="C3031">
        <v>695.2627</v>
      </c>
      <c r="D3031" t="s">
        <v>239</v>
      </c>
      <c r="E3031">
        <v>2020</v>
      </c>
      <c r="F3031">
        <v>3</v>
      </c>
    </row>
    <row r="3032" spans="1:6" x14ac:dyDescent="0.55000000000000004">
      <c r="A3032" t="s">
        <v>113</v>
      </c>
      <c r="B3032" t="s">
        <v>36</v>
      </c>
      <c r="C3032">
        <v>68002.414799999999</v>
      </c>
      <c r="D3032" t="s">
        <v>239</v>
      </c>
      <c r="E3032">
        <v>2020</v>
      </c>
      <c r="F3032">
        <v>3</v>
      </c>
    </row>
    <row r="3033" spans="1:6" x14ac:dyDescent="0.55000000000000004">
      <c r="A3033" t="s">
        <v>113</v>
      </c>
      <c r="B3033" t="s">
        <v>37</v>
      </c>
      <c r="C3033">
        <v>90599.989300000001</v>
      </c>
      <c r="D3033" t="s">
        <v>239</v>
      </c>
      <c r="E3033">
        <v>2020</v>
      </c>
      <c r="F3033">
        <v>3</v>
      </c>
    </row>
    <row r="3034" spans="1:6" x14ac:dyDescent="0.55000000000000004">
      <c r="A3034" t="s">
        <v>113</v>
      </c>
      <c r="B3034" t="s">
        <v>38</v>
      </c>
      <c r="C3034">
        <v>0</v>
      </c>
      <c r="D3034" t="s">
        <v>239</v>
      </c>
      <c r="E3034">
        <v>2020</v>
      </c>
      <c r="F3034">
        <v>3</v>
      </c>
    </row>
    <row r="3035" spans="1:6" x14ac:dyDescent="0.55000000000000004">
      <c r="A3035" t="s">
        <v>113</v>
      </c>
      <c r="B3035" t="s">
        <v>39</v>
      </c>
      <c r="C3035">
        <v>1163.3333</v>
      </c>
      <c r="D3035" t="s">
        <v>239</v>
      </c>
      <c r="E3035">
        <v>2020</v>
      </c>
      <c r="F3035">
        <v>3</v>
      </c>
    </row>
    <row r="3036" spans="1:6" x14ac:dyDescent="0.55000000000000004">
      <c r="A3036" t="s">
        <v>113</v>
      </c>
      <c r="B3036" t="s">
        <v>40</v>
      </c>
      <c r="C3036">
        <v>1015.3667</v>
      </c>
      <c r="D3036" t="s">
        <v>239</v>
      </c>
      <c r="E3036">
        <v>2020</v>
      </c>
      <c r="F3036">
        <v>3</v>
      </c>
    </row>
    <row r="3037" spans="1:6" x14ac:dyDescent="0.55000000000000004">
      <c r="A3037" t="s">
        <v>113</v>
      </c>
      <c r="B3037" t="s">
        <v>41</v>
      </c>
      <c r="C3037">
        <v>315048.1054</v>
      </c>
      <c r="D3037" t="s">
        <v>239</v>
      </c>
      <c r="E3037">
        <v>2020</v>
      </c>
      <c r="F3037">
        <v>3</v>
      </c>
    </row>
    <row r="3038" spans="1:6" x14ac:dyDescent="0.55000000000000004">
      <c r="A3038" t="s">
        <v>113</v>
      </c>
      <c r="B3038" t="s">
        <v>42</v>
      </c>
      <c r="C3038">
        <v>75.166700000000006</v>
      </c>
      <c r="D3038" t="s">
        <v>239</v>
      </c>
      <c r="E3038">
        <v>2020</v>
      </c>
      <c r="F3038">
        <v>3</v>
      </c>
    </row>
    <row r="3039" spans="1:6" x14ac:dyDescent="0.55000000000000004">
      <c r="A3039" t="s">
        <v>113</v>
      </c>
      <c r="B3039" t="s">
        <v>43</v>
      </c>
      <c r="C3039">
        <v>325138.83189999999</v>
      </c>
      <c r="D3039" t="s">
        <v>239</v>
      </c>
      <c r="E3039">
        <v>2020</v>
      </c>
      <c r="F3039">
        <v>3</v>
      </c>
    </row>
    <row r="3040" spans="1:6" x14ac:dyDescent="0.55000000000000004">
      <c r="A3040" t="s">
        <v>113</v>
      </c>
      <c r="B3040" t="s">
        <v>44</v>
      </c>
      <c r="C3040">
        <v>9117.0666999999994</v>
      </c>
      <c r="D3040" t="s">
        <v>239</v>
      </c>
      <c r="E3040">
        <v>2020</v>
      </c>
      <c r="F3040">
        <v>3</v>
      </c>
    </row>
    <row r="3041" spans="1:6" x14ac:dyDescent="0.55000000000000004">
      <c r="A3041" t="s">
        <v>113</v>
      </c>
      <c r="B3041" t="s">
        <v>45</v>
      </c>
      <c r="C3041">
        <v>2919.3443000000002</v>
      </c>
      <c r="D3041" t="s">
        <v>239</v>
      </c>
      <c r="E3041">
        <v>2020</v>
      </c>
      <c r="F3041">
        <v>3</v>
      </c>
    </row>
    <row r="3042" spans="1:6" x14ac:dyDescent="0.55000000000000004">
      <c r="A3042" t="s">
        <v>113</v>
      </c>
      <c r="B3042" t="s">
        <v>46</v>
      </c>
      <c r="C3042">
        <v>32526.57</v>
      </c>
      <c r="D3042" t="s">
        <v>239</v>
      </c>
      <c r="E3042">
        <v>2020</v>
      </c>
      <c r="F3042">
        <v>3</v>
      </c>
    </row>
    <row r="3043" spans="1:6" x14ac:dyDescent="0.55000000000000004">
      <c r="A3043" t="s">
        <v>113</v>
      </c>
      <c r="B3043" t="s">
        <v>47</v>
      </c>
      <c r="C3043">
        <v>3.1238000000000001</v>
      </c>
      <c r="D3043" t="s">
        <v>239</v>
      </c>
      <c r="E3043">
        <v>2020</v>
      </c>
      <c r="F3043">
        <v>3</v>
      </c>
    </row>
    <row r="3044" spans="1:6" x14ac:dyDescent="0.55000000000000004">
      <c r="A3044" t="s">
        <v>113</v>
      </c>
      <c r="B3044" t="s">
        <v>48</v>
      </c>
      <c r="C3044">
        <v>37163.318299999999</v>
      </c>
      <c r="D3044" t="s">
        <v>239</v>
      </c>
      <c r="E3044">
        <v>2020</v>
      </c>
      <c r="F3044">
        <v>3</v>
      </c>
    </row>
    <row r="3045" spans="1:6" x14ac:dyDescent="0.55000000000000004">
      <c r="A3045" t="s">
        <v>113</v>
      </c>
      <c r="B3045" t="s">
        <v>49</v>
      </c>
      <c r="C3045">
        <v>98.28</v>
      </c>
      <c r="D3045" t="s">
        <v>239</v>
      </c>
      <c r="E3045">
        <v>2020</v>
      </c>
      <c r="F3045">
        <v>3</v>
      </c>
    </row>
    <row r="3046" spans="1:6" x14ac:dyDescent="0.55000000000000004">
      <c r="A3046" t="s">
        <v>113</v>
      </c>
      <c r="B3046" t="s">
        <v>50</v>
      </c>
      <c r="C3046">
        <v>6988.2812999999996</v>
      </c>
      <c r="D3046" t="s">
        <v>239</v>
      </c>
      <c r="E3046">
        <v>2020</v>
      </c>
      <c r="F3046">
        <v>3</v>
      </c>
    </row>
    <row r="3047" spans="1:6" x14ac:dyDescent="0.55000000000000004">
      <c r="A3047" t="s">
        <v>113</v>
      </c>
      <c r="B3047" t="s">
        <v>51</v>
      </c>
      <c r="C3047">
        <v>1000</v>
      </c>
      <c r="D3047" t="s">
        <v>239</v>
      </c>
      <c r="E3047">
        <v>2020</v>
      </c>
      <c r="F3047">
        <v>3</v>
      </c>
    </row>
    <row r="3048" spans="1:6" x14ac:dyDescent="0.55000000000000004">
      <c r="A3048" t="s">
        <v>113</v>
      </c>
      <c r="B3048" t="s">
        <v>52</v>
      </c>
      <c r="C3048">
        <v>130.8083</v>
      </c>
      <c r="D3048" t="s">
        <v>239</v>
      </c>
      <c r="E3048">
        <v>2020</v>
      </c>
      <c r="F3048">
        <v>3</v>
      </c>
    </row>
    <row r="3049" spans="1:6" x14ac:dyDescent="0.55000000000000004">
      <c r="A3049" t="s">
        <v>113</v>
      </c>
      <c r="B3049" t="s">
        <v>53</v>
      </c>
      <c r="C3049">
        <v>66892.7</v>
      </c>
      <c r="D3049" t="s">
        <v>239</v>
      </c>
      <c r="E3049">
        <v>2020</v>
      </c>
      <c r="F3049">
        <v>3</v>
      </c>
    </row>
    <row r="3050" spans="1:6" x14ac:dyDescent="0.55000000000000004">
      <c r="A3050" t="s">
        <v>113</v>
      </c>
      <c r="B3050" t="s">
        <v>54</v>
      </c>
      <c r="C3050">
        <v>14007.9931</v>
      </c>
      <c r="D3050" t="s">
        <v>239</v>
      </c>
      <c r="E3050">
        <v>2020</v>
      </c>
      <c r="F3050">
        <v>3</v>
      </c>
    </row>
    <row r="3051" spans="1:6" x14ac:dyDescent="0.55000000000000004">
      <c r="A3051" t="s">
        <v>113</v>
      </c>
      <c r="B3051" t="s">
        <v>55</v>
      </c>
      <c r="C3051">
        <v>1073.0166999999999</v>
      </c>
      <c r="D3051" t="s">
        <v>239</v>
      </c>
      <c r="E3051">
        <v>2020</v>
      </c>
      <c r="F3051">
        <v>3</v>
      </c>
    </row>
    <row r="3052" spans="1:6" x14ac:dyDescent="0.55000000000000004">
      <c r="A3052" t="s">
        <v>113</v>
      </c>
      <c r="B3052" t="s">
        <v>56</v>
      </c>
      <c r="C3052">
        <v>5125</v>
      </c>
      <c r="D3052" t="s">
        <v>239</v>
      </c>
      <c r="E3052">
        <v>2020</v>
      </c>
      <c r="F3052">
        <v>3</v>
      </c>
    </row>
    <row r="3053" spans="1:6" x14ac:dyDescent="0.55000000000000004">
      <c r="A3053" t="s">
        <v>113</v>
      </c>
      <c r="B3053" t="s">
        <v>57</v>
      </c>
      <c r="C3053">
        <v>203.9537</v>
      </c>
      <c r="D3053" t="s">
        <v>239</v>
      </c>
      <c r="E3053">
        <v>2020</v>
      </c>
      <c r="F3053">
        <v>3</v>
      </c>
    </row>
    <row r="3054" spans="1:6" x14ac:dyDescent="0.55000000000000004">
      <c r="A3054" t="s">
        <v>113</v>
      </c>
      <c r="B3054" t="s">
        <v>58</v>
      </c>
      <c r="C3054">
        <v>477561</v>
      </c>
      <c r="D3054" t="s">
        <v>239</v>
      </c>
      <c r="E3054">
        <v>2020</v>
      </c>
      <c r="F3054">
        <v>3</v>
      </c>
    </row>
    <row r="3055" spans="1:6" x14ac:dyDescent="0.55000000000000004">
      <c r="A3055" t="s">
        <v>113</v>
      </c>
      <c r="B3055" t="s">
        <v>59</v>
      </c>
      <c r="C3055">
        <v>3000</v>
      </c>
      <c r="D3055" t="s">
        <v>239</v>
      </c>
      <c r="E3055">
        <v>2020</v>
      </c>
      <c r="F3055">
        <v>3</v>
      </c>
    </row>
    <row r="3056" spans="1:6" x14ac:dyDescent="0.55000000000000004">
      <c r="A3056" t="s">
        <v>113</v>
      </c>
      <c r="B3056" t="s">
        <v>60</v>
      </c>
      <c r="C3056">
        <v>2800000.0115</v>
      </c>
      <c r="D3056" t="s">
        <v>239</v>
      </c>
      <c r="E3056">
        <v>2020</v>
      </c>
      <c r="F3056">
        <v>3</v>
      </c>
    </row>
    <row r="3057" spans="1:6" x14ac:dyDescent="0.55000000000000004">
      <c r="A3057" t="s">
        <v>113</v>
      </c>
      <c r="B3057" t="s">
        <v>61</v>
      </c>
      <c r="C3057">
        <v>5089.9953999999998</v>
      </c>
      <c r="D3057" t="s">
        <v>239</v>
      </c>
      <c r="E3057">
        <v>2020</v>
      </c>
      <c r="F3057">
        <v>3</v>
      </c>
    </row>
    <row r="3058" spans="1:6" x14ac:dyDescent="0.55000000000000004">
      <c r="A3058" t="s">
        <v>113</v>
      </c>
      <c r="B3058" t="s">
        <v>62</v>
      </c>
      <c r="C3058">
        <v>3261.4</v>
      </c>
      <c r="D3058" t="s">
        <v>239</v>
      </c>
      <c r="E3058">
        <v>2020</v>
      </c>
      <c r="F3058">
        <v>3</v>
      </c>
    </row>
    <row r="3059" spans="1:6" x14ac:dyDescent="0.55000000000000004">
      <c r="A3059" t="s">
        <v>113</v>
      </c>
      <c r="B3059" t="s">
        <v>63</v>
      </c>
      <c r="C3059">
        <v>1.67E-2</v>
      </c>
      <c r="D3059" t="s">
        <v>239</v>
      </c>
      <c r="E3059">
        <v>2020</v>
      </c>
      <c r="F3059">
        <v>3</v>
      </c>
    </row>
    <row r="3060" spans="1:6" x14ac:dyDescent="0.55000000000000004">
      <c r="A3060" t="s">
        <v>114</v>
      </c>
      <c r="B3060" t="s">
        <v>4</v>
      </c>
      <c r="C3060">
        <v>11311323.827299999</v>
      </c>
      <c r="D3060" t="s">
        <v>240</v>
      </c>
      <c r="E3060">
        <v>2020</v>
      </c>
      <c r="F3060">
        <v>4</v>
      </c>
    </row>
    <row r="3061" spans="1:6" x14ac:dyDescent="0.55000000000000004">
      <c r="A3061" t="s">
        <v>114</v>
      </c>
      <c r="B3061" t="s">
        <v>5</v>
      </c>
      <c r="C3061">
        <v>775793.39060000004</v>
      </c>
      <c r="D3061" t="s">
        <v>240</v>
      </c>
      <c r="E3061">
        <v>2020</v>
      </c>
      <c r="F3061">
        <v>4</v>
      </c>
    </row>
    <row r="3062" spans="1:6" x14ac:dyDescent="0.55000000000000004">
      <c r="A3062" t="s">
        <v>114</v>
      </c>
      <c r="B3062" t="s">
        <v>6</v>
      </c>
      <c r="C3062">
        <v>2689140.0828999998</v>
      </c>
      <c r="D3062" t="s">
        <v>240</v>
      </c>
      <c r="E3062">
        <v>2020</v>
      </c>
      <c r="F3062">
        <v>4</v>
      </c>
    </row>
    <row r="3063" spans="1:6" x14ac:dyDescent="0.55000000000000004">
      <c r="A3063" t="s">
        <v>114</v>
      </c>
      <c r="B3063" t="s">
        <v>7</v>
      </c>
      <c r="C3063">
        <v>3574681.2031999999</v>
      </c>
      <c r="D3063" t="s">
        <v>240</v>
      </c>
      <c r="E3063">
        <v>2020</v>
      </c>
      <c r="F3063">
        <v>4</v>
      </c>
    </row>
    <row r="3064" spans="1:6" x14ac:dyDescent="0.55000000000000004">
      <c r="A3064" t="s">
        <v>114</v>
      </c>
      <c r="B3064" t="s">
        <v>8</v>
      </c>
      <c r="C3064">
        <v>4271709.1506000003</v>
      </c>
      <c r="D3064" t="s">
        <v>240</v>
      </c>
      <c r="E3064">
        <v>2020</v>
      </c>
      <c r="F3064">
        <v>4</v>
      </c>
    </row>
    <row r="3065" spans="1:6" x14ac:dyDescent="0.55000000000000004">
      <c r="A3065" t="s">
        <v>114</v>
      </c>
      <c r="B3065" t="s">
        <v>9</v>
      </c>
      <c r="C3065">
        <v>2747.2017000000001</v>
      </c>
      <c r="D3065" t="s">
        <v>240</v>
      </c>
      <c r="E3065">
        <v>2020</v>
      </c>
      <c r="F3065">
        <v>4</v>
      </c>
    </row>
    <row r="3066" spans="1:6" x14ac:dyDescent="0.55000000000000004">
      <c r="A3066" t="s">
        <v>114</v>
      </c>
      <c r="B3066" t="s">
        <v>10</v>
      </c>
      <c r="C3066">
        <v>6.85</v>
      </c>
      <c r="D3066" t="s">
        <v>240</v>
      </c>
      <c r="E3066">
        <v>2020</v>
      </c>
      <c r="F3066">
        <v>4</v>
      </c>
    </row>
    <row r="3067" spans="1:6" x14ac:dyDescent="0.55000000000000004">
      <c r="A3067" t="s">
        <v>114</v>
      </c>
      <c r="B3067" t="s">
        <v>11</v>
      </c>
      <c r="C3067">
        <v>3599225.8709999998</v>
      </c>
      <c r="D3067" t="s">
        <v>240</v>
      </c>
      <c r="E3067">
        <v>2020</v>
      </c>
      <c r="F3067">
        <v>4</v>
      </c>
    </row>
    <row r="3068" spans="1:6" x14ac:dyDescent="0.55000000000000004">
      <c r="A3068" t="s">
        <v>114</v>
      </c>
      <c r="B3068" t="s">
        <v>12</v>
      </c>
      <c r="C3068">
        <v>6078.3666999999996</v>
      </c>
      <c r="D3068" t="s">
        <v>240</v>
      </c>
      <c r="E3068">
        <v>2020</v>
      </c>
      <c r="F3068">
        <v>4</v>
      </c>
    </row>
    <row r="3069" spans="1:6" x14ac:dyDescent="0.55000000000000004">
      <c r="A3069" t="s">
        <v>114</v>
      </c>
      <c r="B3069" t="s">
        <v>13</v>
      </c>
      <c r="C3069">
        <v>34123</v>
      </c>
      <c r="D3069" t="s">
        <v>240</v>
      </c>
      <c r="E3069">
        <v>2020</v>
      </c>
      <c r="F3069">
        <v>4</v>
      </c>
    </row>
    <row r="3070" spans="1:6" x14ac:dyDescent="0.55000000000000004">
      <c r="A3070" t="s">
        <v>114</v>
      </c>
      <c r="B3070" t="s">
        <v>14</v>
      </c>
      <c r="C3070">
        <v>10000</v>
      </c>
      <c r="D3070" t="s">
        <v>240</v>
      </c>
      <c r="E3070">
        <v>2020</v>
      </c>
      <c r="F3070">
        <v>4</v>
      </c>
    </row>
    <row r="3071" spans="1:6" x14ac:dyDescent="0.55000000000000004">
      <c r="A3071" t="s">
        <v>114</v>
      </c>
      <c r="B3071" t="s">
        <v>15</v>
      </c>
      <c r="C3071">
        <v>642425.4754</v>
      </c>
      <c r="D3071" t="s">
        <v>240</v>
      </c>
      <c r="E3071">
        <v>2020</v>
      </c>
      <c r="F3071">
        <v>4</v>
      </c>
    </row>
    <row r="3072" spans="1:6" x14ac:dyDescent="0.55000000000000004">
      <c r="A3072" t="s">
        <v>114</v>
      </c>
      <c r="B3072" t="s">
        <v>16</v>
      </c>
      <c r="C3072">
        <v>0</v>
      </c>
      <c r="D3072" t="s">
        <v>240</v>
      </c>
      <c r="E3072">
        <v>2020</v>
      </c>
      <c r="F3072">
        <v>4</v>
      </c>
    </row>
    <row r="3073" spans="1:6" x14ac:dyDescent="0.55000000000000004">
      <c r="A3073" t="s">
        <v>114</v>
      </c>
      <c r="B3073" t="s">
        <v>17</v>
      </c>
      <c r="C3073">
        <v>130319.92600000001</v>
      </c>
      <c r="D3073" t="s">
        <v>240</v>
      </c>
      <c r="E3073">
        <v>2020</v>
      </c>
      <c r="F3073">
        <v>4</v>
      </c>
    </row>
    <row r="3074" spans="1:6" x14ac:dyDescent="0.55000000000000004">
      <c r="A3074" t="s">
        <v>114</v>
      </c>
      <c r="B3074" t="s">
        <v>18</v>
      </c>
      <c r="C3074">
        <v>83108.782099999997</v>
      </c>
      <c r="D3074" t="s">
        <v>240</v>
      </c>
      <c r="E3074">
        <v>2020</v>
      </c>
      <c r="F3074">
        <v>4</v>
      </c>
    </row>
    <row r="3075" spans="1:6" x14ac:dyDescent="0.55000000000000004">
      <c r="A3075" t="s">
        <v>114</v>
      </c>
      <c r="B3075" t="s">
        <v>19</v>
      </c>
      <c r="C3075">
        <v>1927.1832999999999</v>
      </c>
      <c r="D3075" t="s">
        <v>240</v>
      </c>
      <c r="E3075">
        <v>2020</v>
      </c>
      <c r="F3075">
        <v>4</v>
      </c>
    </row>
    <row r="3076" spans="1:6" x14ac:dyDescent="0.55000000000000004">
      <c r="A3076" t="s">
        <v>114</v>
      </c>
      <c r="B3076" t="s">
        <v>20</v>
      </c>
      <c r="C3076">
        <v>10000</v>
      </c>
      <c r="D3076" t="s">
        <v>240</v>
      </c>
      <c r="E3076">
        <v>2020</v>
      </c>
      <c r="F3076">
        <v>4</v>
      </c>
    </row>
    <row r="3077" spans="1:6" x14ac:dyDescent="0.55000000000000004">
      <c r="A3077" t="s">
        <v>114</v>
      </c>
      <c r="B3077" t="s">
        <v>21</v>
      </c>
      <c r="C3077">
        <v>2260.1255999999998</v>
      </c>
      <c r="D3077" t="s">
        <v>240</v>
      </c>
      <c r="E3077">
        <v>2020</v>
      </c>
      <c r="F3077">
        <v>4</v>
      </c>
    </row>
    <row r="3078" spans="1:6" x14ac:dyDescent="0.55000000000000004">
      <c r="A3078" t="s">
        <v>114</v>
      </c>
      <c r="B3078" t="s">
        <v>22</v>
      </c>
      <c r="C3078">
        <v>53498.7166</v>
      </c>
      <c r="D3078" t="s">
        <v>240</v>
      </c>
      <c r="E3078">
        <v>2020</v>
      </c>
      <c r="F3078">
        <v>4</v>
      </c>
    </row>
    <row r="3079" spans="1:6" x14ac:dyDescent="0.55000000000000004">
      <c r="A3079" t="s">
        <v>114</v>
      </c>
      <c r="B3079" t="s">
        <v>23</v>
      </c>
      <c r="C3079">
        <v>69864.661999999997</v>
      </c>
      <c r="D3079" t="s">
        <v>240</v>
      </c>
      <c r="E3079">
        <v>2020</v>
      </c>
      <c r="F3079">
        <v>4</v>
      </c>
    </row>
    <row r="3080" spans="1:6" x14ac:dyDescent="0.55000000000000004">
      <c r="A3080" t="s">
        <v>114</v>
      </c>
      <c r="B3080" t="s">
        <v>24</v>
      </c>
      <c r="C3080">
        <v>0</v>
      </c>
      <c r="D3080" t="s">
        <v>240</v>
      </c>
      <c r="E3080">
        <v>2020</v>
      </c>
      <c r="F3080">
        <v>4</v>
      </c>
    </row>
    <row r="3081" spans="1:6" x14ac:dyDescent="0.55000000000000004">
      <c r="A3081" t="s">
        <v>114</v>
      </c>
      <c r="B3081" t="s">
        <v>25</v>
      </c>
      <c r="C3081">
        <v>374009.7916</v>
      </c>
      <c r="D3081" t="s">
        <v>240</v>
      </c>
      <c r="E3081">
        <v>2020</v>
      </c>
      <c r="F3081">
        <v>4</v>
      </c>
    </row>
    <row r="3082" spans="1:6" x14ac:dyDescent="0.55000000000000004">
      <c r="A3082" t="s">
        <v>114</v>
      </c>
      <c r="B3082" t="s">
        <v>26</v>
      </c>
      <c r="C3082">
        <v>0</v>
      </c>
      <c r="D3082" t="s">
        <v>240</v>
      </c>
      <c r="E3082">
        <v>2020</v>
      </c>
      <c r="F3082">
        <v>4</v>
      </c>
    </row>
    <row r="3083" spans="1:6" x14ac:dyDescent="0.55000000000000004">
      <c r="A3083" t="s">
        <v>114</v>
      </c>
      <c r="B3083" t="s">
        <v>27</v>
      </c>
      <c r="C3083">
        <v>304.596</v>
      </c>
      <c r="D3083" t="s">
        <v>240</v>
      </c>
      <c r="E3083">
        <v>2020</v>
      </c>
      <c r="F3083">
        <v>4</v>
      </c>
    </row>
    <row r="3084" spans="1:6" x14ac:dyDescent="0.55000000000000004">
      <c r="A3084" t="s">
        <v>114</v>
      </c>
      <c r="B3084" t="s">
        <v>28</v>
      </c>
      <c r="C3084">
        <v>504987.05530000001</v>
      </c>
      <c r="D3084" t="s">
        <v>240</v>
      </c>
      <c r="E3084">
        <v>2020</v>
      </c>
      <c r="F3084">
        <v>4</v>
      </c>
    </row>
    <row r="3085" spans="1:6" x14ac:dyDescent="0.55000000000000004">
      <c r="A3085" t="s">
        <v>114</v>
      </c>
      <c r="B3085" t="s">
        <v>29</v>
      </c>
      <c r="C3085">
        <v>0</v>
      </c>
      <c r="D3085" t="s">
        <v>240</v>
      </c>
      <c r="E3085">
        <v>2020</v>
      </c>
      <c r="F3085">
        <v>4</v>
      </c>
    </row>
    <row r="3086" spans="1:6" x14ac:dyDescent="0.55000000000000004">
      <c r="A3086" t="s">
        <v>114</v>
      </c>
      <c r="B3086" t="s">
        <v>30</v>
      </c>
      <c r="C3086">
        <v>0</v>
      </c>
      <c r="D3086" t="s">
        <v>240</v>
      </c>
      <c r="E3086">
        <v>2020</v>
      </c>
      <c r="F3086">
        <v>4</v>
      </c>
    </row>
    <row r="3087" spans="1:6" x14ac:dyDescent="0.55000000000000004">
      <c r="A3087" t="s">
        <v>114</v>
      </c>
      <c r="B3087" t="s">
        <v>31</v>
      </c>
      <c r="C3087">
        <v>15</v>
      </c>
      <c r="D3087" t="s">
        <v>240</v>
      </c>
      <c r="E3087">
        <v>2020</v>
      </c>
      <c r="F3087">
        <v>4</v>
      </c>
    </row>
    <row r="3088" spans="1:6" x14ac:dyDescent="0.55000000000000004">
      <c r="A3088" t="s">
        <v>114</v>
      </c>
      <c r="B3088" t="s">
        <v>32</v>
      </c>
      <c r="C3088">
        <v>656746.06000000006</v>
      </c>
      <c r="D3088" t="s">
        <v>240</v>
      </c>
      <c r="E3088">
        <v>2020</v>
      </c>
      <c r="F3088">
        <v>4</v>
      </c>
    </row>
    <row r="3089" spans="1:6" x14ac:dyDescent="0.55000000000000004">
      <c r="A3089" t="s">
        <v>114</v>
      </c>
      <c r="B3089" t="s">
        <v>33</v>
      </c>
      <c r="C3089">
        <v>350948.43</v>
      </c>
      <c r="D3089" t="s">
        <v>240</v>
      </c>
      <c r="E3089">
        <v>2020</v>
      </c>
      <c r="F3089">
        <v>4</v>
      </c>
    </row>
    <row r="3090" spans="1:6" x14ac:dyDescent="0.55000000000000004">
      <c r="A3090" t="s">
        <v>114</v>
      </c>
      <c r="B3090" t="s">
        <v>34</v>
      </c>
      <c r="C3090">
        <v>509229.20500000002</v>
      </c>
      <c r="D3090" t="s">
        <v>240</v>
      </c>
      <c r="E3090">
        <v>2020</v>
      </c>
      <c r="F3090">
        <v>4</v>
      </c>
    </row>
    <row r="3091" spans="1:6" x14ac:dyDescent="0.55000000000000004">
      <c r="A3091" t="s">
        <v>114</v>
      </c>
      <c r="B3091" t="s">
        <v>35</v>
      </c>
      <c r="C3091">
        <v>1478.3494000000001</v>
      </c>
      <c r="D3091" t="s">
        <v>240</v>
      </c>
      <c r="E3091">
        <v>2020</v>
      </c>
      <c r="F3091">
        <v>4</v>
      </c>
    </row>
    <row r="3092" spans="1:6" x14ac:dyDescent="0.55000000000000004">
      <c r="A3092" t="s">
        <v>114</v>
      </c>
      <c r="B3092" t="s">
        <v>36</v>
      </c>
      <c r="C3092">
        <v>81081.090200000006</v>
      </c>
      <c r="D3092" t="s">
        <v>240</v>
      </c>
      <c r="E3092">
        <v>2020</v>
      </c>
      <c r="F3092">
        <v>4</v>
      </c>
    </row>
    <row r="3093" spans="1:6" x14ac:dyDescent="0.55000000000000004">
      <c r="A3093" t="s">
        <v>114</v>
      </c>
      <c r="B3093" t="s">
        <v>37</v>
      </c>
      <c r="C3093">
        <v>62100.0003</v>
      </c>
      <c r="D3093" t="s">
        <v>240</v>
      </c>
      <c r="E3093">
        <v>2020</v>
      </c>
      <c r="F3093">
        <v>4</v>
      </c>
    </row>
    <row r="3094" spans="1:6" x14ac:dyDescent="0.55000000000000004">
      <c r="A3094" t="s">
        <v>114</v>
      </c>
      <c r="B3094" t="s">
        <v>38</v>
      </c>
      <c r="C3094">
        <v>0</v>
      </c>
      <c r="D3094" t="s">
        <v>240</v>
      </c>
      <c r="E3094">
        <v>2020</v>
      </c>
      <c r="F3094">
        <v>4</v>
      </c>
    </row>
    <row r="3095" spans="1:6" x14ac:dyDescent="0.55000000000000004">
      <c r="A3095" t="s">
        <v>114</v>
      </c>
      <c r="B3095" t="s">
        <v>39</v>
      </c>
      <c r="C3095">
        <v>0</v>
      </c>
      <c r="D3095" t="s">
        <v>240</v>
      </c>
      <c r="E3095">
        <v>2020</v>
      </c>
      <c r="F3095">
        <v>4</v>
      </c>
    </row>
    <row r="3096" spans="1:6" x14ac:dyDescent="0.55000000000000004">
      <c r="A3096" t="s">
        <v>114</v>
      </c>
      <c r="B3096" t="s">
        <v>40</v>
      </c>
      <c r="C3096">
        <v>0</v>
      </c>
      <c r="D3096" t="s">
        <v>240</v>
      </c>
      <c r="E3096">
        <v>2020</v>
      </c>
      <c r="F3096">
        <v>4</v>
      </c>
    </row>
    <row r="3097" spans="1:6" x14ac:dyDescent="0.55000000000000004">
      <c r="A3097" t="s">
        <v>114</v>
      </c>
      <c r="B3097" t="s">
        <v>41</v>
      </c>
      <c r="C3097">
        <v>382287.04300000001</v>
      </c>
      <c r="D3097" t="s">
        <v>240</v>
      </c>
      <c r="E3097">
        <v>2020</v>
      </c>
      <c r="F3097">
        <v>4</v>
      </c>
    </row>
    <row r="3098" spans="1:6" x14ac:dyDescent="0.55000000000000004">
      <c r="A3098" t="s">
        <v>114</v>
      </c>
      <c r="B3098" t="s">
        <v>42</v>
      </c>
      <c r="C3098">
        <v>33.645000000000003</v>
      </c>
      <c r="D3098" t="s">
        <v>240</v>
      </c>
      <c r="E3098">
        <v>2020</v>
      </c>
      <c r="F3098">
        <v>4</v>
      </c>
    </row>
    <row r="3099" spans="1:6" x14ac:dyDescent="0.55000000000000004">
      <c r="A3099" t="s">
        <v>114</v>
      </c>
      <c r="B3099" t="s">
        <v>43</v>
      </c>
      <c r="C3099">
        <v>430239.57030000002</v>
      </c>
      <c r="D3099" t="s">
        <v>240</v>
      </c>
      <c r="E3099">
        <v>2020</v>
      </c>
      <c r="F3099">
        <v>4</v>
      </c>
    </row>
    <row r="3100" spans="1:6" x14ac:dyDescent="0.55000000000000004">
      <c r="A3100" t="s">
        <v>114</v>
      </c>
      <c r="B3100" t="s">
        <v>44</v>
      </c>
      <c r="C3100">
        <v>1688.1667</v>
      </c>
      <c r="D3100" t="s">
        <v>240</v>
      </c>
      <c r="E3100">
        <v>2020</v>
      </c>
      <c r="F3100">
        <v>4</v>
      </c>
    </row>
    <row r="3101" spans="1:6" x14ac:dyDescent="0.55000000000000004">
      <c r="A3101" t="s">
        <v>114</v>
      </c>
      <c r="B3101" t="s">
        <v>45</v>
      </c>
      <c r="C3101">
        <v>7469.2067999999999</v>
      </c>
      <c r="D3101" t="s">
        <v>240</v>
      </c>
      <c r="E3101">
        <v>2020</v>
      </c>
      <c r="F3101">
        <v>4</v>
      </c>
    </row>
    <row r="3102" spans="1:6" x14ac:dyDescent="0.55000000000000004">
      <c r="A3102" t="s">
        <v>114</v>
      </c>
      <c r="B3102" t="s">
        <v>46</v>
      </c>
      <c r="C3102">
        <v>21425</v>
      </c>
      <c r="D3102" t="s">
        <v>240</v>
      </c>
      <c r="E3102">
        <v>2020</v>
      </c>
      <c r="F3102">
        <v>4</v>
      </c>
    </row>
    <row r="3103" spans="1:6" x14ac:dyDescent="0.55000000000000004">
      <c r="A3103" t="s">
        <v>114</v>
      </c>
      <c r="B3103" t="s">
        <v>47</v>
      </c>
      <c r="C3103">
        <v>0</v>
      </c>
      <c r="D3103" t="s">
        <v>240</v>
      </c>
      <c r="E3103">
        <v>2020</v>
      </c>
      <c r="F3103">
        <v>4</v>
      </c>
    </row>
    <row r="3104" spans="1:6" x14ac:dyDescent="0.55000000000000004">
      <c r="A3104" t="s">
        <v>114</v>
      </c>
      <c r="B3104" t="s">
        <v>48</v>
      </c>
      <c r="C3104">
        <v>57735.0533</v>
      </c>
      <c r="D3104" t="s">
        <v>240</v>
      </c>
      <c r="E3104">
        <v>2020</v>
      </c>
      <c r="F3104">
        <v>4</v>
      </c>
    </row>
    <row r="3105" spans="1:6" x14ac:dyDescent="0.55000000000000004">
      <c r="A3105" t="s">
        <v>114</v>
      </c>
      <c r="B3105" t="s">
        <v>49</v>
      </c>
      <c r="C3105">
        <v>0</v>
      </c>
      <c r="D3105" t="s">
        <v>240</v>
      </c>
      <c r="E3105">
        <v>2020</v>
      </c>
      <c r="F3105">
        <v>4</v>
      </c>
    </row>
    <row r="3106" spans="1:6" x14ac:dyDescent="0.55000000000000004">
      <c r="A3106" t="s">
        <v>114</v>
      </c>
      <c r="B3106" t="s">
        <v>50</v>
      </c>
      <c r="C3106">
        <v>7031.7330000000002</v>
      </c>
      <c r="D3106" t="s">
        <v>240</v>
      </c>
      <c r="E3106">
        <v>2020</v>
      </c>
      <c r="F3106">
        <v>4</v>
      </c>
    </row>
    <row r="3107" spans="1:6" x14ac:dyDescent="0.55000000000000004">
      <c r="A3107" t="s">
        <v>114</v>
      </c>
      <c r="B3107" t="s">
        <v>51</v>
      </c>
      <c r="C3107">
        <v>2500</v>
      </c>
      <c r="D3107" t="s">
        <v>240</v>
      </c>
      <c r="E3107">
        <v>2020</v>
      </c>
      <c r="F3107">
        <v>4</v>
      </c>
    </row>
    <row r="3108" spans="1:6" x14ac:dyDescent="0.55000000000000004">
      <c r="A3108" t="s">
        <v>114</v>
      </c>
      <c r="B3108" t="s">
        <v>52</v>
      </c>
      <c r="C3108">
        <v>130.8083</v>
      </c>
      <c r="D3108" t="s">
        <v>240</v>
      </c>
      <c r="E3108">
        <v>2020</v>
      </c>
      <c r="F3108">
        <v>4</v>
      </c>
    </row>
    <row r="3109" spans="1:6" x14ac:dyDescent="0.55000000000000004">
      <c r="A3109" t="s">
        <v>114</v>
      </c>
      <c r="B3109" t="s">
        <v>53</v>
      </c>
      <c r="C3109">
        <v>70738.62</v>
      </c>
      <c r="D3109" t="s">
        <v>240</v>
      </c>
      <c r="E3109">
        <v>2020</v>
      </c>
      <c r="F3109">
        <v>4</v>
      </c>
    </row>
    <row r="3110" spans="1:6" x14ac:dyDescent="0.55000000000000004">
      <c r="A3110" t="s">
        <v>114</v>
      </c>
      <c r="B3110" t="s">
        <v>54</v>
      </c>
      <c r="C3110">
        <v>20605.4221</v>
      </c>
      <c r="D3110" t="s">
        <v>240</v>
      </c>
      <c r="E3110">
        <v>2020</v>
      </c>
      <c r="F3110">
        <v>4</v>
      </c>
    </row>
    <row r="3111" spans="1:6" x14ac:dyDescent="0.55000000000000004">
      <c r="A3111" t="s">
        <v>114</v>
      </c>
      <c r="B3111" t="s">
        <v>55</v>
      </c>
      <c r="C3111">
        <v>1050</v>
      </c>
      <c r="D3111" t="s">
        <v>240</v>
      </c>
      <c r="E3111">
        <v>2020</v>
      </c>
      <c r="F3111">
        <v>4</v>
      </c>
    </row>
    <row r="3112" spans="1:6" x14ac:dyDescent="0.55000000000000004">
      <c r="A3112" t="s">
        <v>114</v>
      </c>
      <c r="B3112" t="s">
        <v>56</v>
      </c>
      <c r="C3112">
        <v>3000</v>
      </c>
      <c r="D3112" t="s">
        <v>240</v>
      </c>
      <c r="E3112">
        <v>2020</v>
      </c>
      <c r="F3112">
        <v>4</v>
      </c>
    </row>
    <row r="3113" spans="1:6" x14ac:dyDescent="0.55000000000000004">
      <c r="A3113" t="s">
        <v>114</v>
      </c>
      <c r="B3113" t="s">
        <v>57</v>
      </c>
      <c r="C3113">
        <v>113.5655</v>
      </c>
      <c r="D3113" t="s">
        <v>240</v>
      </c>
      <c r="E3113">
        <v>2020</v>
      </c>
      <c r="F3113">
        <v>4</v>
      </c>
    </row>
    <row r="3114" spans="1:6" x14ac:dyDescent="0.55000000000000004">
      <c r="A3114" t="s">
        <v>114</v>
      </c>
      <c r="B3114" t="s">
        <v>58</v>
      </c>
      <c r="C3114">
        <v>359973</v>
      </c>
      <c r="D3114" t="s">
        <v>240</v>
      </c>
      <c r="E3114">
        <v>2020</v>
      </c>
      <c r="F3114">
        <v>4</v>
      </c>
    </row>
    <row r="3115" spans="1:6" x14ac:dyDescent="0.55000000000000004">
      <c r="A3115" t="s">
        <v>114</v>
      </c>
      <c r="B3115" t="s">
        <v>59</v>
      </c>
      <c r="C3115">
        <v>1400</v>
      </c>
      <c r="D3115" t="s">
        <v>240</v>
      </c>
      <c r="E3115">
        <v>2020</v>
      </c>
      <c r="F3115">
        <v>4</v>
      </c>
    </row>
    <row r="3116" spans="1:6" x14ac:dyDescent="0.55000000000000004">
      <c r="A3116" t="s">
        <v>114</v>
      </c>
      <c r="B3116" t="s">
        <v>60</v>
      </c>
      <c r="C3116">
        <v>2750000.0723999999</v>
      </c>
      <c r="D3116" t="s">
        <v>240</v>
      </c>
      <c r="E3116">
        <v>2020</v>
      </c>
      <c r="F3116">
        <v>4</v>
      </c>
    </row>
    <row r="3117" spans="1:6" x14ac:dyDescent="0.55000000000000004">
      <c r="A3117" t="s">
        <v>114</v>
      </c>
      <c r="B3117" t="s">
        <v>61</v>
      </c>
      <c r="C3117">
        <v>4879.9993999999997</v>
      </c>
      <c r="D3117" t="s">
        <v>240</v>
      </c>
      <c r="E3117">
        <v>2020</v>
      </c>
      <c r="F3117">
        <v>4</v>
      </c>
    </row>
    <row r="3118" spans="1:6" x14ac:dyDescent="0.55000000000000004">
      <c r="A3118" t="s">
        <v>114</v>
      </c>
      <c r="B3118" t="s">
        <v>62</v>
      </c>
      <c r="C3118">
        <v>2217.1833000000001</v>
      </c>
      <c r="D3118" t="s">
        <v>240</v>
      </c>
      <c r="E3118">
        <v>2020</v>
      </c>
      <c r="F3118">
        <v>4</v>
      </c>
    </row>
    <row r="3119" spans="1:6" x14ac:dyDescent="0.55000000000000004">
      <c r="A3119" t="s">
        <v>114</v>
      </c>
      <c r="B3119" t="s">
        <v>63</v>
      </c>
      <c r="C3119">
        <v>320</v>
      </c>
      <c r="D3119" t="s">
        <v>240</v>
      </c>
      <c r="E3119">
        <v>2020</v>
      </c>
      <c r="F3119">
        <v>4</v>
      </c>
    </row>
    <row r="3120" spans="1:6" x14ac:dyDescent="0.55000000000000004">
      <c r="A3120" t="s">
        <v>115</v>
      </c>
      <c r="B3120" t="s">
        <v>4</v>
      </c>
      <c r="C3120">
        <v>10929352.9998</v>
      </c>
      <c r="D3120" t="s">
        <v>241</v>
      </c>
      <c r="E3120">
        <v>2020</v>
      </c>
      <c r="F3120">
        <v>5</v>
      </c>
    </row>
    <row r="3121" spans="1:6" x14ac:dyDescent="0.55000000000000004">
      <c r="A3121" t="s">
        <v>115</v>
      </c>
      <c r="B3121" t="s">
        <v>5</v>
      </c>
      <c r="C3121">
        <v>1000509.8303</v>
      </c>
      <c r="D3121" t="s">
        <v>241</v>
      </c>
      <c r="E3121">
        <v>2020</v>
      </c>
      <c r="F3121">
        <v>5</v>
      </c>
    </row>
    <row r="3122" spans="1:6" x14ac:dyDescent="0.55000000000000004">
      <c r="A3122" t="s">
        <v>115</v>
      </c>
      <c r="B3122" t="s">
        <v>6</v>
      </c>
      <c r="C3122">
        <v>2700164.5674000001</v>
      </c>
      <c r="D3122" t="s">
        <v>241</v>
      </c>
      <c r="E3122">
        <v>2020</v>
      </c>
      <c r="F3122">
        <v>5</v>
      </c>
    </row>
    <row r="3123" spans="1:6" x14ac:dyDescent="0.55000000000000004">
      <c r="A3123" t="s">
        <v>115</v>
      </c>
      <c r="B3123" t="s">
        <v>7</v>
      </c>
      <c r="C3123">
        <v>3125185.3354000002</v>
      </c>
      <c r="D3123" t="s">
        <v>241</v>
      </c>
      <c r="E3123">
        <v>2020</v>
      </c>
      <c r="F3123">
        <v>5</v>
      </c>
    </row>
    <row r="3124" spans="1:6" x14ac:dyDescent="0.55000000000000004">
      <c r="A3124" t="s">
        <v>115</v>
      </c>
      <c r="B3124" t="s">
        <v>8</v>
      </c>
      <c r="C3124">
        <v>4103493.2667</v>
      </c>
      <c r="D3124" t="s">
        <v>241</v>
      </c>
      <c r="E3124">
        <v>2020</v>
      </c>
      <c r="F3124">
        <v>5</v>
      </c>
    </row>
    <row r="3125" spans="1:6" x14ac:dyDescent="0.55000000000000004">
      <c r="A3125" t="s">
        <v>115</v>
      </c>
      <c r="B3125" t="s">
        <v>9</v>
      </c>
      <c r="C3125">
        <v>2028.25</v>
      </c>
      <c r="D3125" t="s">
        <v>241</v>
      </c>
      <c r="E3125">
        <v>2020</v>
      </c>
      <c r="F3125">
        <v>5</v>
      </c>
    </row>
    <row r="3126" spans="1:6" x14ac:dyDescent="0.55000000000000004">
      <c r="A3126" t="s">
        <v>115</v>
      </c>
      <c r="B3126" t="s">
        <v>10</v>
      </c>
      <c r="C3126">
        <v>275.25</v>
      </c>
      <c r="D3126" t="s">
        <v>241</v>
      </c>
      <c r="E3126">
        <v>2020</v>
      </c>
      <c r="F3126">
        <v>5</v>
      </c>
    </row>
    <row r="3127" spans="1:6" x14ac:dyDescent="0.55000000000000004">
      <c r="A3127" t="s">
        <v>115</v>
      </c>
      <c r="B3127" t="s">
        <v>11</v>
      </c>
      <c r="C3127">
        <v>3282032.1993999998</v>
      </c>
      <c r="D3127" t="s">
        <v>241</v>
      </c>
      <c r="E3127">
        <v>2020</v>
      </c>
      <c r="F3127">
        <v>5</v>
      </c>
    </row>
    <row r="3128" spans="1:6" x14ac:dyDescent="0.55000000000000004">
      <c r="A3128" t="s">
        <v>115</v>
      </c>
      <c r="B3128" t="s">
        <v>12</v>
      </c>
      <c r="C3128">
        <v>0</v>
      </c>
      <c r="D3128" t="s">
        <v>241</v>
      </c>
      <c r="E3128">
        <v>2020</v>
      </c>
      <c r="F3128">
        <v>5</v>
      </c>
    </row>
    <row r="3129" spans="1:6" x14ac:dyDescent="0.55000000000000004">
      <c r="A3129" t="s">
        <v>115</v>
      </c>
      <c r="B3129" t="s">
        <v>13</v>
      </c>
      <c r="C3129">
        <v>18650</v>
      </c>
      <c r="D3129" t="s">
        <v>241</v>
      </c>
      <c r="E3129">
        <v>2020</v>
      </c>
      <c r="F3129">
        <v>5</v>
      </c>
    </row>
    <row r="3130" spans="1:6" x14ac:dyDescent="0.55000000000000004">
      <c r="A3130" t="s">
        <v>115</v>
      </c>
      <c r="B3130" t="s">
        <v>14</v>
      </c>
      <c r="C3130">
        <v>10000</v>
      </c>
      <c r="D3130" t="s">
        <v>241</v>
      </c>
      <c r="E3130">
        <v>2020</v>
      </c>
      <c r="F3130">
        <v>5</v>
      </c>
    </row>
    <row r="3131" spans="1:6" x14ac:dyDescent="0.55000000000000004">
      <c r="A3131" t="s">
        <v>115</v>
      </c>
      <c r="B3131" t="s">
        <v>15</v>
      </c>
      <c r="C3131">
        <v>893983.21380000003</v>
      </c>
      <c r="D3131" t="s">
        <v>241</v>
      </c>
      <c r="E3131">
        <v>2020</v>
      </c>
      <c r="F3131">
        <v>5</v>
      </c>
    </row>
    <row r="3132" spans="1:6" x14ac:dyDescent="0.55000000000000004">
      <c r="A3132" t="s">
        <v>115</v>
      </c>
      <c r="B3132" t="s">
        <v>16</v>
      </c>
      <c r="C3132">
        <v>0</v>
      </c>
      <c r="D3132" t="s">
        <v>241</v>
      </c>
      <c r="E3132">
        <v>2020</v>
      </c>
      <c r="F3132">
        <v>5</v>
      </c>
    </row>
    <row r="3133" spans="1:6" x14ac:dyDescent="0.55000000000000004">
      <c r="A3133" t="s">
        <v>115</v>
      </c>
      <c r="B3133" t="s">
        <v>17</v>
      </c>
      <c r="C3133">
        <v>141985.00330000001</v>
      </c>
      <c r="D3133" t="s">
        <v>241</v>
      </c>
      <c r="E3133">
        <v>2020</v>
      </c>
      <c r="F3133">
        <v>5</v>
      </c>
    </row>
    <row r="3134" spans="1:6" x14ac:dyDescent="0.55000000000000004">
      <c r="A3134" t="s">
        <v>115</v>
      </c>
      <c r="B3134" t="s">
        <v>18</v>
      </c>
      <c r="C3134">
        <v>213322.0828</v>
      </c>
      <c r="D3134" t="s">
        <v>241</v>
      </c>
      <c r="E3134">
        <v>2020</v>
      </c>
      <c r="F3134">
        <v>5</v>
      </c>
    </row>
    <row r="3135" spans="1:6" x14ac:dyDescent="0.55000000000000004">
      <c r="A3135" t="s">
        <v>115</v>
      </c>
      <c r="B3135" t="s">
        <v>19</v>
      </c>
      <c r="C3135">
        <v>1927.1832999999999</v>
      </c>
      <c r="D3135" t="s">
        <v>241</v>
      </c>
      <c r="E3135">
        <v>2020</v>
      </c>
      <c r="F3135">
        <v>5</v>
      </c>
    </row>
    <row r="3136" spans="1:6" x14ac:dyDescent="0.55000000000000004">
      <c r="A3136" t="s">
        <v>115</v>
      </c>
      <c r="B3136" t="s">
        <v>20</v>
      </c>
      <c r="C3136">
        <v>25000</v>
      </c>
      <c r="D3136" t="s">
        <v>241</v>
      </c>
      <c r="E3136">
        <v>2020</v>
      </c>
      <c r="F3136">
        <v>5</v>
      </c>
    </row>
    <row r="3137" spans="1:6" x14ac:dyDescent="0.55000000000000004">
      <c r="A3137" t="s">
        <v>115</v>
      </c>
      <c r="B3137" t="s">
        <v>21</v>
      </c>
      <c r="C3137">
        <v>2127.2635</v>
      </c>
      <c r="D3137" t="s">
        <v>241</v>
      </c>
      <c r="E3137">
        <v>2020</v>
      </c>
      <c r="F3137">
        <v>5</v>
      </c>
    </row>
    <row r="3138" spans="1:6" x14ac:dyDescent="0.55000000000000004">
      <c r="A3138" t="s">
        <v>115</v>
      </c>
      <c r="B3138" t="s">
        <v>22</v>
      </c>
      <c r="C3138">
        <v>42750.239999999998</v>
      </c>
      <c r="D3138" t="s">
        <v>241</v>
      </c>
      <c r="E3138">
        <v>2020</v>
      </c>
      <c r="F3138">
        <v>5</v>
      </c>
    </row>
    <row r="3139" spans="1:6" x14ac:dyDescent="0.55000000000000004">
      <c r="A3139" t="s">
        <v>115</v>
      </c>
      <c r="B3139" t="s">
        <v>23</v>
      </c>
      <c r="C3139">
        <v>72270.464900000006</v>
      </c>
      <c r="D3139" t="s">
        <v>241</v>
      </c>
      <c r="E3139">
        <v>2020</v>
      </c>
      <c r="F3139">
        <v>5</v>
      </c>
    </row>
    <row r="3140" spans="1:6" x14ac:dyDescent="0.55000000000000004">
      <c r="A3140" t="s">
        <v>115</v>
      </c>
      <c r="B3140" t="s">
        <v>24</v>
      </c>
      <c r="C3140">
        <v>0</v>
      </c>
      <c r="D3140" t="s">
        <v>241</v>
      </c>
      <c r="E3140">
        <v>2020</v>
      </c>
      <c r="F3140">
        <v>5</v>
      </c>
    </row>
    <row r="3141" spans="1:6" x14ac:dyDescent="0.55000000000000004">
      <c r="A3141" t="s">
        <v>115</v>
      </c>
      <c r="B3141" t="s">
        <v>25</v>
      </c>
      <c r="C3141">
        <v>380729.5</v>
      </c>
      <c r="D3141" t="s">
        <v>241</v>
      </c>
      <c r="E3141">
        <v>2020</v>
      </c>
      <c r="F3141">
        <v>5</v>
      </c>
    </row>
    <row r="3142" spans="1:6" x14ac:dyDescent="0.55000000000000004">
      <c r="A3142" t="s">
        <v>115</v>
      </c>
      <c r="B3142" t="s">
        <v>26</v>
      </c>
      <c r="C3142">
        <v>0</v>
      </c>
      <c r="D3142" t="s">
        <v>241</v>
      </c>
      <c r="E3142">
        <v>2020</v>
      </c>
      <c r="F3142">
        <v>5</v>
      </c>
    </row>
    <row r="3143" spans="1:6" x14ac:dyDescent="0.55000000000000004">
      <c r="A3143" t="s">
        <v>115</v>
      </c>
      <c r="B3143" t="s">
        <v>27</v>
      </c>
      <c r="C3143">
        <v>191.23429999999999</v>
      </c>
      <c r="D3143" t="s">
        <v>241</v>
      </c>
      <c r="E3143">
        <v>2020</v>
      </c>
      <c r="F3143">
        <v>5</v>
      </c>
    </row>
    <row r="3144" spans="1:6" x14ac:dyDescent="0.55000000000000004">
      <c r="A3144" t="s">
        <v>115</v>
      </c>
      <c r="B3144" t="s">
        <v>28</v>
      </c>
      <c r="C3144">
        <v>419395.99249999999</v>
      </c>
      <c r="D3144" t="s">
        <v>241</v>
      </c>
      <c r="E3144">
        <v>2020</v>
      </c>
      <c r="F3144">
        <v>5</v>
      </c>
    </row>
    <row r="3145" spans="1:6" x14ac:dyDescent="0.55000000000000004">
      <c r="A3145" t="s">
        <v>115</v>
      </c>
      <c r="B3145" t="s">
        <v>29</v>
      </c>
      <c r="C3145">
        <v>0</v>
      </c>
      <c r="D3145" t="s">
        <v>241</v>
      </c>
      <c r="E3145">
        <v>2020</v>
      </c>
      <c r="F3145">
        <v>5</v>
      </c>
    </row>
    <row r="3146" spans="1:6" x14ac:dyDescent="0.55000000000000004">
      <c r="A3146" t="s">
        <v>115</v>
      </c>
      <c r="B3146" t="s">
        <v>30</v>
      </c>
      <c r="C3146">
        <v>14.7333</v>
      </c>
      <c r="D3146" t="s">
        <v>241</v>
      </c>
      <c r="E3146">
        <v>2020</v>
      </c>
      <c r="F3146">
        <v>5</v>
      </c>
    </row>
    <row r="3147" spans="1:6" x14ac:dyDescent="0.55000000000000004">
      <c r="A3147" t="s">
        <v>115</v>
      </c>
      <c r="B3147" t="s">
        <v>31</v>
      </c>
      <c r="C3147">
        <v>200</v>
      </c>
      <c r="D3147" t="s">
        <v>241</v>
      </c>
      <c r="E3147">
        <v>2020</v>
      </c>
      <c r="F3147">
        <v>5</v>
      </c>
    </row>
    <row r="3148" spans="1:6" x14ac:dyDescent="0.55000000000000004">
      <c r="A3148" t="s">
        <v>115</v>
      </c>
      <c r="B3148" t="s">
        <v>32</v>
      </c>
      <c r="C3148">
        <v>783271.3787</v>
      </c>
      <c r="D3148" t="s">
        <v>241</v>
      </c>
      <c r="E3148">
        <v>2020</v>
      </c>
      <c r="F3148">
        <v>5</v>
      </c>
    </row>
    <row r="3149" spans="1:6" x14ac:dyDescent="0.55000000000000004">
      <c r="A3149" t="s">
        <v>115</v>
      </c>
      <c r="B3149" t="s">
        <v>33</v>
      </c>
      <c r="C3149">
        <v>540992.1091</v>
      </c>
      <c r="D3149" t="s">
        <v>241</v>
      </c>
      <c r="E3149">
        <v>2020</v>
      </c>
      <c r="F3149">
        <v>5</v>
      </c>
    </row>
    <row r="3150" spans="1:6" x14ac:dyDescent="0.55000000000000004">
      <c r="A3150" t="s">
        <v>115</v>
      </c>
      <c r="B3150" t="s">
        <v>34</v>
      </c>
      <c r="C3150">
        <v>456257.277</v>
      </c>
      <c r="D3150" t="s">
        <v>241</v>
      </c>
      <c r="E3150">
        <v>2020</v>
      </c>
      <c r="F3150">
        <v>5</v>
      </c>
    </row>
    <row r="3151" spans="1:6" x14ac:dyDescent="0.55000000000000004">
      <c r="A3151" t="s">
        <v>115</v>
      </c>
      <c r="B3151" t="s">
        <v>35</v>
      </c>
      <c r="C3151">
        <v>1961.9399000000001</v>
      </c>
      <c r="D3151" t="s">
        <v>241</v>
      </c>
      <c r="E3151">
        <v>2020</v>
      </c>
      <c r="F3151">
        <v>5</v>
      </c>
    </row>
    <row r="3152" spans="1:6" x14ac:dyDescent="0.55000000000000004">
      <c r="A3152" t="s">
        <v>115</v>
      </c>
      <c r="B3152" t="s">
        <v>36</v>
      </c>
      <c r="C3152">
        <v>79722.606499999994</v>
      </c>
      <c r="D3152" t="s">
        <v>241</v>
      </c>
      <c r="E3152">
        <v>2020</v>
      </c>
      <c r="F3152">
        <v>5</v>
      </c>
    </row>
    <row r="3153" spans="1:6" x14ac:dyDescent="0.55000000000000004">
      <c r="A3153" t="s">
        <v>115</v>
      </c>
      <c r="B3153" t="s">
        <v>37</v>
      </c>
      <c r="C3153">
        <v>73099.986000000004</v>
      </c>
      <c r="D3153" t="s">
        <v>241</v>
      </c>
      <c r="E3153">
        <v>2020</v>
      </c>
      <c r="F3153">
        <v>5</v>
      </c>
    </row>
    <row r="3154" spans="1:6" x14ac:dyDescent="0.55000000000000004">
      <c r="A3154" t="s">
        <v>115</v>
      </c>
      <c r="B3154" t="s">
        <v>38</v>
      </c>
      <c r="C3154">
        <v>0</v>
      </c>
      <c r="D3154" t="s">
        <v>241</v>
      </c>
      <c r="E3154">
        <v>2020</v>
      </c>
      <c r="F3154">
        <v>5</v>
      </c>
    </row>
    <row r="3155" spans="1:6" x14ac:dyDescent="0.55000000000000004">
      <c r="A3155" t="s">
        <v>115</v>
      </c>
      <c r="B3155" t="s">
        <v>39</v>
      </c>
      <c r="C3155">
        <v>1501.432</v>
      </c>
      <c r="D3155" t="s">
        <v>241</v>
      </c>
      <c r="E3155">
        <v>2020</v>
      </c>
      <c r="F3155">
        <v>5</v>
      </c>
    </row>
    <row r="3156" spans="1:6" x14ac:dyDescent="0.55000000000000004">
      <c r="A3156" t="s">
        <v>115</v>
      </c>
      <c r="B3156" t="s">
        <v>40</v>
      </c>
      <c r="C3156">
        <v>556.52340000000004</v>
      </c>
      <c r="D3156" t="s">
        <v>241</v>
      </c>
      <c r="E3156">
        <v>2020</v>
      </c>
      <c r="F3156">
        <v>5</v>
      </c>
    </row>
    <row r="3157" spans="1:6" x14ac:dyDescent="0.55000000000000004">
      <c r="A3157" t="s">
        <v>115</v>
      </c>
      <c r="B3157" t="s">
        <v>41</v>
      </c>
      <c r="C3157">
        <v>347675.76870000002</v>
      </c>
      <c r="D3157" t="s">
        <v>241</v>
      </c>
      <c r="E3157">
        <v>2020</v>
      </c>
      <c r="F3157">
        <v>5</v>
      </c>
    </row>
    <row r="3158" spans="1:6" x14ac:dyDescent="0.55000000000000004">
      <c r="A3158" t="s">
        <v>115</v>
      </c>
      <c r="B3158" t="s">
        <v>42</v>
      </c>
      <c r="C3158">
        <v>0</v>
      </c>
      <c r="D3158" t="s">
        <v>241</v>
      </c>
      <c r="E3158">
        <v>2020</v>
      </c>
      <c r="F3158">
        <v>5</v>
      </c>
    </row>
    <row r="3159" spans="1:6" x14ac:dyDescent="0.55000000000000004">
      <c r="A3159" t="s">
        <v>115</v>
      </c>
      <c r="B3159" t="s">
        <v>43</v>
      </c>
      <c r="C3159">
        <v>340242.39520000003</v>
      </c>
      <c r="D3159" t="s">
        <v>241</v>
      </c>
      <c r="E3159">
        <v>2020</v>
      </c>
      <c r="F3159">
        <v>5</v>
      </c>
    </row>
    <row r="3160" spans="1:6" x14ac:dyDescent="0.55000000000000004">
      <c r="A3160" t="s">
        <v>115</v>
      </c>
      <c r="B3160" t="s">
        <v>44</v>
      </c>
      <c r="C3160">
        <v>1712</v>
      </c>
      <c r="D3160" t="s">
        <v>241</v>
      </c>
      <c r="E3160">
        <v>2020</v>
      </c>
      <c r="F3160">
        <v>5</v>
      </c>
    </row>
    <row r="3161" spans="1:6" x14ac:dyDescent="0.55000000000000004">
      <c r="A3161" t="s">
        <v>115</v>
      </c>
      <c r="B3161" t="s">
        <v>45</v>
      </c>
      <c r="C3161">
        <v>6190.3953000000001</v>
      </c>
      <c r="D3161" t="s">
        <v>241</v>
      </c>
      <c r="E3161">
        <v>2020</v>
      </c>
      <c r="F3161">
        <v>5</v>
      </c>
    </row>
    <row r="3162" spans="1:6" x14ac:dyDescent="0.55000000000000004">
      <c r="A3162" t="s">
        <v>115</v>
      </c>
      <c r="B3162" t="s">
        <v>46</v>
      </c>
      <c r="C3162">
        <v>44188.5</v>
      </c>
      <c r="D3162" t="s">
        <v>241</v>
      </c>
      <c r="E3162">
        <v>2020</v>
      </c>
      <c r="F3162">
        <v>5</v>
      </c>
    </row>
    <row r="3163" spans="1:6" x14ac:dyDescent="0.55000000000000004">
      <c r="A3163" t="s">
        <v>115</v>
      </c>
      <c r="B3163" t="s">
        <v>47</v>
      </c>
      <c r="C3163">
        <v>0</v>
      </c>
      <c r="D3163" t="s">
        <v>241</v>
      </c>
      <c r="E3163">
        <v>2020</v>
      </c>
      <c r="F3163">
        <v>5</v>
      </c>
    </row>
    <row r="3164" spans="1:6" x14ac:dyDescent="0.55000000000000004">
      <c r="A3164" t="s">
        <v>115</v>
      </c>
      <c r="B3164" t="s">
        <v>48</v>
      </c>
      <c r="C3164">
        <v>103289.565</v>
      </c>
      <c r="D3164" t="s">
        <v>241</v>
      </c>
      <c r="E3164">
        <v>2020</v>
      </c>
      <c r="F3164">
        <v>5</v>
      </c>
    </row>
    <row r="3165" spans="1:6" x14ac:dyDescent="0.55000000000000004">
      <c r="A3165" t="s">
        <v>115</v>
      </c>
      <c r="B3165" t="s">
        <v>49</v>
      </c>
      <c r="C3165">
        <v>0</v>
      </c>
      <c r="D3165" t="s">
        <v>241</v>
      </c>
      <c r="E3165">
        <v>2020</v>
      </c>
      <c r="F3165">
        <v>5</v>
      </c>
    </row>
    <row r="3166" spans="1:6" x14ac:dyDescent="0.55000000000000004">
      <c r="A3166" t="s">
        <v>115</v>
      </c>
      <c r="B3166" t="s">
        <v>50</v>
      </c>
      <c r="C3166">
        <v>7201.2861000000003</v>
      </c>
      <c r="D3166" t="s">
        <v>241</v>
      </c>
      <c r="E3166">
        <v>2020</v>
      </c>
      <c r="F3166">
        <v>5</v>
      </c>
    </row>
    <row r="3167" spans="1:6" x14ac:dyDescent="0.55000000000000004">
      <c r="A3167" t="s">
        <v>115</v>
      </c>
      <c r="B3167" t="s">
        <v>51</v>
      </c>
      <c r="C3167">
        <v>5000</v>
      </c>
      <c r="D3167" t="s">
        <v>241</v>
      </c>
      <c r="E3167">
        <v>2020</v>
      </c>
      <c r="F3167">
        <v>5</v>
      </c>
    </row>
    <row r="3168" spans="1:6" x14ac:dyDescent="0.55000000000000004">
      <c r="A3168" t="s">
        <v>115</v>
      </c>
      <c r="B3168" t="s">
        <v>52</v>
      </c>
      <c r="C3168">
        <v>130.8083</v>
      </c>
      <c r="D3168" t="s">
        <v>241</v>
      </c>
      <c r="E3168">
        <v>2020</v>
      </c>
      <c r="F3168">
        <v>5</v>
      </c>
    </row>
    <row r="3169" spans="1:6" x14ac:dyDescent="0.55000000000000004">
      <c r="A3169" t="s">
        <v>115</v>
      </c>
      <c r="B3169" t="s">
        <v>53</v>
      </c>
      <c r="C3169">
        <v>63342.96</v>
      </c>
      <c r="D3169" t="s">
        <v>241</v>
      </c>
      <c r="E3169">
        <v>2020</v>
      </c>
      <c r="F3169">
        <v>5</v>
      </c>
    </row>
    <row r="3170" spans="1:6" x14ac:dyDescent="0.55000000000000004">
      <c r="A3170" t="s">
        <v>115</v>
      </c>
      <c r="B3170" t="s">
        <v>54</v>
      </c>
      <c r="C3170">
        <v>17905.533500000001</v>
      </c>
      <c r="D3170" t="s">
        <v>241</v>
      </c>
      <c r="E3170">
        <v>2020</v>
      </c>
      <c r="F3170">
        <v>5</v>
      </c>
    </row>
    <row r="3171" spans="1:6" x14ac:dyDescent="0.55000000000000004">
      <c r="A3171" t="s">
        <v>115</v>
      </c>
      <c r="B3171" t="s">
        <v>55</v>
      </c>
      <c r="C3171">
        <v>0</v>
      </c>
      <c r="D3171" t="s">
        <v>241</v>
      </c>
      <c r="E3171">
        <v>2020</v>
      </c>
      <c r="F3171">
        <v>5</v>
      </c>
    </row>
    <row r="3172" spans="1:6" x14ac:dyDescent="0.55000000000000004">
      <c r="A3172" t="s">
        <v>115</v>
      </c>
      <c r="B3172" t="s">
        <v>56</v>
      </c>
      <c r="C3172">
        <v>2500</v>
      </c>
      <c r="D3172" t="s">
        <v>241</v>
      </c>
      <c r="E3172">
        <v>2020</v>
      </c>
      <c r="F3172">
        <v>5</v>
      </c>
    </row>
    <row r="3173" spans="1:6" x14ac:dyDescent="0.55000000000000004">
      <c r="A3173" t="s">
        <v>115</v>
      </c>
      <c r="B3173" t="s">
        <v>57</v>
      </c>
      <c r="C3173">
        <v>86.108800000000002</v>
      </c>
      <c r="D3173" t="s">
        <v>241</v>
      </c>
      <c r="E3173">
        <v>2020</v>
      </c>
      <c r="F3173">
        <v>5</v>
      </c>
    </row>
    <row r="3174" spans="1:6" x14ac:dyDescent="0.55000000000000004">
      <c r="A3174" t="s">
        <v>115</v>
      </c>
      <c r="B3174" t="s">
        <v>58</v>
      </c>
      <c r="C3174">
        <v>437597</v>
      </c>
      <c r="D3174" t="s">
        <v>241</v>
      </c>
      <c r="E3174">
        <v>2020</v>
      </c>
      <c r="F3174">
        <v>5</v>
      </c>
    </row>
    <row r="3175" spans="1:6" x14ac:dyDescent="0.55000000000000004">
      <c r="A3175" t="s">
        <v>115</v>
      </c>
      <c r="B3175" t="s">
        <v>59</v>
      </c>
      <c r="C3175">
        <v>1100</v>
      </c>
      <c r="D3175" t="s">
        <v>241</v>
      </c>
      <c r="E3175">
        <v>2020</v>
      </c>
      <c r="F3175">
        <v>5</v>
      </c>
    </row>
    <row r="3176" spans="1:6" x14ac:dyDescent="0.55000000000000004">
      <c r="A3176" t="s">
        <v>115</v>
      </c>
      <c r="B3176" t="s">
        <v>60</v>
      </c>
      <c r="C3176">
        <v>2100000.0449999999</v>
      </c>
      <c r="D3176" t="s">
        <v>241</v>
      </c>
      <c r="E3176">
        <v>2020</v>
      </c>
      <c r="F3176">
        <v>5</v>
      </c>
    </row>
    <row r="3177" spans="1:6" x14ac:dyDescent="0.55000000000000004">
      <c r="A3177" t="s">
        <v>115</v>
      </c>
      <c r="B3177" t="s">
        <v>61</v>
      </c>
      <c r="C3177">
        <v>3840.0034999999998</v>
      </c>
      <c r="D3177" t="s">
        <v>241</v>
      </c>
      <c r="E3177">
        <v>2020</v>
      </c>
      <c r="F3177">
        <v>5</v>
      </c>
    </row>
    <row r="3178" spans="1:6" x14ac:dyDescent="0.55000000000000004">
      <c r="A3178" t="s">
        <v>115</v>
      </c>
      <c r="B3178" t="s">
        <v>62</v>
      </c>
      <c r="C3178">
        <v>2704.7667000000001</v>
      </c>
      <c r="D3178" t="s">
        <v>241</v>
      </c>
      <c r="E3178">
        <v>2020</v>
      </c>
      <c r="F3178">
        <v>5</v>
      </c>
    </row>
    <row r="3179" spans="1:6" x14ac:dyDescent="0.55000000000000004">
      <c r="A3179" t="s">
        <v>115</v>
      </c>
      <c r="B3179" t="s">
        <v>63</v>
      </c>
      <c r="C3179">
        <v>400</v>
      </c>
      <c r="D3179" t="s">
        <v>241</v>
      </c>
      <c r="E3179">
        <v>2020</v>
      </c>
      <c r="F3179">
        <v>5</v>
      </c>
    </row>
    <row r="3180" spans="1:6" x14ac:dyDescent="0.55000000000000004">
      <c r="A3180" t="s">
        <v>116</v>
      </c>
      <c r="B3180" t="s">
        <v>4</v>
      </c>
      <c r="C3180">
        <v>10787719.350099999</v>
      </c>
      <c r="D3180" t="s">
        <v>242</v>
      </c>
      <c r="E3180">
        <v>2020</v>
      </c>
      <c r="F3180">
        <v>6</v>
      </c>
    </row>
    <row r="3181" spans="1:6" x14ac:dyDescent="0.55000000000000004">
      <c r="A3181" t="s">
        <v>116</v>
      </c>
      <c r="B3181" t="s">
        <v>5</v>
      </c>
      <c r="C3181">
        <v>1201721.7945999999</v>
      </c>
      <c r="D3181" t="s">
        <v>242</v>
      </c>
      <c r="E3181">
        <v>2020</v>
      </c>
      <c r="F3181">
        <v>6</v>
      </c>
    </row>
    <row r="3182" spans="1:6" x14ac:dyDescent="0.55000000000000004">
      <c r="A3182" t="s">
        <v>116</v>
      </c>
      <c r="B3182" t="s">
        <v>6</v>
      </c>
      <c r="C3182">
        <v>2548801.8623000002</v>
      </c>
      <c r="D3182" t="s">
        <v>242</v>
      </c>
      <c r="E3182">
        <v>2020</v>
      </c>
      <c r="F3182">
        <v>6</v>
      </c>
    </row>
    <row r="3183" spans="1:6" x14ac:dyDescent="0.55000000000000004">
      <c r="A3183" t="s">
        <v>116</v>
      </c>
      <c r="B3183" t="s">
        <v>7</v>
      </c>
      <c r="C3183">
        <v>2833310.2069000001</v>
      </c>
      <c r="D3183" t="s">
        <v>242</v>
      </c>
      <c r="E3183">
        <v>2020</v>
      </c>
      <c r="F3183">
        <v>6</v>
      </c>
    </row>
    <row r="3184" spans="1:6" x14ac:dyDescent="0.55000000000000004">
      <c r="A3184" t="s">
        <v>116</v>
      </c>
      <c r="B3184" t="s">
        <v>8</v>
      </c>
      <c r="C3184">
        <v>4203885.4863</v>
      </c>
      <c r="D3184" t="s">
        <v>242</v>
      </c>
      <c r="E3184">
        <v>2020</v>
      </c>
      <c r="F3184">
        <v>6</v>
      </c>
    </row>
    <row r="3185" spans="1:6" x14ac:dyDescent="0.55000000000000004">
      <c r="A3185" t="s">
        <v>116</v>
      </c>
      <c r="B3185" t="s">
        <v>9</v>
      </c>
      <c r="C3185">
        <v>1576.6648</v>
      </c>
      <c r="D3185" t="s">
        <v>242</v>
      </c>
      <c r="E3185">
        <v>2020</v>
      </c>
      <c r="F3185">
        <v>6</v>
      </c>
    </row>
    <row r="3186" spans="1:6" x14ac:dyDescent="0.55000000000000004">
      <c r="A3186" t="s">
        <v>116</v>
      </c>
      <c r="B3186" t="s">
        <v>10</v>
      </c>
      <c r="C3186">
        <v>1162.5</v>
      </c>
      <c r="D3186" t="s">
        <v>242</v>
      </c>
      <c r="E3186">
        <v>2020</v>
      </c>
      <c r="F3186">
        <v>6</v>
      </c>
    </row>
    <row r="3187" spans="1:6" x14ac:dyDescent="0.55000000000000004">
      <c r="A3187" t="s">
        <v>116</v>
      </c>
      <c r="B3187" t="s">
        <v>11</v>
      </c>
      <c r="C3187">
        <v>3075571.5262000002</v>
      </c>
      <c r="D3187" t="s">
        <v>242</v>
      </c>
      <c r="E3187">
        <v>2020</v>
      </c>
      <c r="F3187">
        <v>6</v>
      </c>
    </row>
    <row r="3188" spans="1:6" x14ac:dyDescent="0.55000000000000004">
      <c r="A3188" t="s">
        <v>116</v>
      </c>
      <c r="B3188" t="s">
        <v>12</v>
      </c>
      <c r="C3188">
        <v>2019.8330000000001</v>
      </c>
      <c r="D3188" t="s">
        <v>242</v>
      </c>
      <c r="E3188">
        <v>2020</v>
      </c>
      <c r="F3188">
        <v>6</v>
      </c>
    </row>
    <row r="3189" spans="1:6" x14ac:dyDescent="0.55000000000000004">
      <c r="A3189" t="s">
        <v>116</v>
      </c>
      <c r="B3189" t="s">
        <v>13</v>
      </c>
      <c r="C3189">
        <v>13950</v>
      </c>
      <c r="D3189" t="s">
        <v>242</v>
      </c>
      <c r="E3189">
        <v>2020</v>
      </c>
      <c r="F3189">
        <v>6</v>
      </c>
    </row>
    <row r="3190" spans="1:6" x14ac:dyDescent="0.55000000000000004">
      <c r="A3190" t="s">
        <v>116</v>
      </c>
      <c r="B3190" t="s">
        <v>14</v>
      </c>
      <c r="C3190">
        <v>1500</v>
      </c>
      <c r="D3190" t="s">
        <v>242</v>
      </c>
      <c r="E3190">
        <v>2020</v>
      </c>
      <c r="F3190">
        <v>6</v>
      </c>
    </row>
    <row r="3191" spans="1:6" x14ac:dyDescent="0.55000000000000004">
      <c r="A3191" t="s">
        <v>116</v>
      </c>
      <c r="B3191" t="s">
        <v>15</v>
      </c>
      <c r="C3191">
        <v>1111849.8735</v>
      </c>
      <c r="D3191" t="s">
        <v>242</v>
      </c>
      <c r="E3191">
        <v>2020</v>
      </c>
      <c r="F3191">
        <v>6</v>
      </c>
    </row>
    <row r="3192" spans="1:6" x14ac:dyDescent="0.55000000000000004">
      <c r="A3192" t="s">
        <v>116</v>
      </c>
      <c r="B3192" t="s">
        <v>16</v>
      </c>
      <c r="C3192">
        <v>0</v>
      </c>
      <c r="D3192" t="s">
        <v>242</v>
      </c>
      <c r="E3192">
        <v>2020</v>
      </c>
      <c r="F3192">
        <v>6</v>
      </c>
    </row>
    <row r="3193" spans="1:6" x14ac:dyDescent="0.55000000000000004">
      <c r="A3193" t="s">
        <v>116</v>
      </c>
      <c r="B3193" t="s">
        <v>17</v>
      </c>
      <c r="C3193">
        <v>134804.7617</v>
      </c>
      <c r="D3193" t="s">
        <v>242</v>
      </c>
      <c r="E3193">
        <v>2020</v>
      </c>
      <c r="F3193">
        <v>6</v>
      </c>
    </row>
    <row r="3194" spans="1:6" x14ac:dyDescent="0.55000000000000004">
      <c r="A3194" t="s">
        <v>116</v>
      </c>
      <c r="B3194" t="s">
        <v>18</v>
      </c>
      <c r="C3194">
        <v>82981.667600000001</v>
      </c>
      <c r="D3194" t="s">
        <v>242</v>
      </c>
      <c r="E3194">
        <v>2020</v>
      </c>
      <c r="F3194">
        <v>6</v>
      </c>
    </row>
    <row r="3195" spans="1:6" x14ac:dyDescent="0.55000000000000004">
      <c r="A3195" t="s">
        <v>116</v>
      </c>
      <c r="B3195" t="s">
        <v>19</v>
      </c>
      <c r="C3195">
        <v>1927.1832999999999</v>
      </c>
      <c r="D3195" t="s">
        <v>242</v>
      </c>
      <c r="E3195">
        <v>2020</v>
      </c>
      <c r="F3195">
        <v>6</v>
      </c>
    </row>
    <row r="3196" spans="1:6" x14ac:dyDescent="0.55000000000000004">
      <c r="A3196" t="s">
        <v>116</v>
      </c>
      <c r="B3196" t="s">
        <v>20</v>
      </c>
      <c r="C3196">
        <v>15000</v>
      </c>
      <c r="D3196" t="s">
        <v>242</v>
      </c>
      <c r="E3196">
        <v>2020</v>
      </c>
      <c r="F3196">
        <v>6</v>
      </c>
    </row>
    <row r="3197" spans="1:6" x14ac:dyDescent="0.55000000000000004">
      <c r="A3197" t="s">
        <v>116</v>
      </c>
      <c r="B3197" t="s">
        <v>21</v>
      </c>
      <c r="C3197">
        <v>2061.7727</v>
      </c>
      <c r="D3197" t="s">
        <v>242</v>
      </c>
      <c r="E3197">
        <v>2020</v>
      </c>
      <c r="F3197">
        <v>6</v>
      </c>
    </row>
    <row r="3198" spans="1:6" x14ac:dyDescent="0.55000000000000004">
      <c r="A3198" t="s">
        <v>116</v>
      </c>
      <c r="B3198" t="s">
        <v>22</v>
      </c>
      <c r="C3198">
        <v>24864.104299999999</v>
      </c>
      <c r="D3198" t="s">
        <v>242</v>
      </c>
      <c r="E3198">
        <v>2020</v>
      </c>
      <c r="F3198">
        <v>6</v>
      </c>
    </row>
    <row r="3199" spans="1:6" x14ac:dyDescent="0.55000000000000004">
      <c r="A3199" t="s">
        <v>116</v>
      </c>
      <c r="B3199" t="s">
        <v>23</v>
      </c>
      <c r="C3199">
        <v>47529.354299999999</v>
      </c>
      <c r="D3199" t="s">
        <v>242</v>
      </c>
      <c r="E3199">
        <v>2020</v>
      </c>
      <c r="F3199">
        <v>6</v>
      </c>
    </row>
    <row r="3200" spans="1:6" x14ac:dyDescent="0.55000000000000004">
      <c r="A3200" t="s">
        <v>116</v>
      </c>
      <c r="B3200" t="s">
        <v>24</v>
      </c>
      <c r="C3200">
        <v>0</v>
      </c>
      <c r="D3200" t="s">
        <v>242</v>
      </c>
      <c r="E3200">
        <v>2020</v>
      </c>
      <c r="F3200">
        <v>6</v>
      </c>
    </row>
    <row r="3201" spans="1:6" x14ac:dyDescent="0.55000000000000004">
      <c r="A3201" t="s">
        <v>116</v>
      </c>
      <c r="B3201" t="s">
        <v>25</v>
      </c>
      <c r="C3201">
        <v>456679.62910000002</v>
      </c>
      <c r="D3201" t="s">
        <v>242</v>
      </c>
      <c r="E3201">
        <v>2020</v>
      </c>
      <c r="F3201">
        <v>6</v>
      </c>
    </row>
    <row r="3202" spans="1:6" x14ac:dyDescent="0.55000000000000004">
      <c r="A3202" t="s">
        <v>116</v>
      </c>
      <c r="B3202" t="s">
        <v>26</v>
      </c>
      <c r="C3202">
        <v>0</v>
      </c>
      <c r="D3202" t="s">
        <v>242</v>
      </c>
      <c r="E3202">
        <v>2020</v>
      </c>
      <c r="F3202">
        <v>6</v>
      </c>
    </row>
    <row r="3203" spans="1:6" x14ac:dyDescent="0.55000000000000004">
      <c r="A3203" t="s">
        <v>116</v>
      </c>
      <c r="B3203" t="s">
        <v>27</v>
      </c>
      <c r="C3203">
        <v>149.46100000000001</v>
      </c>
      <c r="D3203" t="s">
        <v>242</v>
      </c>
      <c r="E3203">
        <v>2020</v>
      </c>
      <c r="F3203">
        <v>6</v>
      </c>
    </row>
    <row r="3204" spans="1:6" x14ac:dyDescent="0.55000000000000004">
      <c r="A3204" t="s">
        <v>116</v>
      </c>
      <c r="B3204" t="s">
        <v>28</v>
      </c>
      <c r="C3204">
        <v>383244.1827</v>
      </c>
      <c r="D3204" t="s">
        <v>242</v>
      </c>
      <c r="E3204">
        <v>2020</v>
      </c>
      <c r="F3204">
        <v>6</v>
      </c>
    </row>
    <row r="3205" spans="1:6" x14ac:dyDescent="0.55000000000000004">
      <c r="A3205" t="s">
        <v>116</v>
      </c>
      <c r="B3205" t="s">
        <v>29</v>
      </c>
      <c r="C3205">
        <v>0</v>
      </c>
      <c r="D3205" t="s">
        <v>242</v>
      </c>
      <c r="E3205">
        <v>2020</v>
      </c>
      <c r="F3205">
        <v>6</v>
      </c>
    </row>
    <row r="3206" spans="1:6" x14ac:dyDescent="0.55000000000000004">
      <c r="A3206" t="s">
        <v>116</v>
      </c>
      <c r="B3206" t="s">
        <v>30</v>
      </c>
      <c r="C3206">
        <v>0</v>
      </c>
      <c r="D3206" t="s">
        <v>242</v>
      </c>
      <c r="E3206">
        <v>2020</v>
      </c>
      <c r="F3206">
        <v>6</v>
      </c>
    </row>
    <row r="3207" spans="1:6" x14ac:dyDescent="0.55000000000000004">
      <c r="A3207" t="s">
        <v>116</v>
      </c>
      <c r="B3207" t="s">
        <v>31</v>
      </c>
      <c r="C3207">
        <v>300</v>
      </c>
      <c r="D3207" t="s">
        <v>242</v>
      </c>
      <c r="E3207">
        <v>2020</v>
      </c>
      <c r="F3207">
        <v>6</v>
      </c>
    </row>
    <row r="3208" spans="1:6" x14ac:dyDescent="0.55000000000000004">
      <c r="A3208" t="s">
        <v>116</v>
      </c>
      <c r="B3208" t="s">
        <v>32</v>
      </c>
      <c r="C3208">
        <v>644725.71900000004</v>
      </c>
      <c r="D3208" t="s">
        <v>242</v>
      </c>
      <c r="E3208">
        <v>2020</v>
      </c>
      <c r="F3208">
        <v>6</v>
      </c>
    </row>
    <row r="3209" spans="1:6" x14ac:dyDescent="0.55000000000000004">
      <c r="A3209" t="s">
        <v>116</v>
      </c>
      <c r="B3209" t="s">
        <v>33</v>
      </c>
      <c r="C3209">
        <v>577611.57819999999</v>
      </c>
      <c r="D3209" t="s">
        <v>242</v>
      </c>
      <c r="E3209">
        <v>2020</v>
      </c>
      <c r="F3209">
        <v>6</v>
      </c>
    </row>
    <row r="3210" spans="1:6" x14ac:dyDescent="0.55000000000000004">
      <c r="A3210" t="s">
        <v>116</v>
      </c>
      <c r="B3210" t="s">
        <v>34</v>
      </c>
      <c r="C3210">
        <v>543303.73</v>
      </c>
      <c r="D3210" t="s">
        <v>242</v>
      </c>
      <c r="E3210">
        <v>2020</v>
      </c>
      <c r="F3210">
        <v>6</v>
      </c>
    </row>
    <row r="3211" spans="1:6" x14ac:dyDescent="0.55000000000000004">
      <c r="A3211" t="s">
        <v>116</v>
      </c>
      <c r="B3211" t="s">
        <v>35</v>
      </c>
      <c r="C3211">
        <v>1332.0746999999999</v>
      </c>
      <c r="D3211" t="s">
        <v>242</v>
      </c>
      <c r="E3211">
        <v>2020</v>
      </c>
      <c r="F3211">
        <v>6</v>
      </c>
    </row>
    <row r="3212" spans="1:6" x14ac:dyDescent="0.55000000000000004">
      <c r="A3212" t="s">
        <v>116</v>
      </c>
      <c r="B3212" t="s">
        <v>36</v>
      </c>
      <c r="C3212">
        <v>83139.354500000001</v>
      </c>
      <c r="D3212" t="s">
        <v>242</v>
      </c>
      <c r="E3212">
        <v>2020</v>
      </c>
      <c r="F3212">
        <v>6</v>
      </c>
    </row>
    <row r="3213" spans="1:6" x14ac:dyDescent="0.55000000000000004">
      <c r="A3213" t="s">
        <v>116</v>
      </c>
      <c r="B3213" t="s">
        <v>37</v>
      </c>
      <c r="C3213">
        <v>82900.017600000006</v>
      </c>
      <c r="D3213" t="s">
        <v>242</v>
      </c>
      <c r="E3213">
        <v>2020</v>
      </c>
      <c r="F3213">
        <v>6</v>
      </c>
    </row>
    <row r="3214" spans="1:6" x14ac:dyDescent="0.55000000000000004">
      <c r="A3214" t="s">
        <v>116</v>
      </c>
      <c r="B3214" t="s">
        <v>38</v>
      </c>
      <c r="C3214">
        <v>200</v>
      </c>
      <c r="D3214" t="s">
        <v>242</v>
      </c>
      <c r="E3214">
        <v>2020</v>
      </c>
      <c r="F3214">
        <v>6</v>
      </c>
    </row>
    <row r="3215" spans="1:6" x14ac:dyDescent="0.55000000000000004">
      <c r="A3215" t="s">
        <v>116</v>
      </c>
      <c r="B3215" t="s">
        <v>39</v>
      </c>
      <c r="C3215">
        <v>899.88329999999996</v>
      </c>
      <c r="D3215" t="s">
        <v>242</v>
      </c>
      <c r="E3215">
        <v>2020</v>
      </c>
      <c r="F3215">
        <v>6</v>
      </c>
    </row>
    <row r="3216" spans="1:6" x14ac:dyDescent="0.55000000000000004">
      <c r="A3216" t="s">
        <v>116</v>
      </c>
      <c r="B3216" t="s">
        <v>40</v>
      </c>
      <c r="C3216">
        <v>0</v>
      </c>
      <c r="D3216" t="s">
        <v>242</v>
      </c>
      <c r="E3216">
        <v>2020</v>
      </c>
      <c r="F3216">
        <v>6</v>
      </c>
    </row>
    <row r="3217" spans="1:6" x14ac:dyDescent="0.55000000000000004">
      <c r="A3217" t="s">
        <v>116</v>
      </c>
      <c r="B3217" t="s">
        <v>41</v>
      </c>
      <c r="C3217">
        <v>353136.65179999999</v>
      </c>
      <c r="D3217" t="s">
        <v>242</v>
      </c>
      <c r="E3217">
        <v>2020</v>
      </c>
      <c r="F3217">
        <v>6</v>
      </c>
    </row>
    <row r="3218" spans="1:6" x14ac:dyDescent="0.55000000000000004">
      <c r="A3218" t="s">
        <v>116</v>
      </c>
      <c r="B3218" t="s">
        <v>42</v>
      </c>
      <c r="C3218">
        <v>1.6667000000000001</v>
      </c>
      <c r="D3218" t="s">
        <v>242</v>
      </c>
      <c r="E3218">
        <v>2020</v>
      </c>
      <c r="F3218">
        <v>6</v>
      </c>
    </row>
    <row r="3219" spans="1:6" x14ac:dyDescent="0.55000000000000004">
      <c r="A3219" t="s">
        <v>116</v>
      </c>
      <c r="B3219" t="s">
        <v>43</v>
      </c>
      <c r="C3219">
        <v>317987.08230000001</v>
      </c>
      <c r="D3219" t="s">
        <v>242</v>
      </c>
      <c r="E3219">
        <v>2020</v>
      </c>
      <c r="F3219">
        <v>6</v>
      </c>
    </row>
    <row r="3220" spans="1:6" x14ac:dyDescent="0.55000000000000004">
      <c r="A3220" t="s">
        <v>116</v>
      </c>
      <c r="B3220" t="s">
        <v>44</v>
      </c>
      <c r="C3220">
        <v>0</v>
      </c>
      <c r="D3220" t="s">
        <v>242</v>
      </c>
      <c r="E3220">
        <v>2020</v>
      </c>
      <c r="F3220">
        <v>6</v>
      </c>
    </row>
    <row r="3221" spans="1:6" x14ac:dyDescent="0.55000000000000004">
      <c r="A3221" t="s">
        <v>116</v>
      </c>
      <c r="B3221" t="s">
        <v>45</v>
      </c>
      <c r="C3221">
        <v>5352.8332</v>
      </c>
      <c r="D3221" t="s">
        <v>242</v>
      </c>
      <c r="E3221">
        <v>2020</v>
      </c>
      <c r="F3221">
        <v>6</v>
      </c>
    </row>
    <row r="3222" spans="1:6" x14ac:dyDescent="0.55000000000000004">
      <c r="A3222" t="s">
        <v>116</v>
      </c>
      <c r="B3222" t="s">
        <v>46</v>
      </c>
      <c r="C3222">
        <v>52139.23</v>
      </c>
      <c r="D3222" t="s">
        <v>242</v>
      </c>
      <c r="E3222">
        <v>2020</v>
      </c>
      <c r="F3222">
        <v>6</v>
      </c>
    </row>
    <row r="3223" spans="1:6" x14ac:dyDescent="0.55000000000000004">
      <c r="A3223" t="s">
        <v>116</v>
      </c>
      <c r="B3223" t="s">
        <v>47</v>
      </c>
      <c r="C3223">
        <v>0</v>
      </c>
      <c r="D3223" t="s">
        <v>242</v>
      </c>
      <c r="E3223">
        <v>2020</v>
      </c>
      <c r="F3223">
        <v>6</v>
      </c>
    </row>
    <row r="3224" spans="1:6" x14ac:dyDescent="0.55000000000000004">
      <c r="A3224" t="s">
        <v>116</v>
      </c>
      <c r="B3224" t="s">
        <v>48</v>
      </c>
      <c r="C3224">
        <v>150977.95509999999</v>
      </c>
      <c r="D3224" t="s">
        <v>242</v>
      </c>
      <c r="E3224">
        <v>2020</v>
      </c>
      <c r="F3224">
        <v>6</v>
      </c>
    </row>
    <row r="3225" spans="1:6" x14ac:dyDescent="0.55000000000000004">
      <c r="A3225" t="s">
        <v>116</v>
      </c>
      <c r="B3225" t="s">
        <v>49</v>
      </c>
      <c r="C3225">
        <v>1670.76</v>
      </c>
      <c r="D3225" t="s">
        <v>242</v>
      </c>
      <c r="E3225">
        <v>2020</v>
      </c>
      <c r="F3225">
        <v>6</v>
      </c>
    </row>
    <row r="3226" spans="1:6" x14ac:dyDescent="0.55000000000000004">
      <c r="A3226" t="s">
        <v>116</v>
      </c>
      <c r="B3226" t="s">
        <v>50</v>
      </c>
      <c r="C3226">
        <v>21203.409</v>
      </c>
      <c r="D3226" t="s">
        <v>242</v>
      </c>
      <c r="E3226">
        <v>2020</v>
      </c>
      <c r="F3226">
        <v>6</v>
      </c>
    </row>
    <row r="3227" spans="1:6" x14ac:dyDescent="0.55000000000000004">
      <c r="A3227" t="s">
        <v>116</v>
      </c>
      <c r="B3227" t="s">
        <v>51</v>
      </c>
      <c r="C3227">
        <v>4000</v>
      </c>
      <c r="D3227" t="s">
        <v>242</v>
      </c>
      <c r="E3227">
        <v>2020</v>
      </c>
      <c r="F3227">
        <v>6</v>
      </c>
    </row>
    <row r="3228" spans="1:6" x14ac:dyDescent="0.55000000000000004">
      <c r="A3228" t="s">
        <v>116</v>
      </c>
      <c r="B3228" t="s">
        <v>52</v>
      </c>
      <c r="C3228">
        <v>130.8083</v>
      </c>
      <c r="D3228" t="s">
        <v>242</v>
      </c>
      <c r="E3228">
        <v>2020</v>
      </c>
      <c r="F3228">
        <v>6</v>
      </c>
    </row>
    <row r="3229" spans="1:6" x14ac:dyDescent="0.55000000000000004">
      <c r="A3229" t="s">
        <v>116</v>
      </c>
      <c r="B3229" t="s">
        <v>53</v>
      </c>
      <c r="C3229">
        <v>31212.933199999999</v>
      </c>
      <c r="D3229" t="s">
        <v>242</v>
      </c>
      <c r="E3229">
        <v>2020</v>
      </c>
      <c r="F3229">
        <v>6</v>
      </c>
    </row>
    <row r="3230" spans="1:6" x14ac:dyDescent="0.55000000000000004">
      <c r="A3230" t="s">
        <v>116</v>
      </c>
      <c r="B3230" t="s">
        <v>54</v>
      </c>
      <c r="C3230">
        <v>22100.74</v>
      </c>
      <c r="D3230" t="s">
        <v>242</v>
      </c>
      <c r="E3230">
        <v>2020</v>
      </c>
      <c r="F3230">
        <v>6</v>
      </c>
    </row>
    <row r="3231" spans="1:6" x14ac:dyDescent="0.55000000000000004">
      <c r="A3231" t="s">
        <v>116</v>
      </c>
      <c r="B3231" t="s">
        <v>55</v>
      </c>
      <c r="C3231">
        <v>0</v>
      </c>
      <c r="D3231" t="s">
        <v>242</v>
      </c>
      <c r="E3231">
        <v>2020</v>
      </c>
      <c r="F3231">
        <v>6</v>
      </c>
    </row>
    <row r="3232" spans="1:6" x14ac:dyDescent="0.55000000000000004">
      <c r="A3232" t="s">
        <v>116</v>
      </c>
      <c r="B3232" t="s">
        <v>56</v>
      </c>
      <c r="C3232">
        <v>2500</v>
      </c>
      <c r="D3232" t="s">
        <v>242</v>
      </c>
      <c r="E3232">
        <v>2020</v>
      </c>
      <c r="F3232">
        <v>6</v>
      </c>
    </row>
    <row r="3233" spans="1:6" x14ac:dyDescent="0.55000000000000004">
      <c r="A3233" t="s">
        <v>116</v>
      </c>
      <c r="B3233" t="s">
        <v>57</v>
      </c>
      <c r="C3233">
        <v>119.101</v>
      </c>
      <c r="D3233" t="s">
        <v>242</v>
      </c>
      <c r="E3233">
        <v>2020</v>
      </c>
      <c r="F3233">
        <v>6</v>
      </c>
    </row>
    <row r="3234" spans="1:6" x14ac:dyDescent="0.55000000000000004">
      <c r="A3234" t="s">
        <v>116</v>
      </c>
      <c r="B3234" t="s">
        <v>58</v>
      </c>
      <c r="C3234">
        <v>420373</v>
      </c>
      <c r="D3234" t="s">
        <v>242</v>
      </c>
      <c r="E3234">
        <v>2020</v>
      </c>
      <c r="F3234">
        <v>6</v>
      </c>
    </row>
    <row r="3235" spans="1:6" x14ac:dyDescent="0.55000000000000004">
      <c r="A3235" t="s">
        <v>116</v>
      </c>
      <c r="B3235" t="s">
        <v>59</v>
      </c>
      <c r="C3235">
        <v>4600</v>
      </c>
      <c r="D3235" t="s">
        <v>242</v>
      </c>
      <c r="E3235">
        <v>2020</v>
      </c>
      <c r="F3235">
        <v>6</v>
      </c>
    </row>
    <row r="3236" spans="1:6" x14ac:dyDescent="0.55000000000000004">
      <c r="A3236" t="s">
        <v>116</v>
      </c>
      <c r="B3236" t="s">
        <v>60</v>
      </c>
      <c r="C3236">
        <v>2100000.0449999999</v>
      </c>
      <c r="D3236" t="s">
        <v>242</v>
      </c>
      <c r="E3236">
        <v>2020</v>
      </c>
      <c r="F3236">
        <v>6</v>
      </c>
    </row>
    <row r="3237" spans="1:6" x14ac:dyDescent="0.55000000000000004">
      <c r="A3237" t="s">
        <v>116</v>
      </c>
      <c r="B3237" t="s">
        <v>61</v>
      </c>
      <c r="C3237">
        <v>3740.0034999999998</v>
      </c>
      <c r="D3237" t="s">
        <v>242</v>
      </c>
      <c r="E3237">
        <v>2020</v>
      </c>
      <c r="F3237">
        <v>6</v>
      </c>
    </row>
    <row r="3238" spans="1:6" x14ac:dyDescent="0.55000000000000004">
      <c r="A3238" t="s">
        <v>116</v>
      </c>
      <c r="B3238" t="s">
        <v>62</v>
      </c>
      <c r="C3238">
        <v>5188.2</v>
      </c>
      <c r="D3238" t="s">
        <v>242</v>
      </c>
      <c r="E3238">
        <v>2020</v>
      </c>
      <c r="F3238">
        <v>6</v>
      </c>
    </row>
    <row r="3239" spans="1:6" x14ac:dyDescent="0.55000000000000004">
      <c r="A3239" t="s">
        <v>116</v>
      </c>
      <c r="B3239" t="s">
        <v>63</v>
      </c>
      <c r="C3239">
        <v>5.9499999999999997E-2</v>
      </c>
      <c r="D3239" t="s">
        <v>242</v>
      </c>
      <c r="E3239">
        <v>2020</v>
      </c>
      <c r="F3239">
        <v>6</v>
      </c>
    </row>
    <row r="3240" spans="1:6" x14ac:dyDescent="0.55000000000000004">
      <c r="A3240" t="s">
        <v>117</v>
      </c>
      <c r="B3240" t="s">
        <v>4</v>
      </c>
      <c r="C3240">
        <v>10478442.837400001</v>
      </c>
      <c r="D3240" t="s">
        <v>243</v>
      </c>
      <c r="E3240">
        <v>2020</v>
      </c>
      <c r="F3240">
        <v>7</v>
      </c>
    </row>
    <row r="3241" spans="1:6" x14ac:dyDescent="0.55000000000000004">
      <c r="A3241" t="s">
        <v>117</v>
      </c>
      <c r="B3241" t="s">
        <v>5</v>
      </c>
      <c r="C3241">
        <v>1205721.8289000001</v>
      </c>
      <c r="D3241" t="s">
        <v>243</v>
      </c>
      <c r="E3241">
        <v>2020</v>
      </c>
      <c r="F3241">
        <v>7</v>
      </c>
    </row>
    <row r="3242" spans="1:6" x14ac:dyDescent="0.55000000000000004">
      <c r="A3242" t="s">
        <v>117</v>
      </c>
      <c r="B3242" t="s">
        <v>6</v>
      </c>
      <c r="C3242">
        <v>2152094.6165999998</v>
      </c>
      <c r="D3242" t="s">
        <v>243</v>
      </c>
      <c r="E3242">
        <v>2020</v>
      </c>
      <c r="F3242">
        <v>7</v>
      </c>
    </row>
    <row r="3243" spans="1:6" x14ac:dyDescent="0.55000000000000004">
      <c r="A3243" t="s">
        <v>117</v>
      </c>
      <c r="B3243" t="s">
        <v>7</v>
      </c>
      <c r="C3243">
        <v>3134212.5814999999</v>
      </c>
      <c r="D3243" t="s">
        <v>243</v>
      </c>
      <c r="E3243">
        <v>2020</v>
      </c>
      <c r="F3243">
        <v>7</v>
      </c>
    </row>
    <row r="3244" spans="1:6" x14ac:dyDescent="0.55000000000000004">
      <c r="A3244" t="s">
        <v>117</v>
      </c>
      <c r="B3244" t="s">
        <v>8</v>
      </c>
      <c r="C3244">
        <v>3986413.8103999998</v>
      </c>
      <c r="D3244" t="s">
        <v>243</v>
      </c>
      <c r="E3244">
        <v>2020</v>
      </c>
      <c r="F3244">
        <v>7</v>
      </c>
    </row>
    <row r="3245" spans="1:6" x14ac:dyDescent="0.55000000000000004">
      <c r="A3245" t="s">
        <v>117</v>
      </c>
      <c r="B3245" t="s">
        <v>9</v>
      </c>
      <c r="C3245">
        <v>794.79830000000004</v>
      </c>
      <c r="D3245" t="s">
        <v>243</v>
      </c>
      <c r="E3245">
        <v>2020</v>
      </c>
      <c r="F3245">
        <v>7</v>
      </c>
    </row>
    <row r="3246" spans="1:6" x14ac:dyDescent="0.55000000000000004">
      <c r="A3246" t="s">
        <v>117</v>
      </c>
      <c r="B3246" t="s">
        <v>10</v>
      </c>
      <c r="C3246">
        <v>0</v>
      </c>
      <c r="D3246" t="s">
        <v>243</v>
      </c>
      <c r="E3246">
        <v>2020</v>
      </c>
      <c r="F3246">
        <v>7</v>
      </c>
    </row>
    <row r="3247" spans="1:6" x14ac:dyDescent="0.55000000000000004">
      <c r="A3247" t="s">
        <v>117</v>
      </c>
      <c r="B3247" t="s">
        <v>11</v>
      </c>
      <c r="C3247">
        <v>3242242.1192000001</v>
      </c>
      <c r="D3247" t="s">
        <v>243</v>
      </c>
      <c r="E3247">
        <v>2020</v>
      </c>
      <c r="F3247">
        <v>7</v>
      </c>
    </row>
    <row r="3248" spans="1:6" x14ac:dyDescent="0.55000000000000004">
      <c r="A3248" t="s">
        <v>117</v>
      </c>
      <c r="B3248" t="s">
        <v>12</v>
      </c>
      <c r="C3248">
        <v>8328.9667000000009</v>
      </c>
      <c r="D3248" t="s">
        <v>243</v>
      </c>
      <c r="E3248">
        <v>2020</v>
      </c>
      <c r="F3248">
        <v>7</v>
      </c>
    </row>
    <row r="3249" spans="1:6" x14ac:dyDescent="0.55000000000000004">
      <c r="A3249" t="s">
        <v>117</v>
      </c>
      <c r="B3249" t="s">
        <v>13</v>
      </c>
      <c r="C3249">
        <v>29797</v>
      </c>
      <c r="D3249" t="s">
        <v>243</v>
      </c>
      <c r="E3249">
        <v>2020</v>
      </c>
      <c r="F3249">
        <v>7</v>
      </c>
    </row>
    <row r="3250" spans="1:6" x14ac:dyDescent="0.55000000000000004">
      <c r="A3250" t="s">
        <v>117</v>
      </c>
      <c r="B3250" t="s">
        <v>14</v>
      </c>
      <c r="C3250">
        <v>0</v>
      </c>
      <c r="D3250" t="s">
        <v>243</v>
      </c>
      <c r="E3250">
        <v>2020</v>
      </c>
      <c r="F3250">
        <v>7</v>
      </c>
    </row>
    <row r="3251" spans="1:6" x14ac:dyDescent="0.55000000000000004">
      <c r="A3251" t="s">
        <v>117</v>
      </c>
      <c r="B3251" t="s">
        <v>15</v>
      </c>
      <c r="C3251">
        <v>1131777.5484</v>
      </c>
      <c r="D3251" t="s">
        <v>243</v>
      </c>
      <c r="E3251">
        <v>2020</v>
      </c>
      <c r="F3251">
        <v>7</v>
      </c>
    </row>
    <row r="3252" spans="1:6" x14ac:dyDescent="0.55000000000000004">
      <c r="A3252" t="s">
        <v>117</v>
      </c>
      <c r="B3252" t="s">
        <v>16</v>
      </c>
      <c r="C3252">
        <v>0</v>
      </c>
      <c r="D3252" t="s">
        <v>243</v>
      </c>
      <c r="E3252">
        <v>2020</v>
      </c>
      <c r="F3252">
        <v>7</v>
      </c>
    </row>
    <row r="3253" spans="1:6" x14ac:dyDescent="0.55000000000000004">
      <c r="A3253" t="s">
        <v>117</v>
      </c>
      <c r="B3253" t="s">
        <v>17</v>
      </c>
      <c r="C3253">
        <v>135479.2935</v>
      </c>
      <c r="D3253" t="s">
        <v>243</v>
      </c>
      <c r="E3253">
        <v>2020</v>
      </c>
      <c r="F3253">
        <v>7</v>
      </c>
    </row>
    <row r="3254" spans="1:6" x14ac:dyDescent="0.55000000000000004">
      <c r="A3254" t="s">
        <v>117</v>
      </c>
      <c r="B3254" t="s">
        <v>18</v>
      </c>
      <c r="C3254">
        <v>192549.3836</v>
      </c>
      <c r="D3254" t="s">
        <v>243</v>
      </c>
      <c r="E3254">
        <v>2020</v>
      </c>
      <c r="F3254">
        <v>7</v>
      </c>
    </row>
    <row r="3255" spans="1:6" x14ac:dyDescent="0.55000000000000004">
      <c r="A3255" t="s">
        <v>117</v>
      </c>
      <c r="B3255" t="s">
        <v>19</v>
      </c>
      <c r="C3255">
        <v>1927.1832999999999</v>
      </c>
      <c r="D3255" t="s">
        <v>243</v>
      </c>
      <c r="E3255">
        <v>2020</v>
      </c>
      <c r="F3255">
        <v>7</v>
      </c>
    </row>
    <row r="3256" spans="1:6" x14ac:dyDescent="0.55000000000000004">
      <c r="A3256" t="s">
        <v>117</v>
      </c>
      <c r="B3256" t="s">
        <v>20</v>
      </c>
      <c r="C3256">
        <v>20000</v>
      </c>
      <c r="D3256" t="s">
        <v>243</v>
      </c>
      <c r="E3256">
        <v>2020</v>
      </c>
      <c r="F3256">
        <v>7</v>
      </c>
    </row>
    <row r="3257" spans="1:6" x14ac:dyDescent="0.55000000000000004">
      <c r="A3257" t="s">
        <v>117</v>
      </c>
      <c r="B3257" t="s">
        <v>21</v>
      </c>
      <c r="C3257">
        <v>2059.1673999999998</v>
      </c>
      <c r="D3257" t="s">
        <v>243</v>
      </c>
      <c r="E3257">
        <v>2020</v>
      </c>
      <c r="F3257">
        <v>7</v>
      </c>
    </row>
    <row r="3258" spans="1:6" x14ac:dyDescent="0.55000000000000004">
      <c r="A3258" t="s">
        <v>117</v>
      </c>
      <c r="B3258" t="s">
        <v>22</v>
      </c>
      <c r="C3258">
        <v>28117.533800000001</v>
      </c>
      <c r="D3258" t="s">
        <v>243</v>
      </c>
      <c r="E3258">
        <v>2020</v>
      </c>
      <c r="F3258">
        <v>7</v>
      </c>
    </row>
    <row r="3259" spans="1:6" x14ac:dyDescent="0.55000000000000004">
      <c r="A3259" t="s">
        <v>117</v>
      </c>
      <c r="B3259" t="s">
        <v>23</v>
      </c>
      <c r="C3259">
        <v>33819.294900000001</v>
      </c>
      <c r="D3259" t="s">
        <v>243</v>
      </c>
      <c r="E3259">
        <v>2020</v>
      </c>
      <c r="F3259">
        <v>7</v>
      </c>
    </row>
    <row r="3260" spans="1:6" x14ac:dyDescent="0.55000000000000004">
      <c r="A3260" t="s">
        <v>117</v>
      </c>
      <c r="B3260" t="s">
        <v>24</v>
      </c>
      <c r="C3260">
        <v>0</v>
      </c>
      <c r="D3260" t="s">
        <v>243</v>
      </c>
      <c r="E3260">
        <v>2020</v>
      </c>
      <c r="F3260">
        <v>7</v>
      </c>
    </row>
    <row r="3261" spans="1:6" x14ac:dyDescent="0.55000000000000004">
      <c r="A3261" t="s">
        <v>117</v>
      </c>
      <c r="B3261" t="s">
        <v>25</v>
      </c>
      <c r="C3261">
        <v>358154.68329999998</v>
      </c>
      <c r="D3261" t="s">
        <v>243</v>
      </c>
      <c r="E3261">
        <v>2020</v>
      </c>
      <c r="F3261">
        <v>7</v>
      </c>
    </row>
    <row r="3262" spans="1:6" x14ac:dyDescent="0.55000000000000004">
      <c r="A3262" t="s">
        <v>117</v>
      </c>
      <c r="B3262" t="s">
        <v>26</v>
      </c>
      <c r="C3262">
        <v>0</v>
      </c>
      <c r="D3262" t="s">
        <v>243</v>
      </c>
      <c r="E3262">
        <v>2020</v>
      </c>
      <c r="F3262">
        <v>7</v>
      </c>
    </row>
    <row r="3263" spans="1:6" x14ac:dyDescent="0.55000000000000004">
      <c r="A3263" t="s">
        <v>117</v>
      </c>
      <c r="B3263" t="s">
        <v>27</v>
      </c>
      <c r="C3263">
        <v>15.6</v>
      </c>
      <c r="D3263" t="s">
        <v>243</v>
      </c>
      <c r="E3263">
        <v>2020</v>
      </c>
      <c r="F3263">
        <v>7</v>
      </c>
    </row>
    <row r="3264" spans="1:6" x14ac:dyDescent="0.55000000000000004">
      <c r="A3264" t="s">
        <v>117</v>
      </c>
      <c r="B3264" t="s">
        <v>28</v>
      </c>
      <c r="C3264">
        <v>302424.29200000002</v>
      </c>
      <c r="D3264" t="s">
        <v>243</v>
      </c>
      <c r="E3264">
        <v>2020</v>
      </c>
      <c r="F3264">
        <v>7</v>
      </c>
    </row>
    <row r="3265" spans="1:6" x14ac:dyDescent="0.55000000000000004">
      <c r="A3265" t="s">
        <v>117</v>
      </c>
      <c r="B3265" t="s">
        <v>29</v>
      </c>
      <c r="C3265">
        <v>0</v>
      </c>
      <c r="D3265" t="s">
        <v>243</v>
      </c>
      <c r="E3265">
        <v>2020</v>
      </c>
      <c r="F3265">
        <v>7</v>
      </c>
    </row>
    <row r="3266" spans="1:6" x14ac:dyDescent="0.55000000000000004">
      <c r="A3266" t="s">
        <v>117</v>
      </c>
      <c r="B3266" t="s">
        <v>30</v>
      </c>
      <c r="C3266">
        <v>100.88</v>
      </c>
      <c r="D3266" t="s">
        <v>243</v>
      </c>
      <c r="E3266">
        <v>2020</v>
      </c>
      <c r="F3266">
        <v>7</v>
      </c>
    </row>
    <row r="3267" spans="1:6" x14ac:dyDescent="0.55000000000000004">
      <c r="A3267" t="s">
        <v>117</v>
      </c>
      <c r="B3267" t="s">
        <v>31</v>
      </c>
      <c r="C3267">
        <v>500</v>
      </c>
      <c r="D3267" t="s">
        <v>243</v>
      </c>
      <c r="E3267">
        <v>2020</v>
      </c>
      <c r="F3267">
        <v>7</v>
      </c>
    </row>
    <row r="3268" spans="1:6" x14ac:dyDescent="0.55000000000000004">
      <c r="A3268" t="s">
        <v>117</v>
      </c>
      <c r="B3268" t="s">
        <v>32</v>
      </c>
      <c r="C3268">
        <v>326816.85930000001</v>
      </c>
      <c r="D3268" t="s">
        <v>243</v>
      </c>
      <c r="E3268">
        <v>2020</v>
      </c>
      <c r="F3268">
        <v>7</v>
      </c>
    </row>
    <row r="3269" spans="1:6" x14ac:dyDescent="0.55000000000000004">
      <c r="A3269" t="s">
        <v>117</v>
      </c>
      <c r="B3269" t="s">
        <v>33</v>
      </c>
      <c r="C3269">
        <v>476207.99229999998</v>
      </c>
      <c r="D3269" t="s">
        <v>243</v>
      </c>
      <c r="E3269">
        <v>2020</v>
      </c>
      <c r="F3269">
        <v>7</v>
      </c>
    </row>
    <row r="3270" spans="1:6" x14ac:dyDescent="0.55000000000000004">
      <c r="A3270" t="s">
        <v>117</v>
      </c>
      <c r="B3270" t="s">
        <v>34</v>
      </c>
      <c r="C3270">
        <v>667813.92420000001</v>
      </c>
      <c r="D3270" t="s">
        <v>243</v>
      </c>
      <c r="E3270">
        <v>2020</v>
      </c>
      <c r="F3270">
        <v>7</v>
      </c>
    </row>
    <row r="3271" spans="1:6" x14ac:dyDescent="0.55000000000000004">
      <c r="A3271" t="s">
        <v>117</v>
      </c>
      <c r="B3271" t="s">
        <v>35</v>
      </c>
      <c r="C3271">
        <v>1587.3914</v>
      </c>
      <c r="D3271" t="s">
        <v>243</v>
      </c>
      <c r="E3271">
        <v>2020</v>
      </c>
      <c r="F3271">
        <v>7</v>
      </c>
    </row>
    <row r="3272" spans="1:6" x14ac:dyDescent="0.55000000000000004">
      <c r="A3272" t="s">
        <v>117</v>
      </c>
      <c r="B3272" t="s">
        <v>36</v>
      </c>
      <c r="C3272">
        <v>68230.780499999993</v>
      </c>
      <c r="D3272" t="s">
        <v>243</v>
      </c>
      <c r="E3272">
        <v>2020</v>
      </c>
      <c r="F3272">
        <v>7</v>
      </c>
    </row>
    <row r="3273" spans="1:6" x14ac:dyDescent="0.55000000000000004">
      <c r="A3273" t="s">
        <v>117</v>
      </c>
      <c r="B3273" t="s">
        <v>37</v>
      </c>
      <c r="C3273">
        <v>64299.992299999998</v>
      </c>
      <c r="D3273" t="s">
        <v>243</v>
      </c>
      <c r="E3273">
        <v>2020</v>
      </c>
      <c r="F3273">
        <v>7</v>
      </c>
    </row>
    <row r="3274" spans="1:6" x14ac:dyDescent="0.55000000000000004">
      <c r="A3274" t="s">
        <v>117</v>
      </c>
      <c r="B3274" t="s">
        <v>38</v>
      </c>
      <c r="C3274">
        <v>0</v>
      </c>
      <c r="D3274" t="s">
        <v>243</v>
      </c>
      <c r="E3274">
        <v>2020</v>
      </c>
      <c r="F3274">
        <v>7</v>
      </c>
    </row>
    <row r="3275" spans="1:6" x14ac:dyDescent="0.55000000000000004">
      <c r="A3275" t="s">
        <v>117</v>
      </c>
      <c r="B3275" t="s">
        <v>39</v>
      </c>
      <c r="C3275">
        <v>1500.1</v>
      </c>
      <c r="D3275" t="s">
        <v>243</v>
      </c>
      <c r="E3275">
        <v>2020</v>
      </c>
      <c r="F3275">
        <v>7</v>
      </c>
    </row>
    <row r="3276" spans="1:6" x14ac:dyDescent="0.55000000000000004">
      <c r="A3276" t="s">
        <v>117</v>
      </c>
      <c r="B3276" t="s">
        <v>40</v>
      </c>
      <c r="C3276">
        <v>0</v>
      </c>
      <c r="D3276" t="s">
        <v>243</v>
      </c>
      <c r="E3276">
        <v>2020</v>
      </c>
      <c r="F3276">
        <v>7</v>
      </c>
    </row>
    <row r="3277" spans="1:6" x14ac:dyDescent="0.55000000000000004">
      <c r="A3277" t="s">
        <v>117</v>
      </c>
      <c r="B3277" t="s">
        <v>41</v>
      </c>
      <c r="C3277">
        <v>283616.26419999998</v>
      </c>
      <c r="D3277" t="s">
        <v>243</v>
      </c>
      <c r="E3277">
        <v>2020</v>
      </c>
      <c r="F3277">
        <v>7</v>
      </c>
    </row>
    <row r="3278" spans="1:6" x14ac:dyDescent="0.55000000000000004">
      <c r="A3278" t="s">
        <v>117</v>
      </c>
      <c r="B3278" t="s">
        <v>42</v>
      </c>
      <c r="C3278">
        <v>74.633300000000006</v>
      </c>
      <c r="D3278" t="s">
        <v>243</v>
      </c>
      <c r="E3278">
        <v>2020</v>
      </c>
      <c r="F3278">
        <v>7</v>
      </c>
    </row>
    <row r="3279" spans="1:6" x14ac:dyDescent="0.55000000000000004">
      <c r="A3279" t="s">
        <v>117</v>
      </c>
      <c r="B3279" t="s">
        <v>43</v>
      </c>
      <c r="C3279">
        <v>246522.59520000001</v>
      </c>
      <c r="D3279" t="s">
        <v>243</v>
      </c>
      <c r="E3279">
        <v>2020</v>
      </c>
      <c r="F3279">
        <v>7</v>
      </c>
    </row>
    <row r="3280" spans="1:6" x14ac:dyDescent="0.55000000000000004">
      <c r="A3280" t="s">
        <v>117</v>
      </c>
      <c r="B3280" t="s">
        <v>44</v>
      </c>
      <c r="C3280">
        <v>0</v>
      </c>
      <c r="D3280" t="s">
        <v>243</v>
      </c>
      <c r="E3280">
        <v>2020</v>
      </c>
      <c r="F3280">
        <v>7</v>
      </c>
    </row>
    <row r="3281" spans="1:6" x14ac:dyDescent="0.55000000000000004">
      <c r="A3281" t="s">
        <v>117</v>
      </c>
      <c r="B3281" t="s">
        <v>45</v>
      </c>
      <c r="C3281">
        <v>9076.6339000000007</v>
      </c>
      <c r="D3281" t="s">
        <v>243</v>
      </c>
      <c r="E3281">
        <v>2020</v>
      </c>
      <c r="F3281">
        <v>7</v>
      </c>
    </row>
    <row r="3282" spans="1:6" x14ac:dyDescent="0.55000000000000004">
      <c r="A3282" t="s">
        <v>117</v>
      </c>
      <c r="B3282" t="s">
        <v>46</v>
      </c>
      <c r="C3282">
        <v>75099</v>
      </c>
      <c r="D3282" t="s">
        <v>243</v>
      </c>
      <c r="E3282">
        <v>2020</v>
      </c>
      <c r="F3282">
        <v>7</v>
      </c>
    </row>
    <row r="3283" spans="1:6" x14ac:dyDescent="0.55000000000000004">
      <c r="A3283" t="s">
        <v>117</v>
      </c>
      <c r="B3283" t="s">
        <v>47</v>
      </c>
      <c r="C3283">
        <v>4.6833</v>
      </c>
      <c r="D3283" t="s">
        <v>243</v>
      </c>
      <c r="E3283">
        <v>2020</v>
      </c>
      <c r="F3283">
        <v>7</v>
      </c>
    </row>
    <row r="3284" spans="1:6" x14ac:dyDescent="0.55000000000000004">
      <c r="A3284" t="s">
        <v>117</v>
      </c>
      <c r="B3284" t="s">
        <v>48</v>
      </c>
      <c r="C3284">
        <v>350838.62170000002</v>
      </c>
      <c r="D3284" t="s">
        <v>243</v>
      </c>
      <c r="E3284">
        <v>2020</v>
      </c>
      <c r="F3284">
        <v>7</v>
      </c>
    </row>
    <row r="3285" spans="1:6" x14ac:dyDescent="0.55000000000000004">
      <c r="A3285" t="s">
        <v>117</v>
      </c>
      <c r="B3285" t="s">
        <v>49</v>
      </c>
      <c r="C3285">
        <v>7.9080000000000004</v>
      </c>
      <c r="D3285" t="s">
        <v>243</v>
      </c>
      <c r="E3285">
        <v>2020</v>
      </c>
      <c r="F3285">
        <v>7</v>
      </c>
    </row>
    <row r="3286" spans="1:6" x14ac:dyDescent="0.55000000000000004">
      <c r="A3286" t="s">
        <v>117</v>
      </c>
      <c r="B3286" t="s">
        <v>50</v>
      </c>
      <c r="C3286">
        <v>22549.883999999998</v>
      </c>
      <c r="D3286" t="s">
        <v>243</v>
      </c>
      <c r="E3286">
        <v>2020</v>
      </c>
      <c r="F3286">
        <v>7</v>
      </c>
    </row>
    <row r="3287" spans="1:6" x14ac:dyDescent="0.55000000000000004">
      <c r="A3287" t="s">
        <v>117</v>
      </c>
      <c r="B3287" t="s">
        <v>51</v>
      </c>
      <c r="C3287">
        <v>4000</v>
      </c>
      <c r="D3287" t="s">
        <v>243</v>
      </c>
      <c r="E3287">
        <v>2020</v>
      </c>
      <c r="F3287">
        <v>7</v>
      </c>
    </row>
    <row r="3288" spans="1:6" x14ac:dyDescent="0.55000000000000004">
      <c r="A3288" t="s">
        <v>117</v>
      </c>
      <c r="B3288" t="s">
        <v>52</v>
      </c>
      <c r="C3288">
        <v>130.8083</v>
      </c>
      <c r="D3288" t="s">
        <v>243</v>
      </c>
      <c r="E3288">
        <v>2020</v>
      </c>
      <c r="F3288">
        <v>7</v>
      </c>
    </row>
    <row r="3289" spans="1:6" x14ac:dyDescent="0.55000000000000004">
      <c r="A3289" t="s">
        <v>117</v>
      </c>
      <c r="B3289" t="s">
        <v>53</v>
      </c>
      <c r="C3289">
        <v>21337</v>
      </c>
      <c r="D3289" t="s">
        <v>243</v>
      </c>
      <c r="E3289">
        <v>2020</v>
      </c>
      <c r="F3289">
        <v>7</v>
      </c>
    </row>
    <row r="3290" spans="1:6" x14ac:dyDescent="0.55000000000000004">
      <c r="A3290" t="s">
        <v>117</v>
      </c>
      <c r="B3290" t="s">
        <v>54</v>
      </c>
      <c r="C3290">
        <v>13601.712799999999</v>
      </c>
      <c r="D3290" t="s">
        <v>243</v>
      </c>
      <c r="E3290">
        <v>2020</v>
      </c>
      <c r="F3290">
        <v>7</v>
      </c>
    </row>
    <row r="3291" spans="1:6" x14ac:dyDescent="0.55000000000000004">
      <c r="A3291" t="s">
        <v>117</v>
      </c>
      <c r="B3291" t="s">
        <v>55</v>
      </c>
      <c r="C3291">
        <v>1321.8333</v>
      </c>
      <c r="D3291" t="s">
        <v>243</v>
      </c>
      <c r="E3291">
        <v>2020</v>
      </c>
      <c r="F3291">
        <v>7</v>
      </c>
    </row>
    <row r="3292" spans="1:6" x14ac:dyDescent="0.55000000000000004">
      <c r="A3292" t="s">
        <v>117</v>
      </c>
      <c r="B3292" t="s">
        <v>56</v>
      </c>
      <c r="C3292">
        <v>2500</v>
      </c>
      <c r="D3292" t="s">
        <v>243</v>
      </c>
      <c r="E3292">
        <v>2020</v>
      </c>
      <c r="F3292">
        <v>7</v>
      </c>
    </row>
    <row r="3293" spans="1:6" x14ac:dyDescent="0.55000000000000004">
      <c r="A3293" t="s">
        <v>117</v>
      </c>
      <c r="B3293" t="s">
        <v>57</v>
      </c>
      <c r="C3293">
        <v>276.81970000000001</v>
      </c>
      <c r="D3293" t="s">
        <v>243</v>
      </c>
      <c r="E3293">
        <v>2020</v>
      </c>
      <c r="F3293">
        <v>7</v>
      </c>
    </row>
    <row r="3294" spans="1:6" x14ac:dyDescent="0.55000000000000004">
      <c r="A3294" t="s">
        <v>117</v>
      </c>
      <c r="B3294" t="s">
        <v>58</v>
      </c>
      <c r="C3294">
        <v>543251</v>
      </c>
      <c r="D3294" t="s">
        <v>243</v>
      </c>
      <c r="E3294">
        <v>2020</v>
      </c>
      <c r="F3294">
        <v>7</v>
      </c>
    </row>
    <row r="3295" spans="1:6" x14ac:dyDescent="0.55000000000000004">
      <c r="A3295" t="s">
        <v>117</v>
      </c>
      <c r="B3295" t="s">
        <v>59</v>
      </c>
      <c r="C3295">
        <v>1400</v>
      </c>
      <c r="D3295" t="s">
        <v>243</v>
      </c>
      <c r="E3295">
        <v>2020</v>
      </c>
      <c r="F3295">
        <v>7</v>
      </c>
    </row>
    <row r="3296" spans="1:6" x14ac:dyDescent="0.55000000000000004">
      <c r="A3296" t="s">
        <v>117</v>
      </c>
      <c r="B3296" t="s">
        <v>60</v>
      </c>
      <c r="C3296">
        <v>1800000.0559</v>
      </c>
      <c r="D3296" t="s">
        <v>243</v>
      </c>
      <c r="E3296">
        <v>2020</v>
      </c>
      <c r="F3296">
        <v>7</v>
      </c>
    </row>
    <row r="3297" spans="1:6" x14ac:dyDescent="0.55000000000000004">
      <c r="A3297" t="s">
        <v>117</v>
      </c>
      <c r="B3297" t="s">
        <v>61</v>
      </c>
      <c r="C3297">
        <v>4879.9993999999997</v>
      </c>
      <c r="D3297" t="s">
        <v>243</v>
      </c>
      <c r="E3297">
        <v>2020</v>
      </c>
      <c r="F3297">
        <v>7</v>
      </c>
    </row>
    <row r="3298" spans="1:6" x14ac:dyDescent="0.55000000000000004">
      <c r="A3298" t="s">
        <v>117</v>
      </c>
      <c r="B3298" t="s">
        <v>62</v>
      </c>
      <c r="C3298">
        <v>3408.6</v>
      </c>
      <c r="D3298" t="s">
        <v>243</v>
      </c>
      <c r="E3298">
        <v>2020</v>
      </c>
      <c r="F3298">
        <v>7</v>
      </c>
    </row>
    <row r="3299" spans="1:6" x14ac:dyDescent="0.55000000000000004">
      <c r="A3299" t="s">
        <v>117</v>
      </c>
      <c r="B3299" t="s">
        <v>63</v>
      </c>
      <c r="C3299">
        <v>0</v>
      </c>
      <c r="D3299" t="s">
        <v>243</v>
      </c>
      <c r="E3299">
        <v>2020</v>
      </c>
      <c r="F3299">
        <v>7</v>
      </c>
    </row>
    <row r="3300" spans="1:6" x14ac:dyDescent="0.55000000000000004">
      <c r="A3300" t="s">
        <v>118</v>
      </c>
      <c r="B3300" t="s">
        <v>4</v>
      </c>
      <c r="C3300">
        <v>10172239.912699999</v>
      </c>
      <c r="D3300" t="s">
        <v>244</v>
      </c>
      <c r="E3300">
        <v>2020</v>
      </c>
      <c r="F3300">
        <v>8</v>
      </c>
    </row>
    <row r="3301" spans="1:6" x14ac:dyDescent="0.55000000000000004">
      <c r="A3301" t="s">
        <v>118</v>
      </c>
      <c r="B3301" t="s">
        <v>5</v>
      </c>
      <c r="C3301">
        <v>1181722.6669999999</v>
      </c>
      <c r="D3301" t="s">
        <v>244</v>
      </c>
      <c r="E3301">
        <v>2020</v>
      </c>
      <c r="F3301">
        <v>8</v>
      </c>
    </row>
    <row r="3302" spans="1:6" x14ac:dyDescent="0.55000000000000004">
      <c r="A3302" t="s">
        <v>118</v>
      </c>
      <c r="B3302" t="s">
        <v>6</v>
      </c>
      <c r="C3302">
        <v>1840404.4506999999</v>
      </c>
      <c r="D3302" t="s">
        <v>244</v>
      </c>
      <c r="E3302">
        <v>2020</v>
      </c>
      <c r="F3302">
        <v>8</v>
      </c>
    </row>
    <row r="3303" spans="1:6" x14ac:dyDescent="0.55000000000000004">
      <c r="A3303" t="s">
        <v>118</v>
      </c>
      <c r="B3303" t="s">
        <v>7</v>
      </c>
      <c r="C3303">
        <v>3441006.0976999998</v>
      </c>
      <c r="D3303" t="s">
        <v>244</v>
      </c>
      <c r="E3303">
        <v>2020</v>
      </c>
      <c r="F3303">
        <v>8</v>
      </c>
    </row>
    <row r="3304" spans="1:6" x14ac:dyDescent="0.55000000000000004">
      <c r="A3304" t="s">
        <v>118</v>
      </c>
      <c r="B3304" t="s">
        <v>8</v>
      </c>
      <c r="C3304">
        <v>3709106.6973000001</v>
      </c>
      <c r="D3304" t="s">
        <v>244</v>
      </c>
      <c r="E3304">
        <v>2020</v>
      </c>
      <c r="F3304">
        <v>8</v>
      </c>
    </row>
    <row r="3305" spans="1:6" x14ac:dyDescent="0.55000000000000004">
      <c r="A3305" t="s">
        <v>118</v>
      </c>
      <c r="B3305" t="s">
        <v>9</v>
      </c>
      <c r="C3305">
        <v>321.3202</v>
      </c>
      <c r="D3305" t="s">
        <v>244</v>
      </c>
      <c r="E3305">
        <v>2020</v>
      </c>
      <c r="F3305">
        <v>8</v>
      </c>
    </row>
    <row r="3306" spans="1:6" x14ac:dyDescent="0.55000000000000004">
      <c r="A3306" t="s">
        <v>118</v>
      </c>
      <c r="B3306" t="s">
        <v>10</v>
      </c>
      <c r="C3306">
        <v>891.23329999999999</v>
      </c>
      <c r="D3306" t="s">
        <v>244</v>
      </c>
      <c r="E3306">
        <v>2020</v>
      </c>
      <c r="F3306">
        <v>8</v>
      </c>
    </row>
    <row r="3307" spans="1:6" x14ac:dyDescent="0.55000000000000004">
      <c r="A3307" t="s">
        <v>118</v>
      </c>
      <c r="B3307" t="s">
        <v>11</v>
      </c>
      <c r="C3307">
        <v>3574279.8295999998</v>
      </c>
      <c r="D3307" t="s">
        <v>244</v>
      </c>
      <c r="E3307">
        <v>2020</v>
      </c>
      <c r="F3307">
        <v>8</v>
      </c>
    </row>
    <row r="3308" spans="1:6" x14ac:dyDescent="0.55000000000000004">
      <c r="A3308" t="s">
        <v>118</v>
      </c>
      <c r="B3308" t="s">
        <v>12</v>
      </c>
      <c r="C3308">
        <v>12534.6667</v>
      </c>
      <c r="D3308" t="s">
        <v>244</v>
      </c>
      <c r="E3308">
        <v>2020</v>
      </c>
      <c r="F3308">
        <v>8</v>
      </c>
    </row>
    <row r="3309" spans="1:6" x14ac:dyDescent="0.55000000000000004">
      <c r="A3309" t="s">
        <v>118</v>
      </c>
      <c r="B3309" t="s">
        <v>13</v>
      </c>
      <c r="C3309">
        <v>12091</v>
      </c>
      <c r="D3309" t="s">
        <v>244</v>
      </c>
      <c r="E3309">
        <v>2020</v>
      </c>
      <c r="F3309">
        <v>8</v>
      </c>
    </row>
    <row r="3310" spans="1:6" x14ac:dyDescent="0.55000000000000004">
      <c r="A3310" t="s">
        <v>118</v>
      </c>
      <c r="B3310" t="s">
        <v>14</v>
      </c>
      <c r="C3310">
        <v>0</v>
      </c>
      <c r="D3310" t="s">
        <v>244</v>
      </c>
      <c r="E3310">
        <v>2020</v>
      </c>
      <c r="F3310">
        <v>8</v>
      </c>
    </row>
    <row r="3311" spans="1:6" x14ac:dyDescent="0.55000000000000004">
      <c r="A3311" t="s">
        <v>118</v>
      </c>
      <c r="B3311" t="s">
        <v>15</v>
      </c>
      <c r="C3311">
        <v>1117792.7955</v>
      </c>
      <c r="D3311" t="s">
        <v>244</v>
      </c>
      <c r="E3311">
        <v>2020</v>
      </c>
      <c r="F3311">
        <v>8</v>
      </c>
    </row>
    <row r="3312" spans="1:6" x14ac:dyDescent="0.55000000000000004">
      <c r="A3312" t="s">
        <v>118</v>
      </c>
      <c r="B3312" t="s">
        <v>16</v>
      </c>
      <c r="C3312">
        <v>0</v>
      </c>
      <c r="D3312" t="s">
        <v>244</v>
      </c>
      <c r="E3312">
        <v>2020</v>
      </c>
      <c r="F3312">
        <v>8</v>
      </c>
    </row>
    <row r="3313" spans="1:6" x14ac:dyDescent="0.55000000000000004">
      <c r="A3313" t="s">
        <v>118</v>
      </c>
      <c r="B3313" t="s">
        <v>17</v>
      </c>
      <c r="C3313">
        <v>115622.75229999999</v>
      </c>
      <c r="D3313" t="s">
        <v>244</v>
      </c>
      <c r="E3313">
        <v>2020</v>
      </c>
      <c r="F3313">
        <v>8</v>
      </c>
    </row>
    <row r="3314" spans="1:6" x14ac:dyDescent="0.55000000000000004">
      <c r="A3314" t="s">
        <v>118</v>
      </c>
      <c r="B3314" t="s">
        <v>18</v>
      </c>
      <c r="C3314">
        <v>45154.149899999997</v>
      </c>
      <c r="D3314" t="s">
        <v>244</v>
      </c>
      <c r="E3314">
        <v>2020</v>
      </c>
      <c r="F3314">
        <v>8</v>
      </c>
    </row>
    <row r="3315" spans="1:6" x14ac:dyDescent="0.55000000000000004">
      <c r="A3315" t="s">
        <v>118</v>
      </c>
      <c r="B3315" t="s">
        <v>19</v>
      </c>
      <c r="C3315">
        <v>1927.1832999999999</v>
      </c>
      <c r="D3315" t="s">
        <v>244</v>
      </c>
      <c r="E3315">
        <v>2020</v>
      </c>
      <c r="F3315">
        <v>8</v>
      </c>
    </row>
    <row r="3316" spans="1:6" x14ac:dyDescent="0.55000000000000004">
      <c r="A3316" t="s">
        <v>118</v>
      </c>
      <c r="B3316" t="s">
        <v>20</v>
      </c>
      <c r="C3316">
        <v>20000</v>
      </c>
      <c r="D3316" t="s">
        <v>244</v>
      </c>
      <c r="E3316">
        <v>2020</v>
      </c>
      <c r="F3316">
        <v>8</v>
      </c>
    </row>
    <row r="3317" spans="1:6" x14ac:dyDescent="0.55000000000000004">
      <c r="A3317" t="s">
        <v>118</v>
      </c>
      <c r="B3317" t="s">
        <v>21</v>
      </c>
      <c r="C3317">
        <v>1621.9906000000001</v>
      </c>
      <c r="D3317" t="s">
        <v>244</v>
      </c>
      <c r="E3317">
        <v>2020</v>
      </c>
      <c r="F3317">
        <v>8</v>
      </c>
    </row>
    <row r="3318" spans="1:6" x14ac:dyDescent="0.55000000000000004">
      <c r="A3318" t="s">
        <v>118</v>
      </c>
      <c r="B3318" t="s">
        <v>22</v>
      </c>
      <c r="C3318">
        <v>37150.691800000001</v>
      </c>
      <c r="D3318" t="s">
        <v>244</v>
      </c>
      <c r="E3318">
        <v>2020</v>
      </c>
      <c r="F3318">
        <v>8</v>
      </c>
    </row>
    <row r="3319" spans="1:6" x14ac:dyDescent="0.55000000000000004">
      <c r="A3319" t="s">
        <v>118</v>
      </c>
      <c r="B3319" t="s">
        <v>23</v>
      </c>
      <c r="C3319">
        <v>29741.094499999999</v>
      </c>
      <c r="D3319" t="s">
        <v>244</v>
      </c>
      <c r="E3319">
        <v>2020</v>
      </c>
      <c r="F3319">
        <v>8</v>
      </c>
    </row>
    <row r="3320" spans="1:6" x14ac:dyDescent="0.55000000000000004">
      <c r="A3320" t="s">
        <v>118</v>
      </c>
      <c r="B3320" t="s">
        <v>24</v>
      </c>
      <c r="C3320">
        <v>0</v>
      </c>
      <c r="D3320" t="s">
        <v>244</v>
      </c>
      <c r="E3320">
        <v>2020</v>
      </c>
      <c r="F3320">
        <v>8</v>
      </c>
    </row>
    <row r="3321" spans="1:6" x14ac:dyDescent="0.55000000000000004">
      <c r="A3321" t="s">
        <v>118</v>
      </c>
      <c r="B3321" t="s">
        <v>25</v>
      </c>
      <c r="C3321">
        <v>318196.95</v>
      </c>
      <c r="D3321" t="s">
        <v>244</v>
      </c>
      <c r="E3321">
        <v>2020</v>
      </c>
      <c r="F3321">
        <v>8</v>
      </c>
    </row>
    <row r="3322" spans="1:6" x14ac:dyDescent="0.55000000000000004">
      <c r="A3322" t="s">
        <v>118</v>
      </c>
      <c r="B3322" t="s">
        <v>26</v>
      </c>
      <c r="C3322">
        <v>0</v>
      </c>
      <c r="D3322" t="s">
        <v>244</v>
      </c>
      <c r="E3322">
        <v>2020</v>
      </c>
      <c r="F3322">
        <v>8</v>
      </c>
    </row>
    <row r="3323" spans="1:6" x14ac:dyDescent="0.55000000000000004">
      <c r="A3323" t="s">
        <v>118</v>
      </c>
      <c r="B3323" t="s">
        <v>27</v>
      </c>
      <c r="C3323">
        <v>123.431</v>
      </c>
      <c r="D3323" t="s">
        <v>244</v>
      </c>
      <c r="E3323">
        <v>2020</v>
      </c>
      <c r="F3323">
        <v>8</v>
      </c>
    </row>
    <row r="3324" spans="1:6" x14ac:dyDescent="0.55000000000000004">
      <c r="A3324" t="s">
        <v>118</v>
      </c>
      <c r="B3324" t="s">
        <v>28</v>
      </c>
      <c r="C3324">
        <v>193759.2009</v>
      </c>
      <c r="D3324" t="s">
        <v>244</v>
      </c>
      <c r="E3324">
        <v>2020</v>
      </c>
      <c r="F3324">
        <v>8</v>
      </c>
    </row>
    <row r="3325" spans="1:6" x14ac:dyDescent="0.55000000000000004">
      <c r="A3325" t="s">
        <v>118</v>
      </c>
      <c r="B3325" t="s">
        <v>29</v>
      </c>
      <c r="C3325">
        <v>0</v>
      </c>
      <c r="D3325" t="s">
        <v>244</v>
      </c>
      <c r="E3325">
        <v>2020</v>
      </c>
      <c r="F3325">
        <v>8</v>
      </c>
    </row>
    <row r="3326" spans="1:6" x14ac:dyDescent="0.55000000000000004">
      <c r="A3326" t="s">
        <v>118</v>
      </c>
      <c r="B3326" t="s">
        <v>30</v>
      </c>
      <c r="C3326">
        <v>125.88330000000001</v>
      </c>
      <c r="D3326" t="s">
        <v>244</v>
      </c>
      <c r="E3326">
        <v>2020</v>
      </c>
      <c r="F3326">
        <v>8</v>
      </c>
    </row>
    <row r="3327" spans="1:6" x14ac:dyDescent="0.55000000000000004">
      <c r="A3327" t="s">
        <v>118</v>
      </c>
      <c r="B3327" t="s">
        <v>31</v>
      </c>
      <c r="C3327">
        <v>100</v>
      </c>
      <c r="D3327" t="s">
        <v>244</v>
      </c>
      <c r="E3327">
        <v>2020</v>
      </c>
      <c r="F3327">
        <v>8</v>
      </c>
    </row>
    <row r="3328" spans="1:6" x14ac:dyDescent="0.55000000000000004">
      <c r="A3328" t="s">
        <v>118</v>
      </c>
      <c r="B3328" t="s">
        <v>32</v>
      </c>
      <c r="C3328">
        <v>183584.29029999999</v>
      </c>
      <c r="D3328" t="s">
        <v>244</v>
      </c>
      <c r="E3328">
        <v>2020</v>
      </c>
      <c r="F3328">
        <v>8</v>
      </c>
    </row>
    <row r="3329" spans="1:6" x14ac:dyDescent="0.55000000000000004">
      <c r="A3329" t="s">
        <v>118</v>
      </c>
      <c r="B3329" t="s">
        <v>33</v>
      </c>
      <c r="C3329">
        <v>407955.17080000002</v>
      </c>
      <c r="D3329" t="s">
        <v>244</v>
      </c>
      <c r="E3329">
        <v>2020</v>
      </c>
      <c r="F3329">
        <v>8</v>
      </c>
    </row>
    <row r="3330" spans="1:6" x14ac:dyDescent="0.55000000000000004">
      <c r="A3330" t="s">
        <v>118</v>
      </c>
      <c r="B3330" t="s">
        <v>34</v>
      </c>
      <c r="C3330">
        <v>756121.51560000004</v>
      </c>
      <c r="D3330" t="s">
        <v>244</v>
      </c>
      <c r="E3330">
        <v>2020</v>
      </c>
      <c r="F3330">
        <v>8</v>
      </c>
    </row>
    <row r="3331" spans="1:6" x14ac:dyDescent="0.55000000000000004">
      <c r="A3331" t="s">
        <v>118</v>
      </c>
      <c r="B3331" t="s">
        <v>35</v>
      </c>
      <c r="C3331">
        <v>723.32799999999997</v>
      </c>
      <c r="D3331" t="s">
        <v>244</v>
      </c>
      <c r="E3331">
        <v>2020</v>
      </c>
      <c r="F3331">
        <v>8</v>
      </c>
    </row>
    <row r="3332" spans="1:6" x14ac:dyDescent="0.55000000000000004">
      <c r="A3332" t="s">
        <v>118</v>
      </c>
      <c r="B3332" t="s">
        <v>36</v>
      </c>
      <c r="C3332">
        <v>60772.871500000001</v>
      </c>
      <c r="D3332" t="s">
        <v>244</v>
      </c>
      <c r="E3332">
        <v>2020</v>
      </c>
      <c r="F3332">
        <v>8</v>
      </c>
    </row>
    <row r="3333" spans="1:6" x14ac:dyDescent="0.55000000000000004">
      <c r="A3333" t="s">
        <v>118</v>
      </c>
      <c r="B3333" t="s">
        <v>37</v>
      </c>
      <c r="C3333">
        <v>62100.0003</v>
      </c>
      <c r="D3333" t="s">
        <v>244</v>
      </c>
      <c r="E3333">
        <v>2020</v>
      </c>
      <c r="F3333">
        <v>8</v>
      </c>
    </row>
    <row r="3334" spans="1:6" x14ac:dyDescent="0.55000000000000004">
      <c r="A3334" t="s">
        <v>118</v>
      </c>
      <c r="B3334" t="s">
        <v>38</v>
      </c>
      <c r="C3334">
        <v>0</v>
      </c>
      <c r="D3334" t="s">
        <v>244</v>
      </c>
      <c r="E3334">
        <v>2020</v>
      </c>
      <c r="F3334">
        <v>8</v>
      </c>
    </row>
    <row r="3335" spans="1:6" x14ac:dyDescent="0.55000000000000004">
      <c r="A3335" t="s">
        <v>118</v>
      </c>
      <c r="B3335" t="s">
        <v>39</v>
      </c>
      <c r="C3335">
        <v>11401.6216</v>
      </c>
      <c r="D3335" t="s">
        <v>244</v>
      </c>
      <c r="E3335">
        <v>2020</v>
      </c>
      <c r="F3335">
        <v>8</v>
      </c>
    </row>
    <row r="3336" spans="1:6" x14ac:dyDescent="0.55000000000000004">
      <c r="A3336" t="s">
        <v>118</v>
      </c>
      <c r="B3336" t="s">
        <v>40</v>
      </c>
      <c r="C3336">
        <v>303.56670000000003</v>
      </c>
      <c r="D3336" t="s">
        <v>244</v>
      </c>
      <c r="E3336">
        <v>2020</v>
      </c>
      <c r="F3336">
        <v>8</v>
      </c>
    </row>
    <row r="3337" spans="1:6" x14ac:dyDescent="0.55000000000000004">
      <c r="A3337" t="s">
        <v>118</v>
      </c>
      <c r="B3337" t="s">
        <v>41</v>
      </c>
      <c r="C3337">
        <v>246361.78260000001</v>
      </c>
      <c r="D3337" t="s">
        <v>244</v>
      </c>
      <c r="E3337">
        <v>2020</v>
      </c>
      <c r="F3337">
        <v>8</v>
      </c>
    </row>
    <row r="3338" spans="1:6" x14ac:dyDescent="0.55000000000000004">
      <c r="A3338" t="s">
        <v>118</v>
      </c>
      <c r="B3338" t="s">
        <v>42</v>
      </c>
      <c r="C3338">
        <v>109.6</v>
      </c>
      <c r="D3338" t="s">
        <v>244</v>
      </c>
      <c r="E3338">
        <v>2020</v>
      </c>
      <c r="F3338">
        <v>8</v>
      </c>
    </row>
    <row r="3339" spans="1:6" x14ac:dyDescent="0.55000000000000004">
      <c r="A3339" t="s">
        <v>118</v>
      </c>
      <c r="B3339" t="s">
        <v>43</v>
      </c>
      <c r="C3339">
        <v>116675.2452</v>
      </c>
      <c r="D3339" t="s">
        <v>244</v>
      </c>
      <c r="E3339">
        <v>2020</v>
      </c>
      <c r="F3339">
        <v>8</v>
      </c>
    </row>
    <row r="3340" spans="1:6" x14ac:dyDescent="0.55000000000000004">
      <c r="A3340" t="s">
        <v>118</v>
      </c>
      <c r="B3340" t="s">
        <v>44</v>
      </c>
      <c r="C3340">
        <v>0</v>
      </c>
      <c r="D3340" t="s">
        <v>244</v>
      </c>
      <c r="E3340">
        <v>2020</v>
      </c>
      <c r="F3340">
        <v>8</v>
      </c>
    </row>
    <row r="3341" spans="1:6" x14ac:dyDescent="0.55000000000000004">
      <c r="A3341" t="s">
        <v>118</v>
      </c>
      <c r="B3341" t="s">
        <v>45</v>
      </c>
      <c r="C3341">
        <v>4126.2458999999999</v>
      </c>
      <c r="D3341" t="s">
        <v>244</v>
      </c>
      <c r="E3341">
        <v>2020</v>
      </c>
      <c r="F3341">
        <v>8</v>
      </c>
    </row>
    <row r="3342" spans="1:6" x14ac:dyDescent="0.55000000000000004">
      <c r="A3342" t="s">
        <v>118</v>
      </c>
      <c r="B3342" t="s">
        <v>46</v>
      </c>
      <c r="C3342">
        <v>76977.33</v>
      </c>
      <c r="D3342" t="s">
        <v>244</v>
      </c>
      <c r="E3342">
        <v>2020</v>
      </c>
      <c r="F3342">
        <v>8</v>
      </c>
    </row>
    <row r="3343" spans="1:6" x14ac:dyDescent="0.55000000000000004">
      <c r="A3343" t="s">
        <v>118</v>
      </c>
      <c r="B3343" t="s">
        <v>47</v>
      </c>
      <c r="C3343">
        <v>0</v>
      </c>
      <c r="D3343" t="s">
        <v>244</v>
      </c>
      <c r="E3343">
        <v>2020</v>
      </c>
      <c r="F3343">
        <v>8</v>
      </c>
    </row>
    <row r="3344" spans="1:6" x14ac:dyDescent="0.55000000000000004">
      <c r="A3344" t="s">
        <v>118</v>
      </c>
      <c r="B3344" t="s">
        <v>48</v>
      </c>
      <c r="C3344">
        <v>507169.32449999999</v>
      </c>
      <c r="D3344" t="s">
        <v>244</v>
      </c>
      <c r="E3344">
        <v>2020</v>
      </c>
      <c r="F3344">
        <v>8</v>
      </c>
    </row>
    <row r="3345" spans="1:6" x14ac:dyDescent="0.55000000000000004">
      <c r="A3345" t="s">
        <v>118</v>
      </c>
      <c r="B3345" t="s">
        <v>49</v>
      </c>
      <c r="C3345">
        <v>1379.6506999999999</v>
      </c>
      <c r="D3345" t="s">
        <v>244</v>
      </c>
      <c r="E3345">
        <v>2020</v>
      </c>
      <c r="F3345">
        <v>8</v>
      </c>
    </row>
    <row r="3346" spans="1:6" x14ac:dyDescent="0.55000000000000004">
      <c r="A3346" t="s">
        <v>118</v>
      </c>
      <c r="B3346" t="s">
        <v>50</v>
      </c>
      <c r="C3346">
        <v>27377.990600000001</v>
      </c>
      <c r="D3346" t="s">
        <v>244</v>
      </c>
      <c r="E3346">
        <v>2020</v>
      </c>
      <c r="F3346">
        <v>8</v>
      </c>
    </row>
    <row r="3347" spans="1:6" x14ac:dyDescent="0.55000000000000004">
      <c r="A3347" t="s">
        <v>118</v>
      </c>
      <c r="B3347" t="s">
        <v>51</v>
      </c>
      <c r="C3347">
        <v>3000</v>
      </c>
      <c r="D3347" t="s">
        <v>244</v>
      </c>
      <c r="E3347">
        <v>2020</v>
      </c>
      <c r="F3347">
        <v>8</v>
      </c>
    </row>
    <row r="3348" spans="1:6" x14ac:dyDescent="0.55000000000000004">
      <c r="A3348" t="s">
        <v>118</v>
      </c>
      <c r="B3348" t="s">
        <v>52</v>
      </c>
      <c r="C3348">
        <v>130.8083</v>
      </c>
      <c r="D3348" t="s">
        <v>244</v>
      </c>
      <c r="E3348">
        <v>2020</v>
      </c>
      <c r="F3348">
        <v>8</v>
      </c>
    </row>
    <row r="3349" spans="1:6" x14ac:dyDescent="0.55000000000000004">
      <c r="A3349" t="s">
        <v>118</v>
      </c>
      <c r="B3349" t="s">
        <v>53</v>
      </c>
      <c r="C3349">
        <v>12112.95</v>
      </c>
      <c r="D3349" t="s">
        <v>244</v>
      </c>
      <c r="E3349">
        <v>2020</v>
      </c>
      <c r="F3349">
        <v>8</v>
      </c>
    </row>
    <row r="3350" spans="1:6" x14ac:dyDescent="0.55000000000000004">
      <c r="A3350" t="s">
        <v>118</v>
      </c>
      <c r="B3350" t="s">
        <v>54</v>
      </c>
      <c r="C3350">
        <v>20635.3891</v>
      </c>
      <c r="D3350" t="s">
        <v>244</v>
      </c>
      <c r="E3350">
        <v>2020</v>
      </c>
      <c r="F3350">
        <v>8</v>
      </c>
    </row>
    <row r="3351" spans="1:6" x14ac:dyDescent="0.55000000000000004">
      <c r="A3351" t="s">
        <v>118</v>
      </c>
      <c r="B3351" t="s">
        <v>55</v>
      </c>
      <c r="C3351">
        <v>2820</v>
      </c>
      <c r="D3351" t="s">
        <v>244</v>
      </c>
      <c r="E3351">
        <v>2020</v>
      </c>
      <c r="F3351">
        <v>8</v>
      </c>
    </row>
    <row r="3352" spans="1:6" x14ac:dyDescent="0.55000000000000004">
      <c r="A3352" t="s">
        <v>118</v>
      </c>
      <c r="B3352" t="s">
        <v>56</v>
      </c>
      <c r="C3352">
        <v>4000</v>
      </c>
      <c r="D3352" t="s">
        <v>244</v>
      </c>
      <c r="E3352">
        <v>2020</v>
      </c>
      <c r="F3352">
        <v>8</v>
      </c>
    </row>
    <row r="3353" spans="1:6" x14ac:dyDescent="0.55000000000000004">
      <c r="A3353" t="s">
        <v>118</v>
      </c>
      <c r="B3353" t="s">
        <v>57</v>
      </c>
      <c r="C3353">
        <v>181.76</v>
      </c>
      <c r="D3353" t="s">
        <v>244</v>
      </c>
      <c r="E3353">
        <v>2020</v>
      </c>
      <c r="F3353">
        <v>8</v>
      </c>
    </row>
    <row r="3354" spans="1:6" x14ac:dyDescent="0.55000000000000004">
      <c r="A3354" t="s">
        <v>118</v>
      </c>
      <c r="B3354" t="s">
        <v>58</v>
      </c>
      <c r="C3354">
        <v>519682.99</v>
      </c>
      <c r="D3354" t="s">
        <v>244</v>
      </c>
      <c r="E3354">
        <v>2020</v>
      </c>
      <c r="F3354">
        <v>8</v>
      </c>
    </row>
    <row r="3355" spans="1:6" x14ac:dyDescent="0.55000000000000004">
      <c r="A3355" t="s">
        <v>118</v>
      </c>
      <c r="B3355" t="s">
        <v>59</v>
      </c>
      <c r="C3355">
        <v>6300</v>
      </c>
      <c r="D3355" t="s">
        <v>244</v>
      </c>
      <c r="E3355">
        <v>2020</v>
      </c>
      <c r="F3355">
        <v>8</v>
      </c>
    </row>
    <row r="3356" spans="1:6" x14ac:dyDescent="0.55000000000000004">
      <c r="A3356" t="s">
        <v>118</v>
      </c>
      <c r="B3356" t="s">
        <v>60</v>
      </c>
      <c r="C3356">
        <v>1650000.1046</v>
      </c>
      <c r="D3356" t="s">
        <v>244</v>
      </c>
      <c r="E3356">
        <v>2020</v>
      </c>
      <c r="F3356">
        <v>8</v>
      </c>
    </row>
    <row r="3357" spans="1:6" x14ac:dyDescent="0.55000000000000004">
      <c r="A3357" t="s">
        <v>118</v>
      </c>
      <c r="B3357" t="s">
        <v>61</v>
      </c>
      <c r="C3357">
        <v>3940.0034999999998</v>
      </c>
      <c r="D3357" t="s">
        <v>244</v>
      </c>
      <c r="E3357">
        <v>2020</v>
      </c>
      <c r="F3357">
        <v>8</v>
      </c>
    </row>
    <row r="3358" spans="1:6" x14ac:dyDescent="0.55000000000000004">
      <c r="A3358" t="s">
        <v>118</v>
      </c>
      <c r="B3358" t="s">
        <v>62</v>
      </c>
      <c r="C3358">
        <v>4862.2</v>
      </c>
      <c r="D3358" t="s">
        <v>244</v>
      </c>
      <c r="E3358">
        <v>2020</v>
      </c>
      <c r="F3358">
        <v>8</v>
      </c>
    </row>
    <row r="3359" spans="1:6" x14ac:dyDescent="0.55000000000000004">
      <c r="A3359" t="s">
        <v>118</v>
      </c>
      <c r="B3359" t="s">
        <v>63</v>
      </c>
      <c r="C3359">
        <v>0</v>
      </c>
      <c r="D3359" t="s">
        <v>244</v>
      </c>
      <c r="E3359">
        <v>2020</v>
      </c>
      <c r="F3359">
        <v>8</v>
      </c>
    </row>
    <row r="3360" spans="1:6" x14ac:dyDescent="0.55000000000000004">
      <c r="A3360" t="s">
        <v>119</v>
      </c>
      <c r="B3360" t="s">
        <v>4</v>
      </c>
      <c r="C3360">
        <v>10630604.368000001</v>
      </c>
      <c r="D3360" t="s">
        <v>245</v>
      </c>
      <c r="E3360">
        <v>2020</v>
      </c>
      <c r="F3360">
        <v>9</v>
      </c>
    </row>
    <row r="3361" spans="1:6" x14ac:dyDescent="0.55000000000000004">
      <c r="A3361" t="s">
        <v>119</v>
      </c>
      <c r="B3361" t="s">
        <v>5</v>
      </c>
      <c r="C3361">
        <v>953388.89659999998</v>
      </c>
      <c r="D3361" t="s">
        <v>245</v>
      </c>
      <c r="E3361">
        <v>2020</v>
      </c>
      <c r="F3361">
        <v>9</v>
      </c>
    </row>
    <row r="3362" spans="1:6" x14ac:dyDescent="0.55000000000000004">
      <c r="A3362" t="s">
        <v>119</v>
      </c>
      <c r="B3362" t="s">
        <v>6</v>
      </c>
      <c r="C3362">
        <v>1890532.2577</v>
      </c>
      <c r="D3362" t="s">
        <v>245</v>
      </c>
      <c r="E3362">
        <v>2020</v>
      </c>
      <c r="F3362">
        <v>9</v>
      </c>
    </row>
    <row r="3363" spans="1:6" x14ac:dyDescent="0.55000000000000004">
      <c r="A3363" t="s">
        <v>119</v>
      </c>
      <c r="B3363" t="s">
        <v>7</v>
      </c>
      <c r="C3363">
        <v>3790611.4802999999</v>
      </c>
      <c r="D3363" t="s">
        <v>245</v>
      </c>
      <c r="E3363">
        <v>2020</v>
      </c>
      <c r="F3363">
        <v>9</v>
      </c>
    </row>
    <row r="3364" spans="1:6" x14ac:dyDescent="0.55000000000000004">
      <c r="A3364" t="s">
        <v>119</v>
      </c>
      <c r="B3364" t="s">
        <v>8</v>
      </c>
      <c r="C3364">
        <v>3996071.7333999998</v>
      </c>
      <c r="D3364" t="s">
        <v>245</v>
      </c>
      <c r="E3364">
        <v>2020</v>
      </c>
      <c r="F3364">
        <v>9</v>
      </c>
    </row>
    <row r="3365" spans="1:6" x14ac:dyDescent="0.55000000000000004">
      <c r="A3365" t="s">
        <v>119</v>
      </c>
      <c r="B3365" t="s">
        <v>9</v>
      </c>
      <c r="C3365">
        <v>313.6583</v>
      </c>
      <c r="D3365" t="s">
        <v>245</v>
      </c>
      <c r="E3365">
        <v>2020</v>
      </c>
      <c r="F3365">
        <v>9</v>
      </c>
    </row>
    <row r="3366" spans="1:6" x14ac:dyDescent="0.55000000000000004">
      <c r="A3366" t="s">
        <v>119</v>
      </c>
      <c r="B3366" t="s">
        <v>10</v>
      </c>
      <c r="C3366">
        <v>3903.5</v>
      </c>
      <c r="D3366" t="s">
        <v>245</v>
      </c>
      <c r="E3366">
        <v>2020</v>
      </c>
      <c r="F3366">
        <v>9</v>
      </c>
    </row>
    <row r="3367" spans="1:6" x14ac:dyDescent="0.55000000000000004">
      <c r="A3367" t="s">
        <v>119</v>
      </c>
      <c r="B3367" t="s">
        <v>11</v>
      </c>
      <c r="C3367">
        <v>4232364.8622000003</v>
      </c>
      <c r="D3367" t="s">
        <v>245</v>
      </c>
      <c r="E3367">
        <v>2020</v>
      </c>
      <c r="F3367">
        <v>9</v>
      </c>
    </row>
    <row r="3368" spans="1:6" x14ac:dyDescent="0.55000000000000004">
      <c r="A3368" t="s">
        <v>119</v>
      </c>
      <c r="B3368" t="s">
        <v>12</v>
      </c>
      <c r="C3368">
        <v>25872.75</v>
      </c>
      <c r="D3368" t="s">
        <v>245</v>
      </c>
      <c r="E3368">
        <v>2020</v>
      </c>
      <c r="F3368">
        <v>9</v>
      </c>
    </row>
    <row r="3369" spans="1:6" x14ac:dyDescent="0.55000000000000004">
      <c r="A3369" t="s">
        <v>119</v>
      </c>
      <c r="B3369" t="s">
        <v>13</v>
      </c>
      <c r="C3369">
        <v>17602</v>
      </c>
      <c r="D3369" t="s">
        <v>245</v>
      </c>
      <c r="E3369">
        <v>2020</v>
      </c>
      <c r="F3369">
        <v>9</v>
      </c>
    </row>
    <row r="3370" spans="1:6" x14ac:dyDescent="0.55000000000000004">
      <c r="A3370" t="s">
        <v>119</v>
      </c>
      <c r="B3370" t="s">
        <v>14</v>
      </c>
      <c r="C3370">
        <v>0</v>
      </c>
      <c r="D3370" t="s">
        <v>245</v>
      </c>
      <c r="E3370">
        <v>2020</v>
      </c>
      <c r="F3370">
        <v>9</v>
      </c>
    </row>
    <row r="3371" spans="1:6" x14ac:dyDescent="0.55000000000000004">
      <c r="A3371" t="s">
        <v>119</v>
      </c>
      <c r="B3371" t="s">
        <v>15</v>
      </c>
      <c r="C3371">
        <v>888490.44819999998</v>
      </c>
      <c r="D3371" t="s">
        <v>245</v>
      </c>
      <c r="E3371">
        <v>2020</v>
      </c>
      <c r="F3371">
        <v>9</v>
      </c>
    </row>
    <row r="3372" spans="1:6" x14ac:dyDescent="0.55000000000000004">
      <c r="A3372" t="s">
        <v>119</v>
      </c>
      <c r="B3372" t="s">
        <v>16</v>
      </c>
      <c r="C3372">
        <v>0</v>
      </c>
      <c r="D3372" t="s">
        <v>245</v>
      </c>
      <c r="E3372">
        <v>2020</v>
      </c>
      <c r="F3372">
        <v>9</v>
      </c>
    </row>
    <row r="3373" spans="1:6" x14ac:dyDescent="0.55000000000000004">
      <c r="A3373" t="s">
        <v>119</v>
      </c>
      <c r="B3373" t="s">
        <v>17</v>
      </c>
      <c r="C3373">
        <v>131360.03719999999</v>
      </c>
      <c r="D3373" t="s">
        <v>245</v>
      </c>
      <c r="E3373">
        <v>2020</v>
      </c>
      <c r="F3373">
        <v>9</v>
      </c>
    </row>
    <row r="3374" spans="1:6" x14ac:dyDescent="0.55000000000000004">
      <c r="A3374" t="s">
        <v>119</v>
      </c>
      <c r="B3374" t="s">
        <v>18</v>
      </c>
      <c r="C3374">
        <v>152241.96609999999</v>
      </c>
      <c r="D3374" t="s">
        <v>245</v>
      </c>
      <c r="E3374">
        <v>2020</v>
      </c>
      <c r="F3374">
        <v>9</v>
      </c>
    </row>
    <row r="3375" spans="1:6" x14ac:dyDescent="0.55000000000000004">
      <c r="A3375" t="s">
        <v>119</v>
      </c>
      <c r="B3375" t="s">
        <v>19</v>
      </c>
      <c r="C3375">
        <v>1927.1832999999999</v>
      </c>
      <c r="D3375" t="s">
        <v>245</v>
      </c>
      <c r="E3375">
        <v>2020</v>
      </c>
      <c r="F3375">
        <v>9</v>
      </c>
    </row>
    <row r="3376" spans="1:6" x14ac:dyDescent="0.55000000000000004">
      <c r="A3376" t="s">
        <v>119</v>
      </c>
      <c r="B3376" t="s">
        <v>20</v>
      </c>
      <c r="C3376">
        <v>15000</v>
      </c>
      <c r="D3376" t="s">
        <v>245</v>
      </c>
      <c r="E3376">
        <v>2020</v>
      </c>
      <c r="F3376">
        <v>9</v>
      </c>
    </row>
    <row r="3377" spans="1:6" x14ac:dyDescent="0.55000000000000004">
      <c r="A3377" t="s">
        <v>119</v>
      </c>
      <c r="B3377" t="s">
        <v>21</v>
      </c>
      <c r="C3377">
        <v>1199.1492000000001</v>
      </c>
      <c r="D3377" t="s">
        <v>245</v>
      </c>
      <c r="E3377">
        <v>2020</v>
      </c>
      <c r="F3377">
        <v>9</v>
      </c>
    </row>
    <row r="3378" spans="1:6" x14ac:dyDescent="0.55000000000000004">
      <c r="A3378" t="s">
        <v>119</v>
      </c>
      <c r="B3378" t="s">
        <v>22</v>
      </c>
      <c r="C3378">
        <v>45014.570800000001</v>
      </c>
      <c r="D3378" t="s">
        <v>245</v>
      </c>
      <c r="E3378">
        <v>2020</v>
      </c>
      <c r="F3378">
        <v>9</v>
      </c>
    </row>
    <row r="3379" spans="1:6" x14ac:dyDescent="0.55000000000000004">
      <c r="A3379" t="s">
        <v>119</v>
      </c>
      <c r="B3379" t="s">
        <v>23</v>
      </c>
      <c r="C3379">
        <v>11090.3163</v>
      </c>
      <c r="D3379" t="s">
        <v>245</v>
      </c>
      <c r="E3379">
        <v>2020</v>
      </c>
      <c r="F3379">
        <v>9</v>
      </c>
    </row>
    <row r="3380" spans="1:6" x14ac:dyDescent="0.55000000000000004">
      <c r="A3380" t="s">
        <v>119</v>
      </c>
      <c r="B3380" t="s">
        <v>24</v>
      </c>
      <c r="C3380">
        <v>0</v>
      </c>
      <c r="D3380" t="s">
        <v>245</v>
      </c>
      <c r="E3380">
        <v>2020</v>
      </c>
      <c r="F3380">
        <v>9</v>
      </c>
    </row>
    <row r="3381" spans="1:6" x14ac:dyDescent="0.55000000000000004">
      <c r="A3381" t="s">
        <v>119</v>
      </c>
      <c r="B3381" t="s">
        <v>25</v>
      </c>
      <c r="C3381">
        <v>263362.31660000002</v>
      </c>
      <c r="D3381" t="s">
        <v>245</v>
      </c>
      <c r="E3381">
        <v>2020</v>
      </c>
      <c r="F3381">
        <v>9</v>
      </c>
    </row>
    <row r="3382" spans="1:6" x14ac:dyDescent="0.55000000000000004">
      <c r="A3382" t="s">
        <v>119</v>
      </c>
      <c r="B3382" t="s">
        <v>26</v>
      </c>
      <c r="C3382">
        <v>0</v>
      </c>
      <c r="D3382" t="s">
        <v>245</v>
      </c>
      <c r="E3382">
        <v>2020</v>
      </c>
      <c r="F3382">
        <v>9</v>
      </c>
    </row>
    <row r="3383" spans="1:6" x14ac:dyDescent="0.55000000000000004">
      <c r="A3383" t="s">
        <v>119</v>
      </c>
      <c r="B3383" t="s">
        <v>27</v>
      </c>
      <c r="C3383">
        <v>331.96800000000002</v>
      </c>
      <c r="D3383" t="s">
        <v>245</v>
      </c>
      <c r="E3383">
        <v>2020</v>
      </c>
      <c r="F3383">
        <v>9</v>
      </c>
    </row>
    <row r="3384" spans="1:6" x14ac:dyDescent="0.55000000000000004">
      <c r="A3384" t="s">
        <v>119</v>
      </c>
      <c r="B3384" t="s">
        <v>28</v>
      </c>
      <c r="C3384">
        <v>158790.3168</v>
      </c>
      <c r="D3384" t="s">
        <v>245</v>
      </c>
      <c r="E3384">
        <v>2020</v>
      </c>
      <c r="F3384">
        <v>9</v>
      </c>
    </row>
    <row r="3385" spans="1:6" x14ac:dyDescent="0.55000000000000004">
      <c r="A3385" t="s">
        <v>119</v>
      </c>
      <c r="B3385" t="s">
        <v>29</v>
      </c>
      <c r="C3385">
        <v>0</v>
      </c>
      <c r="D3385" t="s">
        <v>245</v>
      </c>
      <c r="E3385">
        <v>2020</v>
      </c>
      <c r="F3385">
        <v>9</v>
      </c>
    </row>
    <row r="3386" spans="1:6" x14ac:dyDescent="0.55000000000000004">
      <c r="A3386" t="s">
        <v>119</v>
      </c>
      <c r="B3386" t="s">
        <v>30</v>
      </c>
      <c r="C3386">
        <v>0</v>
      </c>
      <c r="D3386" t="s">
        <v>245</v>
      </c>
      <c r="E3386">
        <v>2020</v>
      </c>
      <c r="F3386">
        <v>9</v>
      </c>
    </row>
    <row r="3387" spans="1:6" x14ac:dyDescent="0.55000000000000004">
      <c r="A3387" t="s">
        <v>119</v>
      </c>
      <c r="B3387" t="s">
        <v>31</v>
      </c>
      <c r="C3387">
        <v>100</v>
      </c>
      <c r="D3387" t="s">
        <v>245</v>
      </c>
      <c r="E3387">
        <v>2020</v>
      </c>
      <c r="F3387">
        <v>9</v>
      </c>
    </row>
    <row r="3388" spans="1:6" x14ac:dyDescent="0.55000000000000004">
      <c r="A3388" t="s">
        <v>119</v>
      </c>
      <c r="B3388" t="s">
        <v>32</v>
      </c>
      <c r="C3388">
        <v>139048.20970000001</v>
      </c>
      <c r="D3388" t="s">
        <v>245</v>
      </c>
      <c r="E3388">
        <v>2020</v>
      </c>
      <c r="F3388">
        <v>9</v>
      </c>
    </row>
    <row r="3389" spans="1:6" x14ac:dyDescent="0.55000000000000004">
      <c r="A3389" t="s">
        <v>119</v>
      </c>
      <c r="B3389" t="s">
        <v>33</v>
      </c>
      <c r="C3389">
        <v>399648.72360000003</v>
      </c>
      <c r="D3389" t="s">
        <v>245</v>
      </c>
      <c r="E3389">
        <v>2020</v>
      </c>
      <c r="F3389">
        <v>9</v>
      </c>
    </row>
    <row r="3390" spans="1:6" x14ac:dyDescent="0.55000000000000004">
      <c r="A3390" t="s">
        <v>119</v>
      </c>
      <c r="B3390" t="s">
        <v>34</v>
      </c>
      <c r="C3390">
        <v>740003.72360000003</v>
      </c>
      <c r="D3390" t="s">
        <v>245</v>
      </c>
      <c r="E3390">
        <v>2020</v>
      </c>
      <c r="F3390">
        <v>9</v>
      </c>
    </row>
    <row r="3391" spans="1:6" x14ac:dyDescent="0.55000000000000004">
      <c r="A3391" t="s">
        <v>119</v>
      </c>
      <c r="B3391" t="s">
        <v>35</v>
      </c>
      <c r="C3391">
        <v>1458.8683000000001</v>
      </c>
      <c r="D3391" t="s">
        <v>245</v>
      </c>
      <c r="E3391">
        <v>2020</v>
      </c>
      <c r="F3391">
        <v>9</v>
      </c>
    </row>
    <row r="3392" spans="1:6" x14ac:dyDescent="0.55000000000000004">
      <c r="A3392" t="s">
        <v>119</v>
      </c>
      <c r="B3392" t="s">
        <v>36</v>
      </c>
      <c r="C3392">
        <v>56890.618399999999</v>
      </c>
      <c r="D3392" t="s">
        <v>245</v>
      </c>
      <c r="E3392">
        <v>2020</v>
      </c>
      <c r="F3392">
        <v>9</v>
      </c>
    </row>
    <row r="3393" spans="1:6" x14ac:dyDescent="0.55000000000000004">
      <c r="A3393" t="s">
        <v>119</v>
      </c>
      <c r="B3393" t="s">
        <v>37</v>
      </c>
      <c r="C3393">
        <v>27200.0013</v>
      </c>
      <c r="D3393" t="s">
        <v>245</v>
      </c>
      <c r="E3393">
        <v>2020</v>
      </c>
      <c r="F3393">
        <v>9</v>
      </c>
    </row>
    <row r="3394" spans="1:6" x14ac:dyDescent="0.55000000000000004">
      <c r="A3394" t="s">
        <v>119</v>
      </c>
      <c r="B3394" t="s">
        <v>38</v>
      </c>
      <c r="C3394">
        <v>0</v>
      </c>
      <c r="D3394" t="s">
        <v>245</v>
      </c>
      <c r="E3394">
        <v>2020</v>
      </c>
      <c r="F3394">
        <v>9</v>
      </c>
    </row>
    <row r="3395" spans="1:6" x14ac:dyDescent="0.55000000000000004">
      <c r="A3395" t="s">
        <v>119</v>
      </c>
      <c r="B3395" t="s">
        <v>39</v>
      </c>
      <c r="C3395">
        <v>11030.35</v>
      </c>
      <c r="D3395" t="s">
        <v>245</v>
      </c>
      <c r="E3395">
        <v>2020</v>
      </c>
      <c r="F3395">
        <v>9</v>
      </c>
    </row>
    <row r="3396" spans="1:6" x14ac:dyDescent="0.55000000000000004">
      <c r="A3396" t="s">
        <v>119</v>
      </c>
      <c r="B3396" t="s">
        <v>40</v>
      </c>
      <c r="C3396">
        <v>2552.5668000000001</v>
      </c>
      <c r="D3396" t="s">
        <v>245</v>
      </c>
      <c r="E3396">
        <v>2020</v>
      </c>
      <c r="F3396">
        <v>9</v>
      </c>
    </row>
    <row r="3397" spans="1:6" x14ac:dyDescent="0.55000000000000004">
      <c r="A3397" t="s">
        <v>119</v>
      </c>
      <c r="B3397" t="s">
        <v>41</v>
      </c>
      <c r="C3397">
        <v>191458.2898</v>
      </c>
      <c r="D3397" t="s">
        <v>245</v>
      </c>
      <c r="E3397">
        <v>2020</v>
      </c>
      <c r="F3397">
        <v>9</v>
      </c>
    </row>
    <row r="3398" spans="1:6" x14ac:dyDescent="0.55000000000000004">
      <c r="A3398" t="s">
        <v>119</v>
      </c>
      <c r="B3398" t="s">
        <v>42</v>
      </c>
      <c r="C3398">
        <v>105.4333</v>
      </c>
      <c r="D3398" t="s">
        <v>245</v>
      </c>
      <c r="E3398">
        <v>2020</v>
      </c>
      <c r="F3398">
        <v>9</v>
      </c>
    </row>
    <row r="3399" spans="1:6" x14ac:dyDescent="0.55000000000000004">
      <c r="A3399" t="s">
        <v>119</v>
      </c>
      <c r="B3399" t="s">
        <v>43</v>
      </c>
      <c r="C3399">
        <v>82888.456600000005</v>
      </c>
      <c r="D3399" t="s">
        <v>245</v>
      </c>
      <c r="E3399">
        <v>2020</v>
      </c>
      <c r="F3399">
        <v>9</v>
      </c>
    </row>
    <row r="3400" spans="1:6" x14ac:dyDescent="0.55000000000000004">
      <c r="A3400" t="s">
        <v>119</v>
      </c>
      <c r="B3400" t="s">
        <v>44</v>
      </c>
      <c r="C3400">
        <v>0</v>
      </c>
      <c r="D3400" t="s">
        <v>245</v>
      </c>
      <c r="E3400">
        <v>2020</v>
      </c>
      <c r="F3400">
        <v>9</v>
      </c>
    </row>
    <row r="3401" spans="1:6" x14ac:dyDescent="0.55000000000000004">
      <c r="A3401" t="s">
        <v>119</v>
      </c>
      <c r="B3401" t="s">
        <v>45</v>
      </c>
      <c r="C3401">
        <v>2977.5702999999999</v>
      </c>
      <c r="D3401" t="s">
        <v>245</v>
      </c>
      <c r="E3401">
        <v>2020</v>
      </c>
      <c r="F3401">
        <v>9</v>
      </c>
    </row>
    <row r="3402" spans="1:6" x14ac:dyDescent="0.55000000000000004">
      <c r="A3402" t="s">
        <v>119</v>
      </c>
      <c r="B3402" t="s">
        <v>46</v>
      </c>
      <c r="C3402">
        <v>94257.656000000003</v>
      </c>
      <c r="D3402" t="s">
        <v>245</v>
      </c>
      <c r="E3402">
        <v>2020</v>
      </c>
      <c r="F3402">
        <v>9</v>
      </c>
    </row>
    <row r="3403" spans="1:6" x14ac:dyDescent="0.55000000000000004">
      <c r="A3403" t="s">
        <v>119</v>
      </c>
      <c r="B3403" t="s">
        <v>47</v>
      </c>
      <c r="C3403">
        <v>0</v>
      </c>
      <c r="D3403" t="s">
        <v>245</v>
      </c>
      <c r="E3403">
        <v>2020</v>
      </c>
      <c r="F3403">
        <v>9</v>
      </c>
    </row>
    <row r="3404" spans="1:6" x14ac:dyDescent="0.55000000000000004">
      <c r="A3404" t="s">
        <v>119</v>
      </c>
      <c r="B3404" t="s">
        <v>48</v>
      </c>
      <c r="C3404">
        <v>634013.49</v>
      </c>
      <c r="D3404" t="s">
        <v>245</v>
      </c>
      <c r="E3404">
        <v>2020</v>
      </c>
      <c r="F3404">
        <v>9</v>
      </c>
    </row>
    <row r="3405" spans="1:6" x14ac:dyDescent="0.55000000000000004">
      <c r="A3405" t="s">
        <v>119</v>
      </c>
      <c r="B3405" t="s">
        <v>49</v>
      </c>
      <c r="C3405">
        <v>6.5519999999999996</v>
      </c>
      <c r="D3405" t="s">
        <v>245</v>
      </c>
      <c r="E3405">
        <v>2020</v>
      </c>
      <c r="F3405">
        <v>9</v>
      </c>
    </row>
    <row r="3406" spans="1:6" x14ac:dyDescent="0.55000000000000004">
      <c r="A3406" t="s">
        <v>119</v>
      </c>
      <c r="B3406" t="s">
        <v>50</v>
      </c>
      <c r="C3406">
        <v>71574.675199999998</v>
      </c>
      <c r="D3406" t="s">
        <v>245</v>
      </c>
      <c r="E3406">
        <v>2020</v>
      </c>
      <c r="F3406">
        <v>9</v>
      </c>
    </row>
    <row r="3407" spans="1:6" x14ac:dyDescent="0.55000000000000004">
      <c r="A3407" t="s">
        <v>119</v>
      </c>
      <c r="B3407" t="s">
        <v>51</v>
      </c>
      <c r="C3407">
        <v>3000</v>
      </c>
      <c r="D3407" t="s">
        <v>245</v>
      </c>
      <c r="E3407">
        <v>2020</v>
      </c>
      <c r="F3407">
        <v>9</v>
      </c>
    </row>
    <row r="3408" spans="1:6" x14ac:dyDescent="0.55000000000000004">
      <c r="A3408" t="s">
        <v>119</v>
      </c>
      <c r="B3408" t="s">
        <v>52</v>
      </c>
      <c r="C3408">
        <v>130.8083</v>
      </c>
      <c r="D3408" t="s">
        <v>245</v>
      </c>
      <c r="E3408">
        <v>2020</v>
      </c>
      <c r="F3408">
        <v>9</v>
      </c>
    </row>
    <row r="3409" spans="1:6" x14ac:dyDescent="0.55000000000000004">
      <c r="A3409" t="s">
        <v>119</v>
      </c>
      <c r="B3409" t="s">
        <v>53</v>
      </c>
      <c r="C3409">
        <v>29608.06</v>
      </c>
      <c r="D3409" t="s">
        <v>245</v>
      </c>
      <c r="E3409">
        <v>2020</v>
      </c>
      <c r="F3409">
        <v>9</v>
      </c>
    </row>
    <row r="3410" spans="1:6" x14ac:dyDescent="0.55000000000000004">
      <c r="A3410" t="s">
        <v>119</v>
      </c>
      <c r="B3410" t="s">
        <v>54</v>
      </c>
      <c r="C3410">
        <v>13715.1198</v>
      </c>
      <c r="D3410" t="s">
        <v>245</v>
      </c>
      <c r="E3410">
        <v>2020</v>
      </c>
      <c r="F3410">
        <v>9</v>
      </c>
    </row>
    <row r="3411" spans="1:6" x14ac:dyDescent="0.55000000000000004">
      <c r="A3411" t="s">
        <v>119</v>
      </c>
      <c r="B3411" t="s">
        <v>55</v>
      </c>
      <c r="C3411">
        <v>4378.3666999999996</v>
      </c>
      <c r="D3411" t="s">
        <v>245</v>
      </c>
      <c r="E3411">
        <v>2020</v>
      </c>
      <c r="F3411">
        <v>9</v>
      </c>
    </row>
    <row r="3412" spans="1:6" x14ac:dyDescent="0.55000000000000004">
      <c r="A3412" t="s">
        <v>119</v>
      </c>
      <c r="B3412" t="s">
        <v>56</v>
      </c>
      <c r="C3412">
        <v>10000</v>
      </c>
      <c r="D3412" t="s">
        <v>245</v>
      </c>
      <c r="E3412">
        <v>2020</v>
      </c>
      <c r="F3412">
        <v>9</v>
      </c>
    </row>
    <row r="3413" spans="1:6" x14ac:dyDescent="0.55000000000000004">
      <c r="A3413" t="s">
        <v>119</v>
      </c>
      <c r="B3413" t="s">
        <v>57</v>
      </c>
      <c r="C3413">
        <v>126.6751</v>
      </c>
      <c r="D3413" t="s">
        <v>245</v>
      </c>
      <c r="E3413">
        <v>2020</v>
      </c>
      <c r="F3413">
        <v>9</v>
      </c>
    </row>
    <row r="3414" spans="1:6" x14ac:dyDescent="0.55000000000000004">
      <c r="A3414" t="s">
        <v>119</v>
      </c>
      <c r="B3414" t="s">
        <v>58</v>
      </c>
      <c r="C3414">
        <v>506470.01</v>
      </c>
      <c r="D3414" t="s">
        <v>245</v>
      </c>
      <c r="E3414">
        <v>2020</v>
      </c>
      <c r="F3414">
        <v>9</v>
      </c>
    </row>
    <row r="3415" spans="1:6" x14ac:dyDescent="0.55000000000000004">
      <c r="A3415" t="s">
        <v>119</v>
      </c>
      <c r="B3415" t="s">
        <v>59</v>
      </c>
      <c r="C3415">
        <v>4200</v>
      </c>
      <c r="D3415" t="s">
        <v>245</v>
      </c>
      <c r="E3415">
        <v>2020</v>
      </c>
      <c r="F3415">
        <v>9</v>
      </c>
    </row>
    <row r="3416" spans="1:6" x14ac:dyDescent="0.55000000000000004">
      <c r="A3416" t="s">
        <v>119</v>
      </c>
      <c r="B3416" t="s">
        <v>60</v>
      </c>
      <c r="C3416">
        <v>1650000.1046</v>
      </c>
      <c r="D3416" t="s">
        <v>245</v>
      </c>
      <c r="E3416">
        <v>2020</v>
      </c>
      <c r="F3416">
        <v>9</v>
      </c>
    </row>
    <row r="3417" spans="1:6" x14ac:dyDescent="0.55000000000000004">
      <c r="A3417" t="s">
        <v>119</v>
      </c>
      <c r="B3417" t="s">
        <v>61</v>
      </c>
      <c r="C3417">
        <v>3529.9956000000002</v>
      </c>
      <c r="D3417" t="s">
        <v>245</v>
      </c>
      <c r="E3417">
        <v>2020</v>
      </c>
      <c r="F3417">
        <v>9</v>
      </c>
    </row>
    <row r="3418" spans="1:6" x14ac:dyDescent="0.55000000000000004">
      <c r="A3418" t="s">
        <v>119</v>
      </c>
      <c r="B3418" t="s">
        <v>62</v>
      </c>
      <c r="C3418">
        <v>1365</v>
      </c>
      <c r="D3418" t="s">
        <v>245</v>
      </c>
      <c r="E3418">
        <v>2020</v>
      </c>
      <c r="F3418">
        <v>9</v>
      </c>
    </row>
    <row r="3419" spans="1:6" x14ac:dyDescent="0.55000000000000004">
      <c r="A3419" t="s">
        <v>119</v>
      </c>
      <c r="B3419" t="s">
        <v>63</v>
      </c>
      <c r="C3419">
        <v>0</v>
      </c>
      <c r="D3419" t="s">
        <v>245</v>
      </c>
      <c r="E3419">
        <v>2020</v>
      </c>
      <c r="F3419">
        <v>9</v>
      </c>
    </row>
    <row r="3420" spans="1:6" x14ac:dyDescent="0.55000000000000004">
      <c r="A3420" t="s">
        <v>120</v>
      </c>
      <c r="B3420" t="s">
        <v>4</v>
      </c>
      <c r="C3420">
        <v>10114144.619100001</v>
      </c>
      <c r="D3420" t="s">
        <v>246</v>
      </c>
      <c r="E3420">
        <v>2020</v>
      </c>
      <c r="F3420">
        <v>10</v>
      </c>
    </row>
    <row r="3421" spans="1:6" x14ac:dyDescent="0.55000000000000004">
      <c r="A3421" t="s">
        <v>120</v>
      </c>
      <c r="B3421" t="s">
        <v>5</v>
      </c>
      <c r="C3421">
        <v>1203857.1358</v>
      </c>
      <c r="D3421" t="s">
        <v>246</v>
      </c>
      <c r="E3421">
        <v>2020</v>
      </c>
      <c r="F3421">
        <v>10</v>
      </c>
    </row>
    <row r="3422" spans="1:6" x14ac:dyDescent="0.55000000000000004">
      <c r="A3422" t="s">
        <v>120</v>
      </c>
      <c r="B3422" t="s">
        <v>6</v>
      </c>
      <c r="C3422">
        <v>1442636.2631000001</v>
      </c>
      <c r="D3422" t="s">
        <v>246</v>
      </c>
      <c r="E3422">
        <v>2020</v>
      </c>
      <c r="F3422">
        <v>10</v>
      </c>
    </row>
    <row r="3423" spans="1:6" x14ac:dyDescent="0.55000000000000004">
      <c r="A3423" t="s">
        <v>120</v>
      </c>
      <c r="B3423" t="s">
        <v>7</v>
      </c>
      <c r="C3423">
        <v>4134985.3481000001</v>
      </c>
      <c r="D3423" t="s">
        <v>246</v>
      </c>
      <c r="E3423">
        <v>2020</v>
      </c>
      <c r="F3423">
        <v>10</v>
      </c>
    </row>
    <row r="3424" spans="1:6" x14ac:dyDescent="0.55000000000000004">
      <c r="A3424" t="s">
        <v>120</v>
      </c>
      <c r="B3424" t="s">
        <v>8</v>
      </c>
      <c r="C3424">
        <v>3332665.8720999998</v>
      </c>
      <c r="D3424" t="s">
        <v>246</v>
      </c>
      <c r="E3424">
        <v>2020</v>
      </c>
      <c r="F3424">
        <v>10</v>
      </c>
    </row>
    <row r="3425" spans="1:6" x14ac:dyDescent="0.55000000000000004">
      <c r="A3425" t="s">
        <v>120</v>
      </c>
      <c r="B3425" t="s">
        <v>9</v>
      </c>
      <c r="C3425">
        <v>340.82929999999999</v>
      </c>
      <c r="D3425" t="s">
        <v>246</v>
      </c>
      <c r="E3425">
        <v>2020</v>
      </c>
      <c r="F3425">
        <v>10</v>
      </c>
    </row>
    <row r="3426" spans="1:6" x14ac:dyDescent="0.55000000000000004">
      <c r="A3426" t="s">
        <v>120</v>
      </c>
      <c r="B3426" t="s">
        <v>10</v>
      </c>
      <c r="C3426">
        <v>3663.0572000000002</v>
      </c>
      <c r="D3426" t="s">
        <v>246</v>
      </c>
      <c r="E3426">
        <v>2020</v>
      </c>
      <c r="F3426">
        <v>10</v>
      </c>
    </row>
    <row r="3427" spans="1:6" x14ac:dyDescent="0.55000000000000004">
      <c r="A3427" t="s">
        <v>120</v>
      </c>
      <c r="B3427" t="s">
        <v>11</v>
      </c>
      <c r="C3427">
        <v>4504376.8364000004</v>
      </c>
      <c r="D3427" t="s">
        <v>246</v>
      </c>
      <c r="E3427">
        <v>2020</v>
      </c>
      <c r="F3427">
        <v>10</v>
      </c>
    </row>
    <row r="3428" spans="1:6" x14ac:dyDescent="0.55000000000000004">
      <c r="A3428" t="s">
        <v>120</v>
      </c>
      <c r="B3428" t="s">
        <v>12</v>
      </c>
      <c r="C3428">
        <v>31525.166700000002</v>
      </c>
      <c r="D3428" t="s">
        <v>246</v>
      </c>
      <c r="E3428">
        <v>2020</v>
      </c>
      <c r="F3428">
        <v>10</v>
      </c>
    </row>
    <row r="3429" spans="1:6" x14ac:dyDescent="0.55000000000000004">
      <c r="A3429" t="s">
        <v>120</v>
      </c>
      <c r="B3429" t="s">
        <v>13</v>
      </c>
      <c r="C3429">
        <v>14614.3333</v>
      </c>
      <c r="D3429" t="s">
        <v>246</v>
      </c>
      <c r="E3429">
        <v>2020</v>
      </c>
      <c r="F3429">
        <v>10</v>
      </c>
    </row>
    <row r="3430" spans="1:6" x14ac:dyDescent="0.55000000000000004">
      <c r="A3430" t="s">
        <v>120</v>
      </c>
      <c r="B3430" t="s">
        <v>14</v>
      </c>
      <c r="C3430">
        <v>500</v>
      </c>
      <c r="D3430" t="s">
        <v>246</v>
      </c>
      <c r="E3430">
        <v>2020</v>
      </c>
      <c r="F3430">
        <v>10</v>
      </c>
    </row>
    <row r="3431" spans="1:6" x14ac:dyDescent="0.55000000000000004">
      <c r="A3431" t="s">
        <v>120</v>
      </c>
      <c r="B3431" t="s">
        <v>15</v>
      </c>
      <c r="C3431">
        <v>1039015.6785</v>
      </c>
      <c r="D3431" t="s">
        <v>246</v>
      </c>
      <c r="E3431">
        <v>2020</v>
      </c>
      <c r="F3431">
        <v>10</v>
      </c>
    </row>
    <row r="3432" spans="1:6" x14ac:dyDescent="0.55000000000000004">
      <c r="A3432" t="s">
        <v>120</v>
      </c>
      <c r="B3432" t="s">
        <v>16</v>
      </c>
      <c r="C3432">
        <v>0</v>
      </c>
      <c r="D3432" t="s">
        <v>246</v>
      </c>
      <c r="E3432">
        <v>2020</v>
      </c>
      <c r="F3432">
        <v>10</v>
      </c>
    </row>
    <row r="3433" spans="1:6" x14ac:dyDescent="0.55000000000000004">
      <c r="A3433" t="s">
        <v>120</v>
      </c>
      <c r="B3433" t="s">
        <v>17</v>
      </c>
      <c r="C3433">
        <v>24245.300299999999</v>
      </c>
      <c r="D3433" t="s">
        <v>246</v>
      </c>
      <c r="E3433">
        <v>2020</v>
      </c>
      <c r="F3433">
        <v>10</v>
      </c>
    </row>
    <row r="3434" spans="1:6" x14ac:dyDescent="0.55000000000000004">
      <c r="A3434" t="s">
        <v>120</v>
      </c>
      <c r="B3434" t="s">
        <v>18</v>
      </c>
      <c r="C3434">
        <v>70611.5</v>
      </c>
      <c r="D3434" t="s">
        <v>246</v>
      </c>
      <c r="E3434">
        <v>2020</v>
      </c>
      <c r="F3434">
        <v>10</v>
      </c>
    </row>
    <row r="3435" spans="1:6" x14ac:dyDescent="0.55000000000000004">
      <c r="A3435" t="s">
        <v>120</v>
      </c>
      <c r="B3435" t="s">
        <v>19</v>
      </c>
      <c r="C3435">
        <v>1927.1832999999999</v>
      </c>
      <c r="D3435" t="s">
        <v>246</v>
      </c>
      <c r="E3435">
        <v>2020</v>
      </c>
      <c r="F3435">
        <v>10</v>
      </c>
    </row>
    <row r="3436" spans="1:6" x14ac:dyDescent="0.55000000000000004">
      <c r="A3436" t="s">
        <v>120</v>
      </c>
      <c r="B3436" t="s">
        <v>20</v>
      </c>
      <c r="C3436">
        <v>10000</v>
      </c>
      <c r="D3436" t="s">
        <v>246</v>
      </c>
      <c r="E3436">
        <v>2020</v>
      </c>
      <c r="F3436">
        <v>10</v>
      </c>
    </row>
    <row r="3437" spans="1:6" x14ac:dyDescent="0.55000000000000004">
      <c r="A3437" t="s">
        <v>120</v>
      </c>
      <c r="B3437" t="s">
        <v>21</v>
      </c>
      <c r="C3437">
        <v>950.89329999999995</v>
      </c>
      <c r="D3437" t="s">
        <v>246</v>
      </c>
      <c r="E3437">
        <v>2020</v>
      </c>
      <c r="F3437">
        <v>10</v>
      </c>
    </row>
    <row r="3438" spans="1:6" x14ac:dyDescent="0.55000000000000004">
      <c r="A3438" t="s">
        <v>120</v>
      </c>
      <c r="B3438" t="s">
        <v>22</v>
      </c>
      <c r="C3438">
        <v>64274.140099999997</v>
      </c>
      <c r="D3438" t="s">
        <v>246</v>
      </c>
      <c r="E3438">
        <v>2020</v>
      </c>
      <c r="F3438">
        <v>10</v>
      </c>
    </row>
    <row r="3439" spans="1:6" x14ac:dyDescent="0.55000000000000004">
      <c r="A3439" t="s">
        <v>120</v>
      </c>
      <c r="B3439" t="s">
        <v>23</v>
      </c>
      <c r="C3439">
        <v>10079.255499999999</v>
      </c>
      <c r="D3439" t="s">
        <v>246</v>
      </c>
      <c r="E3439">
        <v>2020</v>
      </c>
      <c r="F3439">
        <v>10</v>
      </c>
    </row>
    <row r="3440" spans="1:6" x14ac:dyDescent="0.55000000000000004">
      <c r="A3440" t="s">
        <v>120</v>
      </c>
      <c r="B3440" t="s">
        <v>24</v>
      </c>
      <c r="C3440">
        <v>0</v>
      </c>
      <c r="D3440" t="s">
        <v>246</v>
      </c>
      <c r="E3440">
        <v>2020</v>
      </c>
      <c r="F3440">
        <v>10</v>
      </c>
    </row>
    <row r="3441" spans="1:6" x14ac:dyDescent="0.55000000000000004">
      <c r="A3441" t="s">
        <v>120</v>
      </c>
      <c r="B3441" t="s">
        <v>25</v>
      </c>
      <c r="C3441">
        <v>211353.7</v>
      </c>
      <c r="D3441" t="s">
        <v>246</v>
      </c>
      <c r="E3441">
        <v>2020</v>
      </c>
      <c r="F3441">
        <v>10</v>
      </c>
    </row>
    <row r="3442" spans="1:6" x14ac:dyDescent="0.55000000000000004">
      <c r="A3442" t="s">
        <v>120</v>
      </c>
      <c r="B3442" t="s">
        <v>26</v>
      </c>
      <c r="C3442">
        <v>0</v>
      </c>
      <c r="D3442" t="s">
        <v>246</v>
      </c>
      <c r="E3442">
        <v>2020</v>
      </c>
      <c r="F3442">
        <v>10</v>
      </c>
    </row>
    <row r="3443" spans="1:6" x14ac:dyDescent="0.55000000000000004">
      <c r="A3443" t="s">
        <v>120</v>
      </c>
      <c r="B3443" t="s">
        <v>27</v>
      </c>
      <c r="C3443">
        <v>422.58670000000001</v>
      </c>
      <c r="D3443" t="s">
        <v>246</v>
      </c>
      <c r="E3443">
        <v>2020</v>
      </c>
      <c r="F3443">
        <v>10</v>
      </c>
    </row>
    <row r="3444" spans="1:6" x14ac:dyDescent="0.55000000000000004">
      <c r="A3444" t="s">
        <v>120</v>
      </c>
      <c r="B3444" t="s">
        <v>28</v>
      </c>
      <c r="C3444">
        <v>78350.227400000003</v>
      </c>
      <c r="D3444" t="s">
        <v>246</v>
      </c>
      <c r="E3444">
        <v>2020</v>
      </c>
      <c r="F3444">
        <v>10</v>
      </c>
    </row>
    <row r="3445" spans="1:6" x14ac:dyDescent="0.55000000000000004">
      <c r="A3445" t="s">
        <v>120</v>
      </c>
      <c r="B3445" t="s">
        <v>29</v>
      </c>
      <c r="C3445">
        <v>0</v>
      </c>
      <c r="D3445" t="s">
        <v>246</v>
      </c>
      <c r="E3445">
        <v>2020</v>
      </c>
      <c r="F3445">
        <v>10</v>
      </c>
    </row>
    <row r="3446" spans="1:6" x14ac:dyDescent="0.55000000000000004">
      <c r="A3446" t="s">
        <v>120</v>
      </c>
      <c r="B3446" t="s">
        <v>30</v>
      </c>
      <c r="C3446">
        <v>7.6266999999999996</v>
      </c>
      <c r="D3446" t="s">
        <v>246</v>
      </c>
      <c r="E3446">
        <v>2020</v>
      </c>
      <c r="F3446">
        <v>10</v>
      </c>
    </row>
    <row r="3447" spans="1:6" x14ac:dyDescent="0.55000000000000004">
      <c r="A3447" t="s">
        <v>120</v>
      </c>
      <c r="B3447" t="s">
        <v>31</v>
      </c>
      <c r="C3447">
        <v>50</v>
      </c>
      <c r="D3447" t="s">
        <v>246</v>
      </c>
      <c r="E3447">
        <v>2020</v>
      </c>
      <c r="F3447">
        <v>10</v>
      </c>
    </row>
    <row r="3448" spans="1:6" x14ac:dyDescent="0.55000000000000004">
      <c r="A3448" t="s">
        <v>120</v>
      </c>
      <c r="B3448" t="s">
        <v>32</v>
      </c>
      <c r="C3448">
        <v>20410.437699999999</v>
      </c>
      <c r="D3448" t="s">
        <v>246</v>
      </c>
      <c r="E3448">
        <v>2020</v>
      </c>
      <c r="F3448">
        <v>10</v>
      </c>
    </row>
    <row r="3449" spans="1:6" x14ac:dyDescent="0.55000000000000004">
      <c r="A3449" t="s">
        <v>120</v>
      </c>
      <c r="B3449" t="s">
        <v>33</v>
      </c>
      <c r="C3449">
        <v>354914.95110000001</v>
      </c>
      <c r="D3449" t="s">
        <v>246</v>
      </c>
      <c r="E3449">
        <v>2020</v>
      </c>
      <c r="F3449">
        <v>10</v>
      </c>
    </row>
    <row r="3450" spans="1:6" x14ac:dyDescent="0.55000000000000004">
      <c r="A3450" t="s">
        <v>120</v>
      </c>
      <c r="B3450" t="s">
        <v>34</v>
      </c>
      <c r="C3450">
        <v>491669.47779999999</v>
      </c>
      <c r="D3450" t="s">
        <v>246</v>
      </c>
      <c r="E3450">
        <v>2020</v>
      </c>
      <c r="F3450">
        <v>10</v>
      </c>
    </row>
    <row r="3451" spans="1:6" x14ac:dyDescent="0.55000000000000004">
      <c r="A3451" t="s">
        <v>120</v>
      </c>
      <c r="B3451" t="s">
        <v>35</v>
      </c>
      <c r="C3451">
        <v>447.09879999999998</v>
      </c>
      <c r="D3451" t="s">
        <v>246</v>
      </c>
      <c r="E3451">
        <v>2020</v>
      </c>
      <c r="F3451">
        <v>10</v>
      </c>
    </row>
    <row r="3452" spans="1:6" x14ac:dyDescent="0.55000000000000004">
      <c r="A3452" t="s">
        <v>120</v>
      </c>
      <c r="B3452" t="s">
        <v>36</v>
      </c>
      <c r="C3452">
        <v>103331.0563</v>
      </c>
      <c r="D3452" t="s">
        <v>246</v>
      </c>
      <c r="E3452">
        <v>2020</v>
      </c>
      <c r="F3452">
        <v>10</v>
      </c>
    </row>
    <row r="3453" spans="1:6" x14ac:dyDescent="0.55000000000000004">
      <c r="A3453" t="s">
        <v>120</v>
      </c>
      <c r="B3453" t="s">
        <v>37</v>
      </c>
      <c r="C3453">
        <v>25100.005300000001</v>
      </c>
      <c r="D3453" t="s">
        <v>246</v>
      </c>
      <c r="E3453">
        <v>2020</v>
      </c>
      <c r="F3453">
        <v>10</v>
      </c>
    </row>
    <row r="3454" spans="1:6" x14ac:dyDescent="0.55000000000000004">
      <c r="A3454" t="s">
        <v>120</v>
      </c>
      <c r="B3454" t="s">
        <v>38</v>
      </c>
      <c r="C3454">
        <v>0</v>
      </c>
      <c r="D3454" t="s">
        <v>246</v>
      </c>
      <c r="E3454">
        <v>2020</v>
      </c>
      <c r="F3454">
        <v>10</v>
      </c>
    </row>
    <row r="3455" spans="1:6" x14ac:dyDescent="0.55000000000000004">
      <c r="A3455" t="s">
        <v>120</v>
      </c>
      <c r="B3455" t="s">
        <v>39</v>
      </c>
      <c r="C3455">
        <v>5262.5834000000004</v>
      </c>
      <c r="D3455" t="s">
        <v>246</v>
      </c>
      <c r="E3455">
        <v>2020</v>
      </c>
      <c r="F3455">
        <v>10</v>
      </c>
    </row>
    <row r="3456" spans="1:6" x14ac:dyDescent="0.55000000000000004">
      <c r="A3456" t="s">
        <v>120</v>
      </c>
      <c r="B3456" t="s">
        <v>40</v>
      </c>
      <c r="C3456">
        <v>1789.3333</v>
      </c>
      <c r="D3456" t="s">
        <v>246</v>
      </c>
      <c r="E3456">
        <v>2020</v>
      </c>
      <c r="F3456">
        <v>10</v>
      </c>
    </row>
    <row r="3457" spans="1:6" x14ac:dyDescent="0.55000000000000004">
      <c r="A3457" t="s">
        <v>120</v>
      </c>
      <c r="B3457" t="s">
        <v>41</v>
      </c>
      <c r="C3457">
        <v>207471.1017</v>
      </c>
      <c r="D3457" t="s">
        <v>246</v>
      </c>
      <c r="E3457">
        <v>2020</v>
      </c>
      <c r="F3457">
        <v>10</v>
      </c>
    </row>
    <row r="3458" spans="1:6" x14ac:dyDescent="0.55000000000000004">
      <c r="A3458" t="s">
        <v>120</v>
      </c>
      <c r="B3458" t="s">
        <v>42</v>
      </c>
      <c r="C3458">
        <v>156.67580000000001</v>
      </c>
      <c r="D3458" t="s">
        <v>246</v>
      </c>
      <c r="E3458">
        <v>2020</v>
      </c>
      <c r="F3458">
        <v>10</v>
      </c>
    </row>
    <row r="3459" spans="1:6" x14ac:dyDescent="0.55000000000000004">
      <c r="A3459" t="s">
        <v>120</v>
      </c>
      <c r="B3459" t="s">
        <v>43</v>
      </c>
      <c r="C3459">
        <v>54607.3272</v>
      </c>
      <c r="D3459" t="s">
        <v>246</v>
      </c>
      <c r="E3459">
        <v>2020</v>
      </c>
      <c r="F3459">
        <v>10</v>
      </c>
    </row>
    <row r="3460" spans="1:6" x14ac:dyDescent="0.55000000000000004">
      <c r="A3460" t="s">
        <v>120</v>
      </c>
      <c r="B3460" t="s">
        <v>44</v>
      </c>
      <c r="C3460">
        <v>0</v>
      </c>
      <c r="D3460" t="s">
        <v>246</v>
      </c>
      <c r="E3460">
        <v>2020</v>
      </c>
      <c r="F3460">
        <v>10</v>
      </c>
    </row>
    <row r="3461" spans="1:6" x14ac:dyDescent="0.55000000000000004">
      <c r="A3461" t="s">
        <v>120</v>
      </c>
      <c r="B3461" t="s">
        <v>45</v>
      </c>
      <c r="C3461">
        <v>2241.0805999999998</v>
      </c>
      <c r="D3461" t="s">
        <v>246</v>
      </c>
      <c r="E3461">
        <v>2020</v>
      </c>
      <c r="F3461">
        <v>10</v>
      </c>
    </row>
    <row r="3462" spans="1:6" x14ac:dyDescent="0.55000000000000004">
      <c r="A3462" t="s">
        <v>120</v>
      </c>
      <c r="B3462" t="s">
        <v>46</v>
      </c>
      <c r="C3462">
        <v>67587.67</v>
      </c>
      <c r="D3462" t="s">
        <v>246</v>
      </c>
      <c r="E3462">
        <v>2020</v>
      </c>
      <c r="F3462">
        <v>10</v>
      </c>
    </row>
    <row r="3463" spans="1:6" x14ac:dyDescent="0.55000000000000004">
      <c r="A3463" t="s">
        <v>120</v>
      </c>
      <c r="B3463" t="s">
        <v>47</v>
      </c>
      <c r="C3463">
        <v>1.0412999999999999</v>
      </c>
      <c r="D3463" t="s">
        <v>246</v>
      </c>
      <c r="E3463">
        <v>2020</v>
      </c>
      <c r="F3463">
        <v>10</v>
      </c>
    </row>
    <row r="3464" spans="1:6" x14ac:dyDescent="0.55000000000000004">
      <c r="A3464" t="s">
        <v>120</v>
      </c>
      <c r="B3464" t="s">
        <v>48</v>
      </c>
      <c r="C3464">
        <v>608172.82680000004</v>
      </c>
      <c r="D3464" t="s">
        <v>246</v>
      </c>
      <c r="E3464">
        <v>2020</v>
      </c>
      <c r="F3464">
        <v>10</v>
      </c>
    </row>
    <row r="3465" spans="1:6" x14ac:dyDescent="0.55000000000000004">
      <c r="A3465" t="s">
        <v>120</v>
      </c>
      <c r="B3465" t="s">
        <v>49</v>
      </c>
      <c r="C3465">
        <v>544.73950000000002</v>
      </c>
      <c r="D3465" t="s">
        <v>246</v>
      </c>
      <c r="E3465">
        <v>2020</v>
      </c>
      <c r="F3465">
        <v>10</v>
      </c>
    </row>
    <row r="3466" spans="1:6" x14ac:dyDescent="0.55000000000000004">
      <c r="A3466" t="s">
        <v>120</v>
      </c>
      <c r="B3466" t="s">
        <v>50</v>
      </c>
      <c r="C3466">
        <v>37683.973700000002</v>
      </c>
      <c r="D3466" t="s">
        <v>246</v>
      </c>
      <c r="E3466">
        <v>2020</v>
      </c>
      <c r="F3466">
        <v>10</v>
      </c>
    </row>
    <row r="3467" spans="1:6" x14ac:dyDescent="0.55000000000000004">
      <c r="A3467" t="s">
        <v>120</v>
      </c>
      <c r="B3467" t="s">
        <v>51</v>
      </c>
      <c r="C3467">
        <v>4000</v>
      </c>
      <c r="D3467" t="s">
        <v>246</v>
      </c>
      <c r="E3467">
        <v>2020</v>
      </c>
      <c r="F3467">
        <v>10</v>
      </c>
    </row>
    <row r="3468" spans="1:6" x14ac:dyDescent="0.55000000000000004">
      <c r="A3468" t="s">
        <v>120</v>
      </c>
      <c r="B3468" t="s">
        <v>52</v>
      </c>
      <c r="C3468">
        <v>130.8083</v>
      </c>
      <c r="D3468" t="s">
        <v>246</v>
      </c>
      <c r="E3468">
        <v>2020</v>
      </c>
      <c r="F3468">
        <v>10</v>
      </c>
    </row>
    <row r="3469" spans="1:6" x14ac:dyDescent="0.55000000000000004">
      <c r="A3469" t="s">
        <v>120</v>
      </c>
      <c r="B3469" t="s">
        <v>53</v>
      </c>
      <c r="C3469">
        <v>103206.89200000001</v>
      </c>
      <c r="D3469" t="s">
        <v>246</v>
      </c>
      <c r="E3469">
        <v>2020</v>
      </c>
      <c r="F3469">
        <v>10</v>
      </c>
    </row>
    <row r="3470" spans="1:6" x14ac:dyDescent="0.55000000000000004">
      <c r="A3470" t="s">
        <v>120</v>
      </c>
      <c r="B3470" t="s">
        <v>54</v>
      </c>
      <c r="C3470">
        <v>17584.7474</v>
      </c>
      <c r="D3470" t="s">
        <v>246</v>
      </c>
      <c r="E3470">
        <v>2020</v>
      </c>
      <c r="F3470">
        <v>10</v>
      </c>
    </row>
    <row r="3471" spans="1:6" x14ac:dyDescent="0.55000000000000004">
      <c r="A3471" t="s">
        <v>120</v>
      </c>
      <c r="B3471" t="s">
        <v>55</v>
      </c>
      <c r="C3471">
        <v>4486.9666999999999</v>
      </c>
      <c r="D3471" t="s">
        <v>246</v>
      </c>
      <c r="E3471">
        <v>2020</v>
      </c>
      <c r="F3471">
        <v>10</v>
      </c>
    </row>
    <row r="3472" spans="1:6" x14ac:dyDescent="0.55000000000000004">
      <c r="A3472" t="s">
        <v>120</v>
      </c>
      <c r="B3472" t="s">
        <v>56</v>
      </c>
      <c r="C3472">
        <v>1500</v>
      </c>
      <c r="D3472" t="s">
        <v>246</v>
      </c>
      <c r="E3472">
        <v>2020</v>
      </c>
      <c r="F3472">
        <v>10</v>
      </c>
    </row>
    <row r="3473" spans="1:6" x14ac:dyDescent="0.55000000000000004">
      <c r="A3473" t="s">
        <v>120</v>
      </c>
      <c r="B3473" t="s">
        <v>57</v>
      </c>
      <c r="C3473">
        <v>166.21010000000001</v>
      </c>
      <c r="D3473" t="s">
        <v>246</v>
      </c>
      <c r="E3473">
        <v>2020</v>
      </c>
      <c r="F3473">
        <v>10</v>
      </c>
    </row>
    <row r="3474" spans="1:6" x14ac:dyDescent="0.55000000000000004">
      <c r="A3474" t="s">
        <v>120</v>
      </c>
      <c r="B3474" t="s">
        <v>58</v>
      </c>
      <c r="C3474">
        <v>428015</v>
      </c>
      <c r="D3474" t="s">
        <v>246</v>
      </c>
      <c r="E3474">
        <v>2020</v>
      </c>
      <c r="F3474">
        <v>10</v>
      </c>
    </row>
    <row r="3475" spans="1:6" x14ac:dyDescent="0.55000000000000004">
      <c r="A3475" t="s">
        <v>120</v>
      </c>
      <c r="B3475" t="s">
        <v>59</v>
      </c>
      <c r="C3475">
        <v>3100</v>
      </c>
      <c r="D3475" t="s">
        <v>246</v>
      </c>
      <c r="E3475">
        <v>2020</v>
      </c>
      <c r="F3475">
        <v>10</v>
      </c>
    </row>
    <row r="3476" spans="1:6" x14ac:dyDescent="0.55000000000000004">
      <c r="A3476" t="s">
        <v>120</v>
      </c>
      <c r="B3476" t="s">
        <v>60</v>
      </c>
      <c r="C3476">
        <v>1499999.9034</v>
      </c>
      <c r="D3476" t="s">
        <v>246</v>
      </c>
      <c r="E3476">
        <v>2020</v>
      </c>
      <c r="F3476">
        <v>10</v>
      </c>
    </row>
    <row r="3477" spans="1:6" x14ac:dyDescent="0.55000000000000004">
      <c r="A3477" t="s">
        <v>120</v>
      </c>
      <c r="B3477" t="s">
        <v>61</v>
      </c>
      <c r="C3477">
        <v>3949.9994999999999</v>
      </c>
      <c r="D3477" t="s">
        <v>246</v>
      </c>
      <c r="E3477">
        <v>2020</v>
      </c>
      <c r="F3477">
        <v>10</v>
      </c>
    </row>
    <row r="3478" spans="1:6" x14ac:dyDescent="0.55000000000000004">
      <c r="A3478" t="s">
        <v>120</v>
      </c>
      <c r="B3478" t="s">
        <v>62</v>
      </c>
      <c r="C3478">
        <v>304.39670000000001</v>
      </c>
      <c r="D3478" t="s">
        <v>246</v>
      </c>
      <c r="E3478">
        <v>2020</v>
      </c>
      <c r="F3478">
        <v>10</v>
      </c>
    </row>
    <row r="3479" spans="1:6" x14ac:dyDescent="0.55000000000000004">
      <c r="A3479" t="s">
        <v>120</v>
      </c>
      <c r="B3479" t="s">
        <v>63</v>
      </c>
      <c r="C3479">
        <v>0</v>
      </c>
      <c r="D3479" t="s">
        <v>246</v>
      </c>
      <c r="E3479">
        <v>2020</v>
      </c>
      <c r="F3479">
        <v>10</v>
      </c>
    </row>
    <row r="3480" spans="1:6" x14ac:dyDescent="0.55000000000000004">
      <c r="A3480" t="s">
        <v>121</v>
      </c>
      <c r="B3480" t="s">
        <v>4</v>
      </c>
      <c r="C3480">
        <v>10558630.8935</v>
      </c>
      <c r="D3480" t="s">
        <v>247</v>
      </c>
      <c r="E3480">
        <v>2020</v>
      </c>
      <c r="F3480">
        <v>11</v>
      </c>
    </row>
    <row r="3481" spans="1:6" x14ac:dyDescent="0.55000000000000004">
      <c r="A3481" t="s">
        <v>121</v>
      </c>
      <c r="B3481" t="s">
        <v>5</v>
      </c>
      <c r="C3481">
        <v>1375164.0218</v>
      </c>
      <c r="D3481" t="s">
        <v>247</v>
      </c>
      <c r="E3481">
        <v>2020</v>
      </c>
      <c r="F3481">
        <v>11</v>
      </c>
    </row>
    <row r="3482" spans="1:6" x14ac:dyDescent="0.55000000000000004">
      <c r="A3482" t="s">
        <v>121</v>
      </c>
      <c r="B3482" t="s">
        <v>6</v>
      </c>
      <c r="C3482">
        <v>1258707.1236</v>
      </c>
      <c r="D3482" t="s">
        <v>247</v>
      </c>
      <c r="E3482">
        <v>2020</v>
      </c>
      <c r="F3482">
        <v>11</v>
      </c>
    </row>
    <row r="3483" spans="1:6" x14ac:dyDescent="0.55000000000000004">
      <c r="A3483" t="s">
        <v>121</v>
      </c>
      <c r="B3483" t="s">
        <v>7</v>
      </c>
      <c r="C3483">
        <v>4603809.4643999999</v>
      </c>
      <c r="D3483" t="s">
        <v>247</v>
      </c>
      <c r="E3483">
        <v>2020</v>
      </c>
      <c r="F3483">
        <v>11</v>
      </c>
    </row>
    <row r="3484" spans="1:6" x14ac:dyDescent="0.55000000000000004">
      <c r="A3484" t="s">
        <v>121</v>
      </c>
      <c r="B3484" t="s">
        <v>8</v>
      </c>
      <c r="C3484">
        <v>3320950.2837</v>
      </c>
      <c r="D3484" t="s">
        <v>247</v>
      </c>
      <c r="E3484">
        <v>2020</v>
      </c>
      <c r="F3484">
        <v>11</v>
      </c>
    </row>
    <row r="3485" spans="1:6" x14ac:dyDescent="0.55000000000000004">
      <c r="A3485" t="s">
        <v>121</v>
      </c>
      <c r="B3485" t="s">
        <v>9</v>
      </c>
      <c r="C3485">
        <v>313.91750000000002</v>
      </c>
      <c r="D3485" t="s">
        <v>247</v>
      </c>
      <c r="E3485">
        <v>2020</v>
      </c>
      <c r="F3485">
        <v>11</v>
      </c>
    </row>
    <row r="3486" spans="1:6" x14ac:dyDescent="0.55000000000000004">
      <c r="A3486" t="s">
        <v>121</v>
      </c>
      <c r="B3486" t="s">
        <v>10</v>
      </c>
      <c r="C3486">
        <v>2752.5832999999998</v>
      </c>
      <c r="D3486" t="s">
        <v>247</v>
      </c>
      <c r="E3486">
        <v>2020</v>
      </c>
      <c r="F3486">
        <v>11</v>
      </c>
    </row>
    <row r="3487" spans="1:6" x14ac:dyDescent="0.55000000000000004">
      <c r="A3487" t="s">
        <v>121</v>
      </c>
      <c r="B3487" t="s">
        <v>11</v>
      </c>
      <c r="C3487">
        <v>4770005.2665999997</v>
      </c>
      <c r="D3487" t="s">
        <v>247</v>
      </c>
      <c r="E3487">
        <v>2020</v>
      </c>
      <c r="F3487">
        <v>11</v>
      </c>
    </row>
    <row r="3488" spans="1:6" x14ac:dyDescent="0.55000000000000004">
      <c r="A3488" t="s">
        <v>121</v>
      </c>
      <c r="B3488" t="s">
        <v>12</v>
      </c>
      <c r="C3488">
        <v>49966.3</v>
      </c>
      <c r="D3488" t="s">
        <v>247</v>
      </c>
      <c r="E3488">
        <v>2020</v>
      </c>
      <c r="F3488">
        <v>11</v>
      </c>
    </row>
    <row r="3489" spans="1:6" x14ac:dyDescent="0.55000000000000004">
      <c r="A3489" t="s">
        <v>121</v>
      </c>
      <c r="B3489" t="s">
        <v>13</v>
      </c>
      <c r="C3489">
        <v>15435</v>
      </c>
      <c r="D3489" t="s">
        <v>247</v>
      </c>
      <c r="E3489">
        <v>2020</v>
      </c>
      <c r="F3489">
        <v>11</v>
      </c>
    </row>
    <row r="3490" spans="1:6" x14ac:dyDescent="0.55000000000000004">
      <c r="A3490" t="s">
        <v>121</v>
      </c>
      <c r="B3490" t="s">
        <v>14</v>
      </c>
      <c r="C3490">
        <v>500</v>
      </c>
      <c r="D3490" t="s">
        <v>247</v>
      </c>
      <c r="E3490">
        <v>2020</v>
      </c>
      <c r="F3490">
        <v>11</v>
      </c>
    </row>
    <row r="3491" spans="1:6" x14ac:dyDescent="0.55000000000000004">
      <c r="A3491" t="s">
        <v>121</v>
      </c>
      <c r="B3491" t="s">
        <v>15</v>
      </c>
      <c r="C3491">
        <v>1264793.3544999999</v>
      </c>
      <c r="D3491" t="s">
        <v>247</v>
      </c>
      <c r="E3491">
        <v>2020</v>
      </c>
      <c r="F3491">
        <v>11</v>
      </c>
    </row>
    <row r="3492" spans="1:6" x14ac:dyDescent="0.55000000000000004">
      <c r="A3492" t="s">
        <v>121</v>
      </c>
      <c r="B3492" t="s">
        <v>16</v>
      </c>
      <c r="C3492">
        <v>0</v>
      </c>
      <c r="D3492" t="s">
        <v>247</v>
      </c>
      <c r="E3492">
        <v>2020</v>
      </c>
      <c r="F3492">
        <v>11</v>
      </c>
    </row>
    <row r="3493" spans="1:6" x14ac:dyDescent="0.55000000000000004">
      <c r="A3493" t="s">
        <v>121</v>
      </c>
      <c r="B3493" t="s">
        <v>17</v>
      </c>
      <c r="C3493">
        <v>18897.007300000001</v>
      </c>
      <c r="D3493" t="s">
        <v>247</v>
      </c>
      <c r="E3493">
        <v>2020</v>
      </c>
      <c r="F3493">
        <v>11</v>
      </c>
    </row>
    <row r="3494" spans="1:6" x14ac:dyDescent="0.55000000000000004">
      <c r="A3494" t="s">
        <v>121</v>
      </c>
      <c r="B3494" t="s">
        <v>18</v>
      </c>
      <c r="C3494">
        <v>85623.000199999995</v>
      </c>
      <c r="D3494" t="s">
        <v>247</v>
      </c>
      <c r="E3494">
        <v>2020</v>
      </c>
      <c r="F3494">
        <v>11</v>
      </c>
    </row>
    <row r="3495" spans="1:6" x14ac:dyDescent="0.55000000000000004">
      <c r="A3495" t="s">
        <v>121</v>
      </c>
      <c r="B3495" t="s">
        <v>19</v>
      </c>
      <c r="C3495">
        <v>1927.1832999999999</v>
      </c>
      <c r="D3495" t="s">
        <v>247</v>
      </c>
      <c r="E3495">
        <v>2020</v>
      </c>
      <c r="F3495">
        <v>11</v>
      </c>
    </row>
    <row r="3496" spans="1:6" x14ac:dyDescent="0.55000000000000004">
      <c r="A3496" t="s">
        <v>121</v>
      </c>
      <c r="B3496" t="s">
        <v>20</v>
      </c>
      <c r="C3496">
        <v>15000</v>
      </c>
      <c r="D3496" t="s">
        <v>247</v>
      </c>
      <c r="E3496">
        <v>2020</v>
      </c>
      <c r="F3496">
        <v>11</v>
      </c>
    </row>
    <row r="3497" spans="1:6" x14ac:dyDescent="0.55000000000000004">
      <c r="A3497" t="s">
        <v>121</v>
      </c>
      <c r="B3497" t="s">
        <v>21</v>
      </c>
      <c r="C3497">
        <v>1955.8352</v>
      </c>
      <c r="D3497" t="s">
        <v>247</v>
      </c>
      <c r="E3497">
        <v>2020</v>
      </c>
      <c r="F3497">
        <v>11</v>
      </c>
    </row>
    <row r="3498" spans="1:6" x14ac:dyDescent="0.55000000000000004">
      <c r="A3498" t="s">
        <v>121</v>
      </c>
      <c r="B3498" t="s">
        <v>22</v>
      </c>
      <c r="C3498">
        <v>37389.021099999998</v>
      </c>
      <c r="D3498" t="s">
        <v>247</v>
      </c>
      <c r="E3498">
        <v>2020</v>
      </c>
      <c r="F3498">
        <v>11</v>
      </c>
    </row>
    <row r="3499" spans="1:6" x14ac:dyDescent="0.55000000000000004">
      <c r="A3499" t="s">
        <v>121</v>
      </c>
      <c r="B3499" t="s">
        <v>23</v>
      </c>
      <c r="C3499">
        <v>3666.3463000000002</v>
      </c>
      <c r="D3499" t="s">
        <v>247</v>
      </c>
      <c r="E3499">
        <v>2020</v>
      </c>
      <c r="F3499">
        <v>11</v>
      </c>
    </row>
    <row r="3500" spans="1:6" x14ac:dyDescent="0.55000000000000004">
      <c r="A3500" t="s">
        <v>121</v>
      </c>
      <c r="B3500" t="s">
        <v>24</v>
      </c>
      <c r="C3500">
        <v>0</v>
      </c>
      <c r="D3500" t="s">
        <v>247</v>
      </c>
      <c r="E3500">
        <v>2020</v>
      </c>
      <c r="F3500">
        <v>11</v>
      </c>
    </row>
    <row r="3501" spans="1:6" x14ac:dyDescent="0.55000000000000004">
      <c r="A3501" t="s">
        <v>121</v>
      </c>
      <c r="B3501" t="s">
        <v>25</v>
      </c>
      <c r="C3501">
        <v>216646.36670000001</v>
      </c>
      <c r="D3501" t="s">
        <v>247</v>
      </c>
      <c r="E3501">
        <v>2020</v>
      </c>
      <c r="F3501">
        <v>11</v>
      </c>
    </row>
    <row r="3502" spans="1:6" x14ac:dyDescent="0.55000000000000004">
      <c r="A3502" t="s">
        <v>121</v>
      </c>
      <c r="B3502" t="s">
        <v>26</v>
      </c>
      <c r="C3502">
        <v>0</v>
      </c>
      <c r="D3502" t="s">
        <v>247</v>
      </c>
      <c r="E3502">
        <v>2020</v>
      </c>
      <c r="F3502">
        <v>11</v>
      </c>
    </row>
    <row r="3503" spans="1:6" x14ac:dyDescent="0.55000000000000004">
      <c r="A3503" t="s">
        <v>121</v>
      </c>
      <c r="B3503" t="s">
        <v>27</v>
      </c>
      <c r="C3503">
        <v>382.93729999999999</v>
      </c>
      <c r="D3503" t="s">
        <v>247</v>
      </c>
      <c r="E3503">
        <v>2020</v>
      </c>
      <c r="F3503">
        <v>11</v>
      </c>
    </row>
    <row r="3504" spans="1:6" x14ac:dyDescent="0.55000000000000004">
      <c r="A3504" t="s">
        <v>121</v>
      </c>
      <c r="B3504" t="s">
        <v>28</v>
      </c>
      <c r="C3504">
        <v>42592.302799999998</v>
      </c>
      <c r="D3504" t="s">
        <v>247</v>
      </c>
      <c r="E3504">
        <v>2020</v>
      </c>
      <c r="F3504">
        <v>11</v>
      </c>
    </row>
    <row r="3505" spans="1:6" x14ac:dyDescent="0.55000000000000004">
      <c r="A3505" t="s">
        <v>121</v>
      </c>
      <c r="B3505" t="s">
        <v>29</v>
      </c>
      <c r="C3505">
        <v>0</v>
      </c>
      <c r="D3505" t="s">
        <v>247</v>
      </c>
      <c r="E3505">
        <v>2020</v>
      </c>
      <c r="F3505">
        <v>11</v>
      </c>
    </row>
    <row r="3506" spans="1:6" x14ac:dyDescent="0.55000000000000004">
      <c r="A3506" t="s">
        <v>121</v>
      </c>
      <c r="B3506" t="s">
        <v>30</v>
      </c>
      <c r="C3506">
        <v>98.386700000000005</v>
      </c>
      <c r="D3506" t="s">
        <v>247</v>
      </c>
      <c r="E3506">
        <v>2020</v>
      </c>
      <c r="F3506">
        <v>11</v>
      </c>
    </row>
    <row r="3507" spans="1:6" x14ac:dyDescent="0.55000000000000004">
      <c r="A3507" t="s">
        <v>121</v>
      </c>
      <c r="B3507" t="s">
        <v>31</v>
      </c>
      <c r="C3507">
        <v>100</v>
      </c>
      <c r="D3507" t="s">
        <v>247</v>
      </c>
      <c r="E3507">
        <v>2020</v>
      </c>
      <c r="F3507">
        <v>11</v>
      </c>
    </row>
    <row r="3508" spans="1:6" x14ac:dyDescent="0.55000000000000004">
      <c r="A3508" t="s">
        <v>121</v>
      </c>
      <c r="B3508" t="s">
        <v>32</v>
      </c>
      <c r="C3508">
        <v>55551.186999999998</v>
      </c>
      <c r="D3508" t="s">
        <v>247</v>
      </c>
      <c r="E3508">
        <v>2020</v>
      </c>
      <c r="F3508">
        <v>11</v>
      </c>
    </row>
    <row r="3509" spans="1:6" x14ac:dyDescent="0.55000000000000004">
      <c r="A3509" t="s">
        <v>121</v>
      </c>
      <c r="B3509" t="s">
        <v>33</v>
      </c>
      <c r="C3509">
        <v>318382.84940000001</v>
      </c>
      <c r="D3509" t="s">
        <v>247</v>
      </c>
      <c r="E3509">
        <v>2020</v>
      </c>
      <c r="F3509">
        <v>11</v>
      </c>
    </row>
    <row r="3510" spans="1:6" x14ac:dyDescent="0.55000000000000004">
      <c r="A3510" t="s">
        <v>121</v>
      </c>
      <c r="B3510" t="s">
        <v>34</v>
      </c>
      <c r="C3510">
        <v>731858.3996</v>
      </c>
      <c r="D3510" t="s">
        <v>247</v>
      </c>
      <c r="E3510">
        <v>2020</v>
      </c>
      <c r="F3510">
        <v>11</v>
      </c>
    </row>
    <row r="3511" spans="1:6" x14ac:dyDescent="0.55000000000000004">
      <c r="A3511" t="s">
        <v>121</v>
      </c>
      <c r="B3511" t="s">
        <v>35</v>
      </c>
      <c r="C3511">
        <v>759.92380000000003</v>
      </c>
      <c r="D3511" t="s">
        <v>247</v>
      </c>
      <c r="E3511">
        <v>2020</v>
      </c>
      <c r="F3511">
        <v>11</v>
      </c>
    </row>
    <row r="3512" spans="1:6" x14ac:dyDescent="0.55000000000000004">
      <c r="A3512" t="s">
        <v>121</v>
      </c>
      <c r="B3512" t="s">
        <v>36</v>
      </c>
      <c r="C3512">
        <v>112490.6673</v>
      </c>
      <c r="D3512" t="s">
        <v>247</v>
      </c>
      <c r="E3512">
        <v>2020</v>
      </c>
      <c r="F3512">
        <v>11</v>
      </c>
    </row>
    <row r="3513" spans="1:6" x14ac:dyDescent="0.55000000000000004">
      <c r="A3513" t="s">
        <v>121</v>
      </c>
      <c r="B3513" t="s">
        <v>37</v>
      </c>
      <c r="C3513">
        <v>46899.984700000001</v>
      </c>
      <c r="D3513" t="s">
        <v>247</v>
      </c>
      <c r="E3513">
        <v>2020</v>
      </c>
      <c r="F3513">
        <v>11</v>
      </c>
    </row>
    <row r="3514" spans="1:6" x14ac:dyDescent="0.55000000000000004">
      <c r="A3514" t="s">
        <v>121</v>
      </c>
      <c r="B3514" t="s">
        <v>38</v>
      </c>
      <c r="C3514">
        <v>0</v>
      </c>
      <c r="D3514" t="s">
        <v>247</v>
      </c>
      <c r="E3514">
        <v>2020</v>
      </c>
      <c r="F3514">
        <v>11</v>
      </c>
    </row>
    <row r="3515" spans="1:6" x14ac:dyDescent="0.55000000000000004">
      <c r="A3515" t="s">
        <v>121</v>
      </c>
      <c r="B3515" t="s">
        <v>39</v>
      </c>
      <c r="C3515">
        <v>1525.4266</v>
      </c>
      <c r="D3515" t="s">
        <v>247</v>
      </c>
      <c r="E3515">
        <v>2020</v>
      </c>
      <c r="F3515">
        <v>11</v>
      </c>
    </row>
    <row r="3516" spans="1:6" x14ac:dyDescent="0.55000000000000004">
      <c r="A3516" t="s">
        <v>121</v>
      </c>
      <c r="B3516" t="s">
        <v>40</v>
      </c>
      <c r="C3516">
        <v>1566.2634</v>
      </c>
      <c r="D3516" t="s">
        <v>247</v>
      </c>
      <c r="E3516">
        <v>2020</v>
      </c>
      <c r="F3516">
        <v>11</v>
      </c>
    </row>
    <row r="3517" spans="1:6" x14ac:dyDescent="0.55000000000000004">
      <c r="A3517" t="s">
        <v>121</v>
      </c>
      <c r="B3517" t="s">
        <v>41</v>
      </c>
      <c r="C3517">
        <v>165185.1882</v>
      </c>
      <c r="D3517" t="s">
        <v>247</v>
      </c>
      <c r="E3517">
        <v>2020</v>
      </c>
      <c r="F3517">
        <v>11</v>
      </c>
    </row>
    <row r="3518" spans="1:6" x14ac:dyDescent="0.55000000000000004">
      <c r="A3518" t="s">
        <v>121</v>
      </c>
      <c r="B3518" t="s">
        <v>42</v>
      </c>
      <c r="C3518">
        <v>106.5</v>
      </c>
      <c r="D3518" t="s">
        <v>247</v>
      </c>
      <c r="E3518">
        <v>2020</v>
      </c>
      <c r="F3518">
        <v>11</v>
      </c>
    </row>
    <row r="3519" spans="1:6" x14ac:dyDescent="0.55000000000000004">
      <c r="A3519" t="s">
        <v>121</v>
      </c>
      <c r="B3519" t="s">
        <v>43</v>
      </c>
      <c r="C3519">
        <v>37526.789599999996</v>
      </c>
      <c r="D3519" t="s">
        <v>247</v>
      </c>
      <c r="E3519">
        <v>2020</v>
      </c>
      <c r="F3519">
        <v>11</v>
      </c>
    </row>
    <row r="3520" spans="1:6" x14ac:dyDescent="0.55000000000000004">
      <c r="A3520" t="s">
        <v>121</v>
      </c>
      <c r="B3520" t="s">
        <v>44</v>
      </c>
      <c r="C3520">
        <v>0</v>
      </c>
      <c r="D3520" t="s">
        <v>247</v>
      </c>
      <c r="E3520">
        <v>2020</v>
      </c>
      <c r="F3520">
        <v>11</v>
      </c>
    </row>
    <row r="3521" spans="1:6" x14ac:dyDescent="0.55000000000000004">
      <c r="A3521" t="s">
        <v>121</v>
      </c>
      <c r="B3521" t="s">
        <v>45</v>
      </c>
      <c r="C3521">
        <v>1664.5432000000001</v>
      </c>
      <c r="D3521" t="s">
        <v>247</v>
      </c>
      <c r="E3521">
        <v>2020</v>
      </c>
      <c r="F3521">
        <v>11</v>
      </c>
    </row>
    <row r="3522" spans="1:6" x14ac:dyDescent="0.55000000000000004">
      <c r="A3522" t="s">
        <v>121</v>
      </c>
      <c r="B3522" t="s">
        <v>46</v>
      </c>
      <c r="C3522">
        <v>60188.66</v>
      </c>
      <c r="D3522" t="s">
        <v>247</v>
      </c>
      <c r="E3522">
        <v>2020</v>
      </c>
      <c r="F3522">
        <v>11</v>
      </c>
    </row>
    <row r="3523" spans="1:6" x14ac:dyDescent="0.55000000000000004">
      <c r="A3523" t="s">
        <v>121</v>
      </c>
      <c r="B3523" t="s">
        <v>47</v>
      </c>
      <c r="C3523">
        <v>0.8528</v>
      </c>
      <c r="D3523" t="s">
        <v>247</v>
      </c>
      <c r="E3523">
        <v>2020</v>
      </c>
      <c r="F3523">
        <v>11</v>
      </c>
    </row>
    <row r="3524" spans="1:6" x14ac:dyDescent="0.55000000000000004">
      <c r="A3524" t="s">
        <v>121</v>
      </c>
      <c r="B3524" t="s">
        <v>48</v>
      </c>
      <c r="C3524">
        <v>497905.0748</v>
      </c>
      <c r="D3524" t="s">
        <v>247</v>
      </c>
      <c r="E3524">
        <v>2020</v>
      </c>
      <c r="F3524">
        <v>11</v>
      </c>
    </row>
    <row r="3525" spans="1:6" x14ac:dyDescent="0.55000000000000004">
      <c r="A3525" t="s">
        <v>121</v>
      </c>
      <c r="B3525" t="s">
        <v>49</v>
      </c>
      <c r="C3525">
        <v>1049.0713000000001</v>
      </c>
      <c r="D3525" t="s">
        <v>247</v>
      </c>
      <c r="E3525">
        <v>2020</v>
      </c>
      <c r="F3525">
        <v>11</v>
      </c>
    </row>
    <row r="3526" spans="1:6" x14ac:dyDescent="0.55000000000000004">
      <c r="A3526" t="s">
        <v>121</v>
      </c>
      <c r="B3526" t="s">
        <v>50</v>
      </c>
      <c r="C3526">
        <v>35770.1463</v>
      </c>
      <c r="D3526" t="s">
        <v>247</v>
      </c>
      <c r="E3526">
        <v>2020</v>
      </c>
      <c r="F3526">
        <v>11</v>
      </c>
    </row>
    <row r="3527" spans="1:6" x14ac:dyDescent="0.55000000000000004">
      <c r="A3527" t="s">
        <v>121</v>
      </c>
      <c r="B3527" t="s">
        <v>51</v>
      </c>
      <c r="C3527">
        <v>2500</v>
      </c>
      <c r="D3527" t="s">
        <v>247</v>
      </c>
      <c r="E3527">
        <v>2020</v>
      </c>
      <c r="F3527">
        <v>11</v>
      </c>
    </row>
    <row r="3528" spans="1:6" x14ac:dyDescent="0.55000000000000004">
      <c r="A3528" t="s">
        <v>121</v>
      </c>
      <c r="B3528" t="s">
        <v>52</v>
      </c>
      <c r="C3528">
        <v>130.8083</v>
      </c>
      <c r="D3528" t="s">
        <v>247</v>
      </c>
      <c r="E3528">
        <v>2020</v>
      </c>
      <c r="F3528">
        <v>11</v>
      </c>
    </row>
    <row r="3529" spans="1:6" x14ac:dyDescent="0.55000000000000004">
      <c r="A3529" t="s">
        <v>121</v>
      </c>
      <c r="B3529" t="s">
        <v>53</v>
      </c>
      <c r="C3529">
        <v>89809.66</v>
      </c>
      <c r="D3529" t="s">
        <v>247</v>
      </c>
      <c r="E3529">
        <v>2020</v>
      </c>
      <c r="F3529">
        <v>11</v>
      </c>
    </row>
    <row r="3530" spans="1:6" x14ac:dyDescent="0.55000000000000004">
      <c r="A3530" t="s">
        <v>121</v>
      </c>
      <c r="B3530" t="s">
        <v>54</v>
      </c>
      <c r="C3530">
        <v>24764.208299999998</v>
      </c>
      <c r="D3530" t="s">
        <v>247</v>
      </c>
      <c r="E3530">
        <v>2020</v>
      </c>
      <c r="F3530">
        <v>11</v>
      </c>
    </row>
    <row r="3531" spans="1:6" x14ac:dyDescent="0.55000000000000004">
      <c r="A3531" t="s">
        <v>121</v>
      </c>
      <c r="B3531" t="s">
        <v>55</v>
      </c>
      <c r="C3531">
        <v>753.06669999999997</v>
      </c>
      <c r="D3531" t="s">
        <v>247</v>
      </c>
      <c r="E3531">
        <v>2020</v>
      </c>
      <c r="F3531">
        <v>11</v>
      </c>
    </row>
    <row r="3532" spans="1:6" x14ac:dyDescent="0.55000000000000004">
      <c r="A3532" t="s">
        <v>121</v>
      </c>
      <c r="B3532" t="s">
        <v>56</v>
      </c>
      <c r="C3532">
        <v>1500</v>
      </c>
      <c r="D3532" t="s">
        <v>247</v>
      </c>
      <c r="E3532">
        <v>2020</v>
      </c>
      <c r="F3532">
        <v>11</v>
      </c>
    </row>
    <row r="3533" spans="1:6" x14ac:dyDescent="0.55000000000000004">
      <c r="A3533" t="s">
        <v>121</v>
      </c>
      <c r="B3533" t="s">
        <v>57</v>
      </c>
      <c r="C3533">
        <v>841.74400000000003</v>
      </c>
      <c r="D3533" t="s">
        <v>247</v>
      </c>
      <c r="E3533">
        <v>2020</v>
      </c>
      <c r="F3533">
        <v>11</v>
      </c>
    </row>
    <row r="3534" spans="1:6" x14ac:dyDescent="0.55000000000000004">
      <c r="A3534" t="s">
        <v>121</v>
      </c>
      <c r="B3534" t="s">
        <v>58</v>
      </c>
      <c r="C3534">
        <v>430324</v>
      </c>
      <c r="D3534" t="s">
        <v>247</v>
      </c>
      <c r="E3534">
        <v>2020</v>
      </c>
      <c r="F3534">
        <v>11</v>
      </c>
    </row>
    <row r="3535" spans="1:6" x14ac:dyDescent="0.55000000000000004">
      <c r="A3535" t="s">
        <v>121</v>
      </c>
      <c r="B3535" t="s">
        <v>59</v>
      </c>
      <c r="C3535">
        <v>3100</v>
      </c>
      <c r="D3535" t="s">
        <v>247</v>
      </c>
      <c r="E3535">
        <v>2020</v>
      </c>
      <c r="F3535">
        <v>11</v>
      </c>
    </row>
    <row r="3536" spans="1:6" x14ac:dyDescent="0.55000000000000004">
      <c r="A3536" t="s">
        <v>121</v>
      </c>
      <c r="B3536" t="s">
        <v>60</v>
      </c>
      <c r="C3536">
        <v>1400000.0326</v>
      </c>
      <c r="D3536" t="s">
        <v>247</v>
      </c>
      <c r="E3536">
        <v>2020</v>
      </c>
      <c r="F3536">
        <v>11</v>
      </c>
    </row>
    <row r="3537" spans="1:6" x14ac:dyDescent="0.55000000000000004">
      <c r="A3537" t="s">
        <v>121</v>
      </c>
      <c r="B3537" t="s">
        <v>61</v>
      </c>
      <c r="C3537">
        <v>3940.0034999999998</v>
      </c>
      <c r="D3537" t="s">
        <v>247</v>
      </c>
      <c r="E3537">
        <v>2020</v>
      </c>
      <c r="F3537">
        <v>11</v>
      </c>
    </row>
    <row r="3538" spans="1:6" x14ac:dyDescent="0.55000000000000004">
      <c r="A3538" t="s">
        <v>121</v>
      </c>
      <c r="B3538" t="s">
        <v>62</v>
      </c>
      <c r="C3538">
        <v>3531.0333000000001</v>
      </c>
      <c r="D3538" t="s">
        <v>247</v>
      </c>
      <c r="E3538">
        <v>2020</v>
      </c>
      <c r="F3538">
        <v>11</v>
      </c>
    </row>
    <row r="3539" spans="1:6" x14ac:dyDescent="0.55000000000000004">
      <c r="A3539" t="s">
        <v>121</v>
      </c>
      <c r="B3539" t="s">
        <v>63</v>
      </c>
      <c r="C3539">
        <v>960</v>
      </c>
      <c r="D3539" t="s">
        <v>247</v>
      </c>
      <c r="E3539">
        <v>2020</v>
      </c>
      <c r="F3539">
        <v>11</v>
      </c>
    </row>
    <row r="3540" spans="1:6" x14ac:dyDescent="0.55000000000000004">
      <c r="A3540" t="s">
        <v>122</v>
      </c>
      <c r="B3540" t="s">
        <v>4</v>
      </c>
      <c r="C3540">
        <v>11225757.3506</v>
      </c>
      <c r="D3540" t="s">
        <v>248</v>
      </c>
      <c r="E3540">
        <v>2020</v>
      </c>
      <c r="F3540">
        <v>12</v>
      </c>
    </row>
    <row r="3541" spans="1:6" x14ac:dyDescent="0.55000000000000004">
      <c r="A3541" t="s">
        <v>122</v>
      </c>
      <c r="B3541" t="s">
        <v>5</v>
      </c>
      <c r="C3541">
        <v>1454602.0970999999</v>
      </c>
      <c r="D3541" t="s">
        <v>248</v>
      </c>
      <c r="E3541">
        <v>2020</v>
      </c>
      <c r="F3541">
        <v>12</v>
      </c>
    </row>
    <row r="3542" spans="1:6" x14ac:dyDescent="0.55000000000000004">
      <c r="A3542" t="s">
        <v>122</v>
      </c>
      <c r="B3542" t="s">
        <v>6</v>
      </c>
      <c r="C3542">
        <v>1525270.601</v>
      </c>
      <c r="D3542" t="s">
        <v>248</v>
      </c>
      <c r="E3542">
        <v>2020</v>
      </c>
      <c r="F3542">
        <v>12</v>
      </c>
    </row>
    <row r="3543" spans="1:6" x14ac:dyDescent="0.55000000000000004">
      <c r="A3543" t="s">
        <v>122</v>
      </c>
      <c r="B3543" t="s">
        <v>7</v>
      </c>
      <c r="C3543">
        <v>4255912.0100999996</v>
      </c>
      <c r="D3543" t="s">
        <v>248</v>
      </c>
      <c r="E3543">
        <v>2020</v>
      </c>
      <c r="F3543">
        <v>12</v>
      </c>
    </row>
    <row r="3544" spans="1:6" x14ac:dyDescent="0.55000000000000004">
      <c r="A3544" t="s">
        <v>122</v>
      </c>
      <c r="B3544" t="s">
        <v>8</v>
      </c>
      <c r="C3544">
        <v>3989972.6423999998</v>
      </c>
      <c r="D3544" t="s">
        <v>248</v>
      </c>
      <c r="E3544">
        <v>2020</v>
      </c>
      <c r="F3544">
        <v>12</v>
      </c>
    </row>
    <row r="3545" spans="1:6" x14ac:dyDescent="0.55000000000000004">
      <c r="A3545" t="s">
        <v>122</v>
      </c>
      <c r="B3545" t="s">
        <v>9</v>
      </c>
      <c r="C3545">
        <v>894.3</v>
      </c>
      <c r="D3545" t="s">
        <v>248</v>
      </c>
      <c r="E3545">
        <v>2020</v>
      </c>
      <c r="F3545">
        <v>12</v>
      </c>
    </row>
    <row r="3546" spans="1:6" x14ac:dyDescent="0.55000000000000004">
      <c r="A3546" t="s">
        <v>122</v>
      </c>
      <c r="B3546" t="s">
        <v>10</v>
      </c>
      <c r="C3546">
        <v>1580.8667</v>
      </c>
      <c r="D3546" t="s">
        <v>248</v>
      </c>
      <c r="E3546">
        <v>2020</v>
      </c>
      <c r="F3546">
        <v>12</v>
      </c>
    </row>
    <row r="3547" spans="1:6" x14ac:dyDescent="0.55000000000000004">
      <c r="A3547" t="s">
        <v>122</v>
      </c>
      <c r="B3547" t="s">
        <v>11</v>
      </c>
      <c r="C3547">
        <v>4409066.4818000002</v>
      </c>
      <c r="D3547" t="s">
        <v>248</v>
      </c>
      <c r="E3547">
        <v>2020</v>
      </c>
      <c r="F3547">
        <v>12</v>
      </c>
    </row>
    <row r="3548" spans="1:6" x14ac:dyDescent="0.55000000000000004">
      <c r="A3548" t="s">
        <v>122</v>
      </c>
      <c r="B3548" t="s">
        <v>12</v>
      </c>
      <c r="C3548">
        <v>44709.866699999999</v>
      </c>
      <c r="D3548" t="s">
        <v>248</v>
      </c>
      <c r="E3548">
        <v>2020</v>
      </c>
      <c r="F3548">
        <v>12</v>
      </c>
    </row>
    <row r="3549" spans="1:6" x14ac:dyDescent="0.55000000000000004">
      <c r="A3549" t="s">
        <v>122</v>
      </c>
      <c r="B3549" t="s">
        <v>13</v>
      </c>
      <c r="C3549">
        <v>10173.3333</v>
      </c>
      <c r="D3549" t="s">
        <v>248</v>
      </c>
      <c r="E3549">
        <v>2020</v>
      </c>
      <c r="F3549">
        <v>12</v>
      </c>
    </row>
    <row r="3550" spans="1:6" x14ac:dyDescent="0.55000000000000004">
      <c r="A3550" t="s">
        <v>122</v>
      </c>
      <c r="B3550" t="s">
        <v>14</v>
      </c>
      <c r="C3550">
        <v>0</v>
      </c>
      <c r="D3550" t="s">
        <v>248</v>
      </c>
      <c r="E3550">
        <v>2020</v>
      </c>
      <c r="F3550">
        <v>12</v>
      </c>
    </row>
    <row r="3551" spans="1:6" x14ac:dyDescent="0.55000000000000004">
      <c r="A3551" t="s">
        <v>122</v>
      </c>
      <c r="B3551" t="s">
        <v>15</v>
      </c>
      <c r="C3551">
        <v>1309396.6731</v>
      </c>
      <c r="D3551" t="s">
        <v>248</v>
      </c>
      <c r="E3551">
        <v>2020</v>
      </c>
      <c r="F3551">
        <v>12</v>
      </c>
    </row>
    <row r="3552" spans="1:6" x14ac:dyDescent="0.55000000000000004">
      <c r="A3552" t="s">
        <v>122</v>
      </c>
      <c r="B3552" t="s">
        <v>16</v>
      </c>
      <c r="C3552">
        <v>0</v>
      </c>
      <c r="D3552" t="s">
        <v>248</v>
      </c>
      <c r="E3552">
        <v>2020</v>
      </c>
      <c r="F3552">
        <v>12</v>
      </c>
    </row>
    <row r="3553" spans="1:6" x14ac:dyDescent="0.55000000000000004">
      <c r="A3553" t="s">
        <v>122</v>
      </c>
      <c r="B3553" t="s">
        <v>17</v>
      </c>
      <c r="C3553">
        <v>37590.609900000003</v>
      </c>
      <c r="D3553" t="s">
        <v>248</v>
      </c>
      <c r="E3553">
        <v>2020</v>
      </c>
      <c r="F3553">
        <v>12</v>
      </c>
    </row>
    <row r="3554" spans="1:6" x14ac:dyDescent="0.55000000000000004">
      <c r="A3554" t="s">
        <v>122</v>
      </c>
      <c r="B3554" t="s">
        <v>18</v>
      </c>
      <c r="C3554">
        <v>14617.2667</v>
      </c>
      <c r="D3554" t="s">
        <v>248</v>
      </c>
      <c r="E3554">
        <v>2020</v>
      </c>
      <c r="F3554">
        <v>12</v>
      </c>
    </row>
    <row r="3555" spans="1:6" x14ac:dyDescent="0.55000000000000004">
      <c r="A3555" t="s">
        <v>122</v>
      </c>
      <c r="B3555" t="s">
        <v>19</v>
      </c>
      <c r="C3555">
        <v>1927.1832999999999</v>
      </c>
      <c r="D3555" t="s">
        <v>248</v>
      </c>
      <c r="E3555">
        <v>2020</v>
      </c>
      <c r="F3555">
        <v>12</v>
      </c>
    </row>
    <row r="3556" spans="1:6" x14ac:dyDescent="0.55000000000000004">
      <c r="A3556" t="s">
        <v>122</v>
      </c>
      <c r="B3556" t="s">
        <v>20</v>
      </c>
      <c r="C3556">
        <v>10000</v>
      </c>
      <c r="D3556" t="s">
        <v>248</v>
      </c>
      <c r="E3556">
        <v>2020</v>
      </c>
      <c r="F3556">
        <v>12</v>
      </c>
    </row>
    <row r="3557" spans="1:6" x14ac:dyDescent="0.55000000000000004">
      <c r="A3557" t="s">
        <v>122</v>
      </c>
      <c r="B3557" t="s">
        <v>21</v>
      </c>
      <c r="C3557">
        <v>1325.6125</v>
      </c>
      <c r="D3557" t="s">
        <v>248</v>
      </c>
      <c r="E3557">
        <v>2020</v>
      </c>
      <c r="F3557">
        <v>12</v>
      </c>
    </row>
    <row r="3558" spans="1:6" x14ac:dyDescent="0.55000000000000004">
      <c r="A3558" t="s">
        <v>122</v>
      </c>
      <c r="B3558" t="s">
        <v>22</v>
      </c>
      <c r="C3558">
        <v>39751.816700000003</v>
      </c>
      <c r="D3558" t="s">
        <v>248</v>
      </c>
      <c r="E3558">
        <v>2020</v>
      </c>
      <c r="F3558">
        <v>12</v>
      </c>
    </row>
    <row r="3559" spans="1:6" x14ac:dyDescent="0.55000000000000004">
      <c r="A3559" t="s">
        <v>122</v>
      </c>
      <c r="B3559" t="s">
        <v>23</v>
      </c>
      <c r="C3559">
        <v>7141.4944999999998</v>
      </c>
      <c r="D3559" t="s">
        <v>248</v>
      </c>
      <c r="E3559">
        <v>2020</v>
      </c>
      <c r="F3559">
        <v>12</v>
      </c>
    </row>
    <row r="3560" spans="1:6" x14ac:dyDescent="0.55000000000000004">
      <c r="A3560" t="s">
        <v>122</v>
      </c>
      <c r="B3560" t="s">
        <v>24</v>
      </c>
      <c r="C3560">
        <v>0</v>
      </c>
      <c r="D3560" t="s">
        <v>248</v>
      </c>
      <c r="E3560">
        <v>2020</v>
      </c>
      <c r="F3560">
        <v>12</v>
      </c>
    </row>
    <row r="3561" spans="1:6" x14ac:dyDescent="0.55000000000000004">
      <c r="A3561" t="s">
        <v>122</v>
      </c>
      <c r="B3561" t="s">
        <v>25</v>
      </c>
      <c r="C3561">
        <v>193664.21669999999</v>
      </c>
      <c r="D3561" t="s">
        <v>248</v>
      </c>
      <c r="E3561">
        <v>2020</v>
      </c>
      <c r="F3561">
        <v>12</v>
      </c>
    </row>
    <row r="3562" spans="1:6" x14ac:dyDescent="0.55000000000000004">
      <c r="A3562" t="s">
        <v>122</v>
      </c>
      <c r="B3562" t="s">
        <v>26</v>
      </c>
      <c r="C3562">
        <v>0</v>
      </c>
      <c r="D3562" t="s">
        <v>248</v>
      </c>
      <c r="E3562">
        <v>2020</v>
      </c>
      <c r="F3562">
        <v>12</v>
      </c>
    </row>
    <row r="3563" spans="1:6" x14ac:dyDescent="0.55000000000000004">
      <c r="A3563" t="s">
        <v>122</v>
      </c>
      <c r="B3563" t="s">
        <v>27</v>
      </c>
      <c r="C3563">
        <v>504.92439999999999</v>
      </c>
      <c r="D3563" t="s">
        <v>248</v>
      </c>
      <c r="E3563">
        <v>2020</v>
      </c>
      <c r="F3563">
        <v>12</v>
      </c>
    </row>
    <row r="3564" spans="1:6" x14ac:dyDescent="0.55000000000000004">
      <c r="A3564" t="s">
        <v>122</v>
      </c>
      <c r="B3564" t="s">
        <v>28</v>
      </c>
      <c r="C3564">
        <v>90077.275399999999</v>
      </c>
      <c r="D3564" t="s">
        <v>248</v>
      </c>
      <c r="E3564">
        <v>2020</v>
      </c>
      <c r="F3564">
        <v>12</v>
      </c>
    </row>
    <row r="3565" spans="1:6" x14ac:dyDescent="0.55000000000000004">
      <c r="A3565" t="s">
        <v>122</v>
      </c>
      <c r="B3565" t="s">
        <v>29</v>
      </c>
      <c r="C3565">
        <v>0</v>
      </c>
      <c r="D3565" t="s">
        <v>248</v>
      </c>
      <c r="E3565">
        <v>2020</v>
      </c>
      <c r="F3565">
        <v>12</v>
      </c>
    </row>
    <row r="3566" spans="1:6" x14ac:dyDescent="0.55000000000000004">
      <c r="A3566" t="s">
        <v>122</v>
      </c>
      <c r="B3566" t="s">
        <v>30</v>
      </c>
      <c r="C3566">
        <v>0</v>
      </c>
      <c r="D3566" t="s">
        <v>248</v>
      </c>
      <c r="E3566">
        <v>2020</v>
      </c>
      <c r="F3566">
        <v>12</v>
      </c>
    </row>
    <row r="3567" spans="1:6" x14ac:dyDescent="0.55000000000000004">
      <c r="A3567" t="s">
        <v>122</v>
      </c>
      <c r="B3567" t="s">
        <v>31</v>
      </c>
      <c r="C3567">
        <v>100</v>
      </c>
      <c r="D3567" t="s">
        <v>248</v>
      </c>
      <c r="E3567">
        <v>2020</v>
      </c>
      <c r="F3567">
        <v>12</v>
      </c>
    </row>
    <row r="3568" spans="1:6" x14ac:dyDescent="0.55000000000000004">
      <c r="A3568" t="s">
        <v>122</v>
      </c>
      <c r="B3568" t="s">
        <v>32</v>
      </c>
      <c r="C3568">
        <v>202453.22200000001</v>
      </c>
      <c r="D3568" t="s">
        <v>248</v>
      </c>
      <c r="E3568">
        <v>2020</v>
      </c>
      <c r="F3568">
        <v>12</v>
      </c>
    </row>
    <row r="3569" spans="1:6" x14ac:dyDescent="0.55000000000000004">
      <c r="A3569" t="s">
        <v>122</v>
      </c>
      <c r="B3569" t="s">
        <v>33</v>
      </c>
      <c r="C3569">
        <v>322989.87800000003</v>
      </c>
      <c r="D3569" t="s">
        <v>248</v>
      </c>
      <c r="E3569">
        <v>2020</v>
      </c>
      <c r="F3569">
        <v>12</v>
      </c>
    </row>
    <row r="3570" spans="1:6" x14ac:dyDescent="0.55000000000000004">
      <c r="A3570" t="s">
        <v>122</v>
      </c>
      <c r="B3570" t="s">
        <v>34</v>
      </c>
      <c r="C3570">
        <v>644085.29040000006</v>
      </c>
      <c r="D3570" t="s">
        <v>248</v>
      </c>
      <c r="E3570">
        <v>2020</v>
      </c>
      <c r="F3570">
        <v>12</v>
      </c>
    </row>
    <row r="3571" spans="1:6" x14ac:dyDescent="0.55000000000000004">
      <c r="A3571" t="s">
        <v>122</v>
      </c>
      <c r="B3571" t="s">
        <v>35</v>
      </c>
      <c r="C3571">
        <v>723.65940000000001</v>
      </c>
      <c r="D3571" t="s">
        <v>248</v>
      </c>
      <c r="E3571">
        <v>2020</v>
      </c>
      <c r="F3571">
        <v>12</v>
      </c>
    </row>
    <row r="3572" spans="1:6" x14ac:dyDescent="0.55000000000000004">
      <c r="A3572" t="s">
        <v>122</v>
      </c>
      <c r="B3572" t="s">
        <v>36</v>
      </c>
      <c r="C3572">
        <v>46709.154000000002</v>
      </c>
      <c r="D3572" t="s">
        <v>248</v>
      </c>
      <c r="E3572">
        <v>2020</v>
      </c>
      <c r="F3572">
        <v>12</v>
      </c>
    </row>
    <row r="3573" spans="1:6" x14ac:dyDescent="0.55000000000000004">
      <c r="A3573" t="s">
        <v>122</v>
      </c>
      <c r="B3573" t="s">
        <v>37</v>
      </c>
      <c r="C3573">
        <v>93800.007299999997</v>
      </c>
      <c r="D3573" t="s">
        <v>248</v>
      </c>
      <c r="E3573">
        <v>2020</v>
      </c>
      <c r="F3573">
        <v>12</v>
      </c>
    </row>
    <row r="3574" spans="1:6" x14ac:dyDescent="0.55000000000000004">
      <c r="A3574" t="s">
        <v>122</v>
      </c>
      <c r="B3574" t="s">
        <v>38</v>
      </c>
      <c r="C3574">
        <v>0</v>
      </c>
      <c r="D3574" t="s">
        <v>248</v>
      </c>
      <c r="E3574">
        <v>2020</v>
      </c>
      <c r="F3574">
        <v>12</v>
      </c>
    </row>
    <row r="3575" spans="1:6" x14ac:dyDescent="0.55000000000000004">
      <c r="A3575" t="s">
        <v>122</v>
      </c>
      <c r="B3575" t="s">
        <v>39</v>
      </c>
      <c r="C3575">
        <v>4871.9832999999999</v>
      </c>
      <c r="D3575" t="s">
        <v>248</v>
      </c>
      <c r="E3575">
        <v>2020</v>
      </c>
      <c r="F3575">
        <v>12</v>
      </c>
    </row>
    <row r="3576" spans="1:6" x14ac:dyDescent="0.55000000000000004">
      <c r="A3576" t="s">
        <v>122</v>
      </c>
      <c r="B3576" t="s">
        <v>40</v>
      </c>
      <c r="C3576">
        <v>1509.6867</v>
      </c>
      <c r="D3576" t="s">
        <v>248</v>
      </c>
      <c r="E3576">
        <v>2020</v>
      </c>
      <c r="F3576">
        <v>12</v>
      </c>
    </row>
    <row r="3577" spans="1:6" x14ac:dyDescent="0.55000000000000004">
      <c r="A3577" t="s">
        <v>122</v>
      </c>
      <c r="B3577" t="s">
        <v>41</v>
      </c>
      <c r="C3577">
        <v>211334.7004</v>
      </c>
      <c r="D3577" t="s">
        <v>248</v>
      </c>
      <c r="E3577">
        <v>2020</v>
      </c>
      <c r="F3577">
        <v>12</v>
      </c>
    </row>
    <row r="3578" spans="1:6" x14ac:dyDescent="0.55000000000000004">
      <c r="A3578" t="s">
        <v>122</v>
      </c>
      <c r="B3578" t="s">
        <v>42</v>
      </c>
      <c r="C3578">
        <v>53.363500000000002</v>
      </c>
      <c r="D3578" t="s">
        <v>248</v>
      </c>
      <c r="E3578">
        <v>2020</v>
      </c>
      <c r="F3578">
        <v>12</v>
      </c>
    </row>
    <row r="3579" spans="1:6" x14ac:dyDescent="0.55000000000000004">
      <c r="A3579" t="s">
        <v>122</v>
      </c>
      <c r="B3579" t="s">
        <v>43</v>
      </c>
      <c r="C3579">
        <v>106831.951</v>
      </c>
      <c r="D3579" t="s">
        <v>248</v>
      </c>
      <c r="E3579">
        <v>2020</v>
      </c>
      <c r="F3579">
        <v>12</v>
      </c>
    </row>
    <row r="3580" spans="1:6" x14ac:dyDescent="0.55000000000000004">
      <c r="A3580" t="s">
        <v>122</v>
      </c>
      <c r="B3580" t="s">
        <v>44</v>
      </c>
      <c r="C3580">
        <v>0</v>
      </c>
      <c r="D3580" t="s">
        <v>248</v>
      </c>
      <c r="E3580">
        <v>2020</v>
      </c>
      <c r="F3580">
        <v>12</v>
      </c>
    </row>
    <row r="3581" spans="1:6" x14ac:dyDescent="0.55000000000000004">
      <c r="A3581" t="s">
        <v>122</v>
      </c>
      <c r="B3581" t="s">
        <v>45</v>
      </c>
      <c r="C3581">
        <v>497.52609999999999</v>
      </c>
      <c r="D3581" t="s">
        <v>248</v>
      </c>
      <c r="E3581">
        <v>2020</v>
      </c>
      <c r="F3581">
        <v>12</v>
      </c>
    </row>
    <row r="3582" spans="1:6" x14ac:dyDescent="0.55000000000000004">
      <c r="A3582" t="s">
        <v>122</v>
      </c>
      <c r="B3582" t="s">
        <v>46</v>
      </c>
      <c r="C3582">
        <v>81083.17</v>
      </c>
      <c r="D3582" t="s">
        <v>248</v>
      </c>
      <c r="E3582">
        <v>2020</v>
      </c>
      <c r="F3582">
        <v>12</v>
      </c>
    </row>
    <row r="3583" spans="1:6" x14ac:dyDescent="0.55000000000000004">
      <c r="A3583" t="s">
        <v>122</v>
      </c>
      <c r="B3583" t="s">
        <v>47</v>
      </c>
      <c r="C3583">
        <v>0.5</v>
      </c>
      <c r="D3583" t="s">
        <v>248</v>
      </c>
      <c r="E3583">
        <v>2020</v>
      </c>
      <c r="F3583">
        <v>12</v>
      </c>
    </row>
    <row r="3584" spans="1:6" x14ac:dyDescent="0.55000000000000004">
      <c r="A3584" t="s">
        <v>122</v>
      </c>
      <c r="B3584" t="s">
        <v>48</v>
      </c>
      <c r="C3584">
        <v>367266.63919999998</v>
      </c>
      <c r="D3584" t="s">
        <v>248</v>
      </c>
      <c r="E3584">
        <v>2020</v>
      </c>
      <c r="F3584">
        <v>12</v>
      </c>
    </row>
    <row r="3585" spans="1:6" x14ac:dyDescent="0.55000000000000004">
      <c r="A3585" t="s">
        <v>122</v>
      </c>
      <c r="B3585" t="s">
        <v>49</v>
      </c>
      <c r="C3585">
        <v>690.63800000000003</v>
      </c>
      <c r="D3585" t="s">
        <v>248</v>
      </c>
      <c r="E3585">
        <v>2020</v>
      </c>
      <c r="F3585">
        <v>12</v>
      </c>
    </row>
    <row r="3586" spans="1:6" x14ac:dyDescent="0.55000000000000004">
      <c r="A3586" t="s">
        <v>122</v>
      </c>
      <c r="B3586" t="s">
        <v>50</v>
      </c>
      <c r="C3586">
        <v>59222.847699999998</v>
      </c>
      <c r="D3586" t="s">
        <v>248</v>
      </c>
      <c r="E3586">
        <v>2020</v>
      </c>
      <c r="F3586">
        <v>12</v>
      </c>
    </row>
    <row r="3587" spans="1:6" x14ac:dyDescent="0.55000000000000004">
      <c r="A3587" t="s">
        <v>122</v>
      </c>
      <c r="B3587" t="s">
        <v>51</v>
      </c>
      <c r="C3587">
        <v>2500</v>
      </c>
      <c r="D3587" t="s">
        <v>248</v>
      </c>
      <c r="E3587">
        <v>2020</v>
      </c>
      <c r="F3587">
        <v>12</v>
      </c>
    </row>
    <row r="3588" spans="1:6" x14ac:dyDescent="0.55000000000000004">
      <c r="A3588" t="s">
        <v>122</v>
      </c>
      <c r="B3588" t="s">
        <v>52</v>
      </c>
      <c r="C3588">
        <v>130.8083</v>
      </c>
      <c r="D3588" t="s">
        <v>248</v>
      </c>
      <c r="E3588">
        <v>2020</v>
      </c>
      <c r="F3588">
        <v>12</v>
      </c>
    </row>
    <row r="3589" spans="1:6" x14ac:dyDescent="0.55000000000000004">
      <c r="A3589" t="s">
        <v>122</v>
      </c>
      <c r="B3589" t="s">
        <v>53</v>
      </c>
      <c r="C3589">
        <v>138587.66</v>
      </c>
      <c r="D3589" t="s">
        <v>248</v>
      </c>
      <c r="E3589">
        <v>2020</v>
      </c>
      <c r="F3589">
        <v>12</v>
      </c>
    </row>
    <row r="3590" spans="1:6" x14ac:dyDescent="0.55000000000000004">
      <c r="A3590" t="s">
        <v>122</v>
      </c>
      <c r="B3590" t="s">
        <v>54</v>
      </c>
      <c r="C3590">
        <v>26470.639800000001</v>
      </c>
      <c r="D3590" t="s">
        <v>248</v>
      </c>
      <c r="E3590">
        <v>2020</v>
      </c>
      <c r="F3590">
        <v>12</v>
      </c>
    </row>
    <row r="3591" spans="1:6" x14ac:dyDescent="0.55000000000000004">
      <c r="A3591" t="s">
        <v>122</v>
      </c>
      <c r="B3591" t="s">
        <v>55</v>
      </c>
      <c r="C3591">
        <v>5634.7833000000001</v>
      </c>
      <c r="D3591" t="s">
        <v>248</v>
      </c>
      <c r="E3591">
        <v>2020</v>
      </c>
      <c r="F3591">
        <v>12</v>
      </c>
    </row>
    <row r="3592" spans="1:6" x14ac:dyDescent="0.55000000000000004">
      <c r="A3592" t="s">
        <v>122</v>
      </c>
      <c r="B3592" t="s">
        <v>56</v>
      </c>
      <c r="C3592">
        <v>1000</v>
      </c>
      <c r="D3592" t="s">
        <v>248</v>
      </c>
      <c r="E3592">
        <v>2020</v>
      </c>
      <c r="F3592">
        <v>12</v>
      </c>
    </row>
    <row r="3593" spans="1:6" x14ac:dyDescent="0.55000000000000004">
      <c r="A3593" t="s">
        <v>122</v>
      </c>
      <c r="B3593" t="s">
        <v>57</v>
      </c>
      <c r="C3593">
        <v>140.31489999999999</v>
      </c>
      <c r="D3593" t="s">
        <v>248</v>
      </c>
      <c r="E3593">
        <v>2020</v>
      </c>
      <c r="F3593">
        <v>12</v>
      </c>
    </row>
    <row r="3594" spans="1:6" x14ac:dyDescent="0.55000000000000004">
      <c r="A3594" t="s">
        <v>122</v>
      </c>
      <c r="B3594" t="s">
        <v>58</v>
      </c>
      <c r="C3594">
        <v>422922</v>
      </c>
      <c r="D3594" t="s">
        <v>248</v>
      </c>
      <c r="E3594">
        <v>2020</v>
      </c>
      <c r="F3594">
        <v>12</v>
      </c>
    </row>
    <row r="3595" spans="1:6" x14ac:dyDescent="0.55000000000000004">
      <c r="A3595" t="s">
        <v>122</v>
      </c>
      <c r="B3595" t="s">
        <v>59</v>
      </c>
      <c r="C3595">
        <v>2200</v>
      </c>
      <c r="D3595" t="s">
        <v>248</v>
      </c>
      <c r="E3595">
        <v>2020</v>
      </c>
      <c r="F3595">
        <v>12</v>
      </c>
    </row>
    <row r="3596" spans="1:6" x14ac:dyDescent="0.55000000000000004">
      <c r="A3596" t="s">
        <v>122</v>
      </c>
      <c r="B3596" t="s">
        <v>60</v>
      </c>
      <c r="C3596">
        <v>2300000.0101000001</v>
      </c>
      <c r="D3596" t="s">
        <v>248</v>
      </c>
      <c r="E3596">
        <v>2020</v>
      </c>
      <c r="F3596">
        <v>12</v>
      </c>
    </row>
    <row r="3597" spans="1:6" x14ac:dyDescent="0.55000000000000004">
      <c r="A3597" t="s">
        <v>122</v>
      </c>
      <c r="B3597" t="s">
        <v>61</v>
      </c>
      <c r="C3597">
        <v>4359.9955</v>
      </c>
      <c r="D3597" t="s">
        <v>248</v>
      </c>
      <c r="E3597">
        <v>2020</v>
      </c>
      <c r="F3597">
        <v>12</v>
      </c>
    </row>
    <row r="3598" spans="1:6" x14ac:dyDescent="0.55000000000000004">
      <c r="A3598" t="s">
        <v>122</v>
      </c>
      <c r="B3598" t="s">
        <v>62</v>
      </c>
      <c r="C3598">
        <v>3885</v>
      </c>
      <c r="D3598" t="s">
        <v>248</v>
      </c>
      <c r="E3598">
        <v>2020</v>
      </c>
      <c r="F3598">
        <v>12</v>
      </c>
    </row>
    <row r="3599" spans="1:6" x14ac:dyDescent="0.55000000000000004">
      <c r="A3599" t="s">
        <v>122</v>
      </c>
      <c r="B3599" t="s">
        <v>63</v>
      </c>
      <c r="C3599">
        <v>1280</v>
      </c>
      <c r="D3599" t="s">
        <v>248</v>
      </c>
      <c r="E3599">
        <v>2020</v>
      </c>
      <c r="F3599">
        <v>12</v>
      </c>
    </row>
    <row r="3600" spans="1:6" x14ac:dyDescent="0.55000000000000004">
      <c r="A3600" t="s">
        <v>123</v>
      </c>
      <c r="B3600" t="s">
        <v>4</v>
      </c>
      <c r="C3600">
        <v>10704279.749399999</v>
      </c>
      <c r="D3600" t="s">
        <v>249</v>
      </c>
      <c r="E3600">
        <v>2021</v>
      </c>
      <c r="F3600">
        <v>1</v>
      </c>
    </row>
    <row r="3601" spans="1:6" x14ac:dyDescent="0.55000000000000004">
      <c r="A3601" t="s">
        <v>123</v>
      </c>
      <c r="B3601" t="s">
        <v>5</v>
      </c>
      <c r="C3601">
        <v>1181339.1831</v>
      </c>
      <c r="D3601" t="s">
        <v>249</v>
      </c>
      <c r="E3601">
        <v>2021</v>
      </c>
      <c r="F3601">
        <v>1</v>
      </c>
    </row>
    <row r="3602" spans="1:6" x14ac:dyDescent="0.55000000000000004">
      <c r="A3602" t="s">
        <v>123</v>
      </c>
      <c r="B3602" t="s">
        <v>6</v>
      </c>
      <c r="C3602">
        <v>1653448.4087</v>
      </c>
      <c r="D3602" t="s">
        <v>249</v>
      </c>
      <c r="E3602">
        <v>2021</v>
      </c>
      <c r="F3602">
        <v>1</v>
      </c>
    </row>
    <row r="3603" spans="1:6" x14ac:dyDescent="0.55000000000000004">
      <c r="A3603" t="s">
        <v>123</v>
      </c>
      <c r="B3603" t="s">
        <v>7</v>
      </c>
      <c r="C3603">
        <v>3606843.4201000002</v>
      </c>
      <c r="D3603" t="s">
        <v>249</v>
      </c>
      <c r="E3603">
        <v>2021</v>
      </c>
      <c r="F3603">
        <v>1</v>
      </c>
    </row>
    <row r="3604" spans="1:6" x14ac:dyDescent="0.55000000000000004">
      <c r="A3604" t="s">
        <v>123</v>
      </c>
      <c r="B3604" t="s">
        <v>8</v>
      </c>
      <c r="C3604">
        <v>4262648.7374999998</v>
      </c>
      <c r="D3604" t="s">
        <v>249</v>
      </c>
      <c r="E3604">
        <v>2021</v>
      </c>
      <c r="F3604">
        <v>1</v>
      </c>
    </row>
    <row r="3605" spans="1:6" x14ac:dyDescent="0.55000000000000004">
      <c r="A3605" t="s">
        <v>123</v>
      </c>
      <c r="B3605" t="s">
        <v>9</v>
      </c>
      <c r="C3605">
        <v>1111.9254000000001</v>
      </c>
      <c r="D3605" t="s">
        <v>249</v>
      </c>
      <c r="E3605">
        <v>2021</v>
      </c>
      <c r="F3605">
        <v>1</v>
      </c>
    </row>
    <row r="3606" spans="1:6" x14ac:dyDescent="0.55000000000000004">
      <c r="A3606" t="s">
        <v>123</v>
      </c>
      <c r="B3606" t="s">
        <v>10</v>
      </c>
      <c r="C3606">
        <v>2581.5</v>
      </c>
      <c r="D3606" t="s">
        <v>249</v>
      </c>
      <c r="E3606">
        <v>2021</v>
      </c>
      <c r="F3606">
        <v>1</v>
      </c>
    </row>
    <row r="3607" spans="1:6" x14ac:dyDescent="0.55000000000000004">
      <c r="A3607" t="s">
        <v>123</v>
      </c>
      <c r="B3607" t="s">
        <v>11</v>
      </c>
      <c r="C3607">
        <v>3657291.2108</v>
      </c>
      <c r="D3607" t="s">
        <v>249</v>
      </c>
      <c r="E3607">
        <v>2021</v>
      </c>
      <c r="F3607">
        <v>1</v>
      </c>
    </row>
    <row r="3608" spans="1:6" x14ac:dyDescent="0.55000000000000004">
      <c r="A3608" t="s">
        <v>123</v>
      </c>
      <c r="B3608" t="s">
        <v>12</v>
      </c>
      <c r="C3608">
        <v>22702.066699999999</v>
      </c>
      <c r="D3608" t="s">
        <v>249</v>
      </c>
      <c r="E3608">
        <v>2021</v>
      </c>
      <c r="F3608">
        <v>1</v>
      </c>
    </row>
    <row r="3609" spans="1:6" x14ac:dyDescent="0.55000000000000004">
      <c r="A3609" t="s">
        <v>123</v>
      </c>
      <c r="B3609" t="s">
        <v>13</v>
      </c>
      <c r="C3609">
        <v>16250</v>
      </c>
      <c r="D3609" t="s">
        <v>249</v>
      </c>
      <c r="E3609">
        <v>2021</v>
      </c>
      <c r="F3609">
        <v>1</v>
      </c>
    </row>
    <row r="3610" spans="1:6" x14ac:dyDescent="0.55000000000000004">
      <c r="A3610" t="s">
        <v>123</v>
      </c>
      <c r="B3610" t="s">
        <v>14</v>
      </c>
      <c r="C3610">
        <v>1500</v>
      </c>
      <c r="D3610" t="s">
        <v>249</v>
      </c>
      <c r="E3610">
        <v>2021</v>
      </c>
      <c r="F3610">
        <v>1</v>
      </c>
    </row>
    <row r="3611" spans="1:6" x14ac:dyDescent="0.55000000000000004">
      <c r="A3611" t="s">
        <v>123</v>
      </c>
      <c r="B3611" t="s">
        <v>15</v>
      </c>
      <c r="C3611">
        <v>1072648.2864000001</v>
      </c>
      <c r="D3611" t="s">
        <v>249</v>
      </c>
      <c r="E3611">
        <v>2021</v>
      </c>
      <c r="F3611">
        <v>1</v>
      </c>
    </row>
    <row r="3612" spans="1:6" x14ac:dyDescent="0.55000000000000004">
      <c r="A3612" t="s">
        <v>123</v>
      </c>
      <c r="B3612" t="s">
        <v>16</v>
      </c>
      <c r="C3612">
        <v>7.0609999999999999</v>
      </c>
      <c r="D3612" t="s">
        <v>249</v>
      </c>
      <c r="E3612">
        <v>2021</v>
      </c>
      <c r="F3612">
        <v>1</v>
      </c>
    </row>
    <row r="3613" spans="1:6" x14ac:dyDescent="0.55000000000000004">
      <c r="A3613" t="s">
        <v>123</v>
      </c>
      <c r="B3613" t="s">
        <v>17</v>
      </c>
      <c r="C3613">
        <v>33534.226499999997</v>
      </c>
      <c r="D3613" t="s">
        <v>249</v>
      </c>
      <c r="E3613">
        <v>2021</v>
      </c>
      <c r="F3613">
        <v>1</v>
      </c>
    </row>
    <row r="3614" spans="1:6" x14ac:dyDescent="0.55000000000000004">
      <c r="A3614" t="s">
        <v>123</v>
      </c>
      <c r="B3614" t="s">
        <v>18</v>
      </c>
      <c r="C3614">
        <v>73798.1495</v>
      </c>
      <c r="D3614" t="s">
        <v>249</v>
      </c>
      <c r="E3614">
        <v>2021</v>
      </c>
      <c r="F3614">
        <v>1</v>
      </c>
    </row>
    <row r="3615" spans="1:6" x14ac:dyDescent="0.55000000000000004">
      <c r="A3615" t="s">
        <v>123</v>
      </c>
      <c r="B3615" t="s">
        <v>19</v>
      </c>
      <c r="C3615">
        <v>2053.4454000000001</v>
      </c>
      <c r="D3615" t="s">
        <v>249</v>
      </c>
      <c r="E3615">
        <v>2021</v>
      </c>
      <c r="F3615">
        <v>1</v>
      </c>
    </row>
    <row r="3616" spans="1:6" x14ac:dyDescent="0.55000000000000004">
      <c r="A3616" t="s">
        <v>123</v>
      </c>
      <c r="B3616" t="s">
        <v>20</v>
      </c>
      <c r="C3616">
        <v>12000</v>
      </c>
      <c r="D3616" t="s">
        <v>249</v>
      </c>
      <c r="E3616">
        <v>2021</v>
      </c>
      <c r="F3616">
        <v>1</v>
      </c>
    </row>
    <row r="3617" spans="1:6" x14ac:dyDescent="0.55000000000000004">
      <c r="A3617" t="s">
        <v>123</v>
      </c>
      <c r="B3617" t="s">
        <v>21</v>
      </c>
      <c r="C3617">
        <v>1134.8098</v>
      </c>
      <c r="D3617" t="s">
        <v>249</v>
      </c>
      <c r="E3617">
        <v>2021</v>
      </c>
      <c r="F3617">
        <v>1</v>
      </c>
    </row>
    <row r="3618" spans="1:6" x14ac:dyDescent="0.55000000000000004">
      <c r="A3618" t="s">
        <v>123</v>
      </c>
      <c r="B3618" t="s">
        <v>22</v>
      </c>
      <c r="C3618">
        <v>33624.820800000001</v>
      </c>
      <c r="D3618" t="s">
        <v>249</v>
      </c>
      <c r="E3618">
        <v>2021</v>
      </c>
      <c r="F3618">
        <v>1</v>
      </c>
    </row>
    <row r="3619" spans="1:6" x14ac:dyDescent="0.55000000000000004">
      <c r="A3619" t="s">
        <v>123</v>
      </c>
      <c r="B3619" t="s">
        <v>23</v>
      </c>
      <c r="C3619">
        <v>19010.199199999999</v>
      </c>
      <c r="D3619" t="s">
        <v>249</v>
      </c>
      <c r="E3619">
        <v>2021</v>
      </c>
      <c r="F3619">
        <v>1</v>
      </c>
    </row>
    <row r="3620" spans="1:6" x14ac:dyDescent="0.55000000000000004">
      <c r="A3620" t="s">
        <v>123</v>
      </c>
      <c r="B3620" t="s">
        <v>24</v>
      </c>
      <c r="C3620">
        <v>0</v>
      </c>
      <c r="D3620" t="s">
        <v>249</v>
      </c>
      <c r="E3620">
        <v>2021</v>
      </c>
      <c r="F3620">
        <v>1</v>
      </c>
    </row>
    <row r="3621" spans="1:6" x14ac:dyDescent="0.55000000000000004">
      <c r="A3621" t="s">
        <v>123</v>
      </c>
      <c r="B3621" t="s">
        <v>25</v>
      </c>
      <c r="C3621">
        <v>142562.5</v>
      </c>
      <c r="D3621" t="s">
        <v>249</v>
      </c>
      <c r="E3621">
        <v>2021</v>
      </c>
      <c r="F3621">
        <v>1</v>
      </c>
    </row>
    <row r="3622" spans="1:6" x14ac:dyDescent="0.55000000000000004">
      <c r="A3622" t="s">
        <v>123</v>
      </c>
      <c r="B3622" t="s">
        <v>26</v>
      </c>
      <c r="C3622">
        <v>0</v>
      </c>
      <c r="D3622" t="s">
        <v>249</v>
      </c>
      <c r="E3622">
        <v>2021</v>
      </c>
      <c r="F3622">
        <v>1</v>
      </c>
    </row>
    <row r="3623" spans="1:6" x14ac:dyDescent="0.55000000000000004">
      <c r="A3623" t="s">
        <v>123</v>
      </c>
      <c r="B3623" t="s">
        <v>27</v>
      </c>
      <c r="C3623">
        <v>644.21</v>
      </c>
      <c r="D3623" t="s">
        <v>249</v>
      </c>
      <c r="E3623">
        <v>2021</v>
      </c>
      <c r="F3623">
        <v>1</v>
      </c>
    </row>
    <row r="3624" spans="1:6" x14ac:dyDescent="0.55000000000000004">
      <c r="A3624" t="s">
        <v>123</v>
      </c>
      <c r="B3624" t="s">
        <v>28</v>
      </c>
      <c r="C3624">
        <v>207101.0324</v>
      </c>
      <c r="D3624" t="s">
        <v>249</v>
      </c>
      <c r="E3624">
        <v>2021</v>
      </c>
      <c r="F3624">
        <v>1</v>
      </c>
    </row>
    <row r="3625" spans="1:6" x14ac:dyDescent="0.55000000000000004">
      <c r="A3625" t="s">
        <v>123</v>
      </c>
      <c r="B3625" t="s">
        <v>29</v>
      </c>
      <c r="C3625">
        <v>0</v>
      </c>
      <c r="D3625" t="s">
        <v>249</v>
      </c>
      <c r="E3625">
        <v>2021</v>
      </c>
      <c r="F3625">
        <v>1</v>
      </c>
    </row>
    <row r="3626" spans="1:6" x14ac:dyDescent="0.55000000000000004">
      <c r="A3626" t="s">
        <v>123</v>
      </c>
      <c r="B3626" t="s">
        <v>30</v>
      </c>
      <c r="C3626">
        <v>116.35</v>
      </c>
      <c r="D3626" t="s">
        <v>249</v>
      </c>
      <c r="E3626">
        <v>2021</v>
      </c>
      <c r="F3626">
        <v>1</v>
      </c>
    </row>
    <row r="3627" spans="1:6" x14ac:dyDescent="0.55000000000000004">
      <c r="A3627" t="s">
        <v>123</v>
      </c>
      <c r="B3627" t="s">
        <v>31</v>
      </c>
      <c r="C3627">
        <v>99.995999999999995</v>
      </c>
      <c r="D3627" t="s">
        <v>249</v>
      </c>
      <c r="E3627">
        <v>2021</v>
      </c>
      <c r="F3627">
        <v>1</v>
      </c>
    </row>
    <row r="3628" spans="1:6" x14ac:dyDescent="0.55000000000000004">
      <c r="A3628" t="s">
        <v>123</v>
      </c>
      <c r="B3628" t="s">
        <v>32</v>
      </c>
      <c r="C3628">
        <v>465475.64069999999</v>
      </c>
      <c r="D3628" t="s">
        <v>249</v>
      </c>
      <c r="E3628">
        <v>2021</v>
      </c>
      <c r="F3628">
        <v>1</v>
      </c>
    </row>
    <row r="3629" spans="1:6" x14ac:dyDescent="0.55000000000000004">
      <c r="A3629" t="s">
        <v>123</v>
      </c>
      <c r="B3629" t="s">
        <v>33</v>
      </c>
      <c r="C3629">
        <v>317967.64520000003</v>
      </c>
      <c r="D3629" t="s">
        <v>249</v>
      </c>
      <c r="E3629">
        <v>2021</v>
      </c>
      <c r="F3629">
        <v>1</v>
      </c>
    </row>
    <row r="3630" spans="1:6" x14ac:dyDescent="0.55000000000000004">
      <c r="A3630" t="s">
        <v>123</v>
      </c>
      <c r="B3630" t="s">
        <v>34</v>
      </c>
      <c r="C3630">
        <v>603782.84039999999</v>
      </c>
      <c r="D3630" t="s">
        <v>249</v>
      </c>
      <c r="E3630">
        <v>2021</v>
      </c>
      <c r="F3630">
        <v>1</v>
      </c>
    </row>
    <row r="3631" spans="1:6" x14ac:dyDescent="0.55000000000000004">
      <c r="A3631" t="s">
        <v>123</v>
      </c>
      <c r="B3631" t="s">
        <v>35</v>
      </c>
      <c r="C3631">
        <v>747.21360000000004</v>
      </c>
      <c r="D3631" t="s">
        <v>249</v>
      </c>
      <c r="E3631">
        <v>2021</v>
      </c>
      <c r="F3631">
        <v>1</v>
      </c>
    </row>
    <row r="3632" spans="1:6" x14ac:dyDescent="0.55000000000000004">
      <c r="A3632" t="s">
        <v>123</v>
      </c>
      <c r="B3632" t="s">
        <v>36</v>
      </c>
      <c r="C3632">
        <v>37258.456700000002</v>
      </c>
      <c r="D3632" t="s">
        <v>249</v>
      </c>
      <c r="E3632">
        <v>2021</v>
      </c>
      <c r="F3632">
        <v>1</v>
      </c>
    </row>
    <row r="3633" spans="1:6" x14ac:dyDescent="0.55000000000000004">
      <c r="A3633" t="s">
        <v>123</v>
      </c>
      <c r="B3633" t="s">
        <v>37</v>
      </c>
      <c r="C3633">
        <v>93100.010699999999</v>
      </c>
      <c r="D3633" t="s">
        <v>249</v>
      </c>
      <c r="E3633">
        <v>2021</v>
      </c>
      <c r="F3633">
        <v>1</v>
      </c>
    </row>
    <row r="3634" spans="1:6" x14ac:dyDescent="0.55000000000000004">
      <c r="A3634" t="s">
        <v>123</v>
      </c>
      <c r="B3634" t="s">
        <v>38</v>
      </c>
      <c r="C3634">
        <v>500</v>
      </c>
      <c r="D3634" t="s">
        <v>249</v>
      </c>
      <c r="E3634">
        <v>2021</v>
      </c>
      <c r="F3634">
        <v>1</v>
      </c>
    </row>
    <row r="3635" spans="1:6" x14ac:dyDescent="0.55000000000000004">
      <c r="A3635" t="s">
        <v>123</v>
      </c>
      <c r="B3635" t="s">
        <v>39</v>
      </c>
      <c r="C3635">
        <v>3197.5832999999998</v>
      </c>
      <c r="D3635" t="s">
        <v>249</v>
      </c>
      <c r="E3635">
        <v>2021</v>
      </c>
      <c r="F3635">
        <v>1</v>
      </c>
    </row>
    <row r="3636" spans="1:6" x14ac:dyDescent="0.55000000000000004">
      <c r="A3636" t="s">
        <v>123</v>
      </c>
      <c r="B3636" t="s">
        <v>40</v>
      </c>
      <c r="C3636">
        <v>1107.33</v>
      </c>
      <c r="D3636" t="s">
        <v>249</v>
      </c>
      <c r="E3636">
        <v>2021</v>
      </c>
      <c r="F3636">
        <v>1</v>
      </c>
    </row>
    <row r="3637" spans="1:6" x14ac:dyDescent="0.55000000000000004">
      <c r="A3637" t="s">
        <v>123</v>
      </c>
      <c r="B3637" t="s">
        <v>41</v>
      </c>
      <c r="C3637">
        <v>193410.0772</v>
      </c>
      <c r="D3637" t="s">
        <v>249</v>
      </c>
      <c r="E3637">
        <v>2021</v>
      </c>
      <c r="F3637">
        <v>1</v>
      </c>
    </row>
    <row r="3638" spans="1:6" x14ac:dyDescent="0.55000000000000004">
      <c r="A3638" t="s">
        <v>123</v>
      </c>
      <c r="B3638" t="s">
        <v>42</v>
      </c>
      <c r="C3638">
        <v>21.485800000000001</v>
      </c>
      <c r="D3638" t="s">
        <v>249</v>
      </c>
      <c r="E3638">
        <v>2021</v>
      </c>
      <c r="F3638">
        <v>1</v>
      </c>
    </row>
    <row r="3639" spans="1:6" x14ac:dyDescent="0.55000000000000004">
      <c r="A3639" t="s">
        <v>123</v>
      </c>
      <c r="B3639" t="s">
        <v>43</v>
      </c>
      <c r="C3639">
        <v>203433.82769999999</v>
      </c>
      <c r="D3639" t="s">
        <v>249</v>
      </c>
      <c r="E3639">
        <v>2021</v>
      </c>
      <c r="F3639">
        <v>1</v>
      </c>
    </row>
    <row r="3640" spans="1:6" x14ac:dyDescent="0.55000000000000004">
      <c r="A3640" t="s">
        <v>123</v>
      </c>
      <c r="B3640" t="s">
        <v>44</v>
      </c>
      <c r="C3640">
        <v>208.33330000000001</v>
      </c>
      <c r="D3640" t="s">
        <v>249</v>
      </c>
      <c r="E3640">
        <v>2021</v>
      </c>
      <c r="F3640">
        <v>1</v>
      </c>
    </row>
    <row r="3641" spans="1:6" x14ac:dyDescent="0.55000000000000004">
      <c r="A3641" t="s">
        <v>123</v>
      </c>
      <c r="B3641" t="s">
        <v>45</v>
      </c>
      <c r="C3641">
        <v>444.78250000000003</v>
      </c>
      <c r="D3641" t="s">
        <v>249</v>
      </c>
      <c r="E3641">
        <v>2021</v>
      </c>
      <c r="F3641">
        <v>1</v>
      </c>
    </row>
    <row r="3642" spans="1:6" x14ac:dyDescent="0.55000000000000004">
      <c r="A3642" t="s">
        <v>123</v>
      </c>
      <c r="B3642" t="s">
        <v>46</v>
      </c>
      <c r="C3642">
        <v>25058</v>
      </c>
      <c r="D3642" t="s">
        <v>249</v>
      </c>
      <c r="E3642">
        <v>2021</v>
      </c>
      <c r="F3642">
        <v>1</v>
      </c>
    </row>
    <row r="3643" spans="1:6" x14ac:dyDescent="0.55000000000000004">
      <c r="A3643" t="s">
        <v>123</v>
      </c>
      <c r="B3643" t="s">
        <v>47</v>
      </c>
      <c r="C3643">
        <v>0</v>
      </c>
      <c r="D3643" t="s">
        <v>249</v>
      </c>
      <c r="E3643">
        <v>2021</v>
      </c>
      <c r="F3643">
        <v>1</v>
      </c>
    </row>
    <row r="3644" spans="1:6" x14ac:dyDescent="0.55000000000000004">
      <c r="A3644" t="s">
        <v>123</v>
      </c>
      <c r="B3644" t="s">
        <v>48</v>
      </c>
      <c r="C3644">
        <v>150690.29800000001</v>
      </c>
      <c r="D3644" t="s">
        <v>249</v>
      </c>
      <c r="E3644">
        <v>2021</v>
      </c>
      <c r="F3644">
        <v>1</v>
      </c>
    </row>
    <row r="3645" spans="1:6" x14ac:dyDescent="0.55000000000000004">
      <c r="A3645" t="s">
        <v>123</v>
      </c>
      <c r="B3645" t="s">
        <v>49</v>
      </c>
      <c r="C3645">
        <v>851.76</v>
      </c>
      <c r="D3645" t="s">
        <v>249</v>
      </c>
      <c r="E3645">
        <v>2021</v>
      </c>
      <c r="F3645">
        <v>1</v>
      </c>
    </row>
    <row r="3646" spans="1:6" x14ac:dyDescent="0.55000000000000004">
      <c r="A3646" t="s">
        <v>123</v>
      </c>
      <c r="B3646" t="s">
        <v>50</v>
      </c>
      <c r="C3646">
        <v>23257.339</v>
      </c>
      <c r="D3646" t="s">
        <v>249</v>
      </c>
      <c r="E3646">
        <v>2021</v>
      </c>
      <c r="F3646">
        <v>1</v>
      </c>
    </row>
    <row r="3647" spans="1:6" x14ac:dyDescent="0.55000000000000004">
      <c r="A3647" t="s">
        <v>123</v>
      </c>
      <c r="B3647" t="s">
        <v>51</v>
      </c>
      <c r="C3647">
        <v>2000</v>
      </c>
      <c r="D3647" t="s">
        <v>249</v>
      </c>
      <c r="E3647">
        <v>2021</v>
      </c>
      <c r="F3647">
        <v>1</v>
      </c>
    </row>
    <row r="3648" spans="1:6" x14ac:dyDescent="0.55000000000000004">
      <c r="A3648" t="s">
        <v>123</v>
      </c>
      <c r="B3648" t="s">
        <v>52</v>
      </c>
      <c r="C3648">
        <v>133.04929999999999</v>
      </c>
      <c r="D3648" t="s">
        <v>249</v>
      </c>
      <c r="E3648">
        <v>2021</v>
      </c>
      <c r="F3648">
        <v>1</v>
      </c>
    </row>
    <row r="3649" spans="1:6" x14ac:dyDescent="0.55000000000000004">
      <c r="A3649" t="s">
        <v>123</v>
      </c>
      <c r="B3649" t="s">
        <v>53</v>
      </c>
      <c r="C3649">
        <v>126397.44</v>
      </c>
      <c r="D3649" t="s">
        <v>249</v>
      </c>
      <c r="E3649">
        <v>2021</v>
      </c>
      <c r="F3649">
        <v>1</v>
      </c>
    </row>
    <row r="3650" spans="1:6" x14ac:dyDescent="0.55000000000000004">
      <c r="A3650" t="s">
        <v>123</v>
      </c>
      <c r="B3650" t="s">
        <v>54</v>
      </c>
      <c r="C3650">
        <v>18758.471300000001</v>
      </c>
      <c r="D3650" t="s">
        <v>249</v>
      </c>
      <c r="E3650">
        <v>2021</v>
      </c>
      <c r="F3650">
        <v>1</v>
      </c>
    </row>
    <row r="3651" spans="1:6" x14ac:dyDescent="0.55000000000000004">
      <c r="A3651" t="s">
        <v>123</v>
      </c>
      <c r="B3651" t="s">
        <v>55</v>
      </c>
      <c r="C3651">
        <v>2023.5333000000001</v>
      </c>
      <c r="D3651" t="s">
        <v>249</v>
      </c>
      <c r="E3651">
        <v>2021</v>
      </c>
      <c r="F3651">
        <v>1</v>
      </c>
    </row>
    <row r="3652" spans="1:6" x14ac:dyDescent="0.55000000000000004">
      <c r="A3652" t="s">
        <v>123</v>
      </c>
      <c r="B3652" t="s">
        <v>56</v>
      </c>
      <c r="C3652">
        <v>3583.3332999999998</v>
      </c>
      <c r="D3652" t="s">
        <v>249</v>
      </c>
      <c r="E3652">
        <v>2021</v>
      </c>
      <c r="F3652">
        <v>1</v>
      </c>
    </row>
    <row r="3653" spans="1:6" x14ac:dyDescent="0.55000000000000004">
      <c r="A3653" t="s">
        <v>123</v>
      </c>
      <c r="B3653" t="s">
        <v>57</v>
      </c>
      <c r="C3653">
        <v>142.74510000000001</v>
      </c>
      <c r="D3653" t="s">
        <v>249</v>
      </c>
      <c r="E3653">
        <v>2021</v>
      </c>
      <c r="F3653">
        <v>1</v>
      </c>
    </row>
    <row r="3654" spans="1:6" x14ac:dyDescent="0.55000000000000004">
      <c r="A3654" t="s">
        <v>123</v>
      </c>
      <c r="B3654" t="s">
        <v>58</v>
      </c>
      <c r="C3654">
        <v>446560</v>
      </c>
      <c r="D3654" t="s">
        <v>249</v>
      </c>
      <c r="E3654">
        <v>2021</v>
      </c>
      <c r="F3654">
        <v>1</v>
      </c>
    </row>
    <row r="3655" spans="1:6" x14ac:dyDescent="0.55000000000000004">
      <c r="A3655" t="s">
        <v>123</v>
      </c>
      <c r="B3655" t="s">
        <v>59</v>
      </c>
      <c r="C3655">
        <v>600</v>
      </c>
      <c r="D3655" t="s">
        <v>249</v>
      </c>
      <c r="E3655">
        <v>2021</v>
      </c>
      <c r="F3655">
        <v>1</v>
      </c>
    </row>
    <row r="3656" spans="1:6" x14ac:dyDescent="0.55000000000000004">
      <c r="A3656" t="s">
        <v>123</v>
      </c>
      <c r="B3656" t="s">
        <v>60</v>
      </c>
      <c r="C3656">
        <v>2675000.0136000002</v>
      </c>
      <c r="D3656" t="s">
        <v>249</v>
      </c>
      <c r="E3656">
        <v>2021</v>
      </c>
      <c r="F3656">
        <v>1</v>
      </c>
    </row>
    <row r="3657" spans="1:6" x14ac:dyDescent="0.55000000000000004">
      <c r="A3657" t="s">
        <v>123</v>
      </c>
      <c r="B3657" t="s">
        <v>61</v>
      </c>
      <c r="C3657">
        <v>4049.9994999999999</v>
      </c>
      <c r="D3657" t="s">
        <v>249</v>
      </c>
      <c r="E3657">
        <v>2021</v>
      </c>
      <c r="F3657">
        <v>1</v>
      </c>
    </row>
    <row r="3658" spans="1:6" x14ac:dyDescent="0.55000000000000004">
      <c r="A3658" t="s">
        <v>123</v>
      </c>
      <c r="B3658" t="s">
        <v>62</v>
      </c>
      <c r="C3658">
        <v>3574.75</v>
      </c>
      <c r="D3658" t="s">
        <v>249</v>
      </c>
      <c r="E3658">
        <v>2021</v>
      </c>
      <c r="F3658">
        <v>1</v>
      </c>
    </row>
    <row r="3659" spans="1:6" x14ac:dyDescent="0.55000000000000004">
      <c r="A3659" t="s">
        <v>123</v>
      </c>
      <c r="B3659" t="s">
        <v>63</v>
      </c>
      <c r="C3659">
        <v>1172</v>
      </c>
      <c r="D3659" t="s">
        <v>249</v>
      </c>
      <c r="E3659">
        <v>2021</v>
      </c>
      <c r="F3659">
        <v>1</v>
      </c>
    </row>
    <row r="3660" spans="1:6" x14ac:dyDescent="0.55000000000000004">
      <c r="A3660" t="s">
        <v>124</v>
      </c>
      <c r="B3660" t="s">
        <v>4</v>
      </c>
      <c r="C3660">
        <v>11169710.5853</v>
      </c>
      <c r="D3660" t="s">
        <v>250</v>
      </c>
      <c r="E3660">
        <v>2021</v>
      </c>
      <c r="F3660">
        <v>2</v>
      </c>
    </row>
    <row r="3661" spans="1:6" x14ac:dyDescent="0.55000000000000004">
      <c r="A3661" t="s">
        <v>124</v>
      </c>
      <c r="B3661" t="s">
        <v>5</v>
      </c>
      <c r="C3661">
        <v>1419557.1125</v>
      </c>
      <c r="D3661" t="s">
        <v>250</v>
      </c>
      <c r="E3661">
        <v>2021</v>
      </c>
      <c r="F3661">
        <v>2</v>
      </c>
    </row>
    <row r="3662" spans="1:6" x14ac:dyDescent="0.55000000000000004">
      <c r="A3662" t="s">
        <v>124</v>
      </c>
      <c r="B3662" t="s">
        <v>6</v>
      </c>
      <c r="C3662">
        <v>2106472.0808000001</v>
      </c>
      <c r="D3662" t="s">
        <v>250</v>
      </c>
      <c r="E3662">
        <v>2021</v>
      </c>
      <c r="F3662">
        <v>2</v>
      </c>
    </row>
    <row r="3663" spans="1:6" x14ac:dyDescent="0.55000000000000004">
      <c r="A3663" t="s">
        <v>124</v>
      </c>
      <c r="B3663" t="s">
        <v>7</v>
      </c>
      <c r="C3663">
        <v>3820546.9182000002</v>
      </c>
      <c r="D3663" t="s">
        <v>250</v>
      </c>
      <c r="E3663">
        <v>2021</v>
      </c>
      <c r="F3663">
        <v>2</v>
      </c>
    </row>
    <row r="3664" spans="1:6" x14ac:dyDescent="0.55000000000000004">
      <c r="A3664" t="s">
        <v>124</v>
      </c>
      <c r="B3664" t="s">
        <v>8</v>
      </c>
      <c r="C3664">
        <v>3823134.4737999998</v>
      </c>
      <c r="D3664" t="s">
        <v>250</v>
      </c>
      <c r="E3664">
        <v>2021</v>
      </c>
      <c r="F3664">
        <v>2</v>
      </c>
    </row>
    <row r="3665" spans="1:6" x14ac:dyDescent="0.55000000000000004">
      <c r="A3665" t="s">
        <v>124</v>
      </c>
      <c r="B3665" t="s">
        <v>9</v>
      </c>
      <c r="C3665">
        <v>172.89590000000001</v>
      </c>
      <c r="D3665" t="s">
        <v>250</v>
      </c>
      <c r="E3665">
        <v>2021</v>
      </c>
      <c r="F3665">
        <v>2</v>
      </c>
    </row>
    <row r="3666" spans="1:6" x14ac:dyDescent="0.55000000000000004">
      <c r="A3666" t="s">
        <v>124</v>
      </c>
      <c r="B3666" t="s">
        <v>10</v>
      </c>
      <c r="C3666">
        <v>4360.1067000000003</v>
      </c>
      <c r="D3666" t="s">
        <v>250</v>
      </c>
      <c r="E3666">
        <v>2021</v>
      </c>
      <c r="F3666">
        <v>2</v>
      </c>
    </row>
    <row r="3667" spans="1:6" x14ac:dyDescent="0.55000000000000004">
      <c r="A3667" t="s">
        <v>124</v>
      </c>
      <c r="B3667" t="s">
        <v>11</v>
      </c>
      <c r="C3667">
        <v>3972949.6107999999</v>
      </c>
      <c r="D3667" t="s">
        <v>250</v>
      </c>
      <c r="E3667">
        <v>2021</v>
      </c>
      <c r="F3667">
        <v>2</v>
      </c>
    </row>
    <row r="3668" spans="1:6" x14ac:dyDescent="0.55000000000000004">
      <c r="A3668" t="s">
        <v>124</v>
      </c>
      <c r="B3668" t="s">
        <v>12</v>
      </c>
      <c r="C3668">
        <v>23943.633300000001</v>
      </c>
      <c r="D3668" t="s">
        <v>250</v>
      </c>
      <c r="E3668">
        <v>2021</v>
      </c>
      <c r="F3668">
        <v>2</v>
      </c>
    </row>
    <row r="3669" spans="1:6" x14ac:dyDescent="0.55000000000000004">
      <c r="A3669" t="s">
        <v>124</v>
      </c>
      <c r="B3669" t="s">
        <v>13</v>
      </c>
      <c r="C3669">
        <v>19720</v>
      </c>
      <c r="D3669" t="s">
        <v>250</v>
      </c>
      <c r="E3669">
        <v>2021</v>
      </c>
      <c r="F3669">
        <v>2</v>
      </c>
    </row>
    <row r="3670" spans="1:6" x14ac:dyDescent="0.55000000000000004">
      <c r="A3670" t="s">
        <v>124</v>
      </c>
      <c r="B3670" t="s">
        <v>14</v>
      </c>
      <c r="C3670">
        <v>3000</v>
      </c>
      <c r="D3670" t="s">
        <v>250</v>
      </c>
      <c r="E3670">
        <v>2021</v>
      </c>
      <c r="F3670">
        <v>2</v>
      </c>
    </row>
    <row r="3671" spans="1:6" x14ac:dyDescent="0.55000000000000004">
      <c r="A3671" t="s">
        <v>124</v>
      </c>
      <c r="B3671" t="s">
        <v>15</v>
      </c>
      <c r="C3671">
        <v>1284761.5231999999</v>
      </c>
      <c r="D3671" t="s">
        <v>250</v>
      </c>
      <c r="E3671">
        <v>2021</v>
      </c>
      <c r="F3671">
        <v>2</v>
      </c>
    </row>
    <row r="3672" spans="1:6" x14ac:dyDescent="0.55000000000000004">
      <c r="A3672" t="s">
        <v>124</v>
      </c>
      <c r="B3672" t="s">
        <v>16</v>
      </c>
      <c r="C3672">
        <v>7.0609999999999999</v>
      </c>
      <c r="D3672" t="s">
        <v>250</v>
      </c>
      <c r="E3672">
        <v>2021</v>
      </c>
      <c r="F3672">
        <v>2</v>
      </c>
    </row>
    <row r="3673" spans="1:6" x14ac:dyDescent="0.55000000000000004">
      <c r="A3673" t="s">
        <v>124</v>
      </c>
      <c r="B3673" t="s">
        <v>17</v>
      </c>
      <c r="C3673">
        <v>76708.516699999993</v>
      </c>
      <c r="D3673" t="s">
        <v>250</v>
      </c>
      <c r="E3673">
        <v>2021</v>
      </c>
      <c r="F3673">
        <v>2</v>
      </c>
    </row>
    <row r="3674" spans="1:6" x14ac:dyDescent="0.55000000000000004">
      <c r="A3674" t="s">
        <v>124</v>
      </c>
      <c r="B3674" t="s">
        <v>18</v>
      </c>
      <c r="C3674">
        <v>65790.533500000005</v>
      </c>
      <c r="D3674" t="s">
        <v>250</v>
      </c>
      <c r="E3674">
        <v>2021</v>
      </c>
      <c r="F3674">
        <v>2</v>
      </c>
    </row>
    <row r="3675" spans="1:6" x14ac:dyDescent="0.55000000000000004">
      <c r="A3675" t="s">
        <v>124</v>
      </c>
      <c r="B3675" t="s">
        <v>19</v>
      </c>
      <c r="C3675">
        <v>2053.4454000000001</v>
      </c>
      <c r="D3675" t="s">
        <v>250</v>
      </c>
      <c r="E3675">
        <v>2021</v>
      </c>
      <c r="F3675">
        <v>2</v>
      </c>
    </row>
    <row r="3676" spans="1:6" x14ac:dyDescent="0.55000000000000004">
      <c r="A3676" t="s">
        <v>124</v>
      </c>
      <c r="B3676" t="s">
        <v>20</v>
      </c>
      <c r="C3676">
        <v>15000</v>
      </c>
      <c r="D3676" t="s">
        <v>250</v>
      </c>
      <c r="E3676">
        <v>2021</v>
      </c>
      <c r="F3676">
        <v>2</v>
      </c>
    </row>
    <row r="3677" spans="1:6" x14ac:dyDescent="0.55000000000000004">
      <c r="A3677" t="s">
        <v>124</v>
      </c>
      <c r="B3677" t="s">
        <v>21</v>
      </c>
      <c r="C3677">
        <v>913.26440000000002</v>
      </c>
      <c r="D3677" t="s">
        <v>250</v>
      </c>
      <c r="E3677">
        <v>2021</v>
      </c>
      <c r="F3677">
        <v>2</v>
      </c>
    </row>
    <row r="3678" spans="1:6" x14ac:dyDescent="0.55000000000000004">
      <c r="A3678" t="s">
        <v>124</v>
      </c>
      <c r="B3678" t="s">
        <v>22</v>
      </c>
      <c r="C3678">
        <v>22822.5101</v>
      </c>
      <c r="D3678" t="s">
        <v>250</v>
      </c>
      <c r="E3678">
        <v>2021</v>
      </c>
      <c r="F3678">
        <v>2</v>
      </c>
    </row>
    <row r="3679" spans="1:6" x14ac:dyDescent="0.55000000000000004">
      <c r="A3679" t="s">
        <v>124</v>
      </c>
      <c r="B3679" t="s">
        <v>23</v>
      </c>
      <c r="C3679">
        <v>45839.754399999998</v>
      </c>
      <c r="D3679" t="s">
        <v>250</v>
      </c>
      <c r="E3679">
        <v>2021</v>
      </c>
      <c r="F3679">
        <v>2</v>
      </c>
    </row>
    <row r="3680" spans="1:6" x14ac:dyDescent="0.55000000000000004">
      <c r="A3680" t="s">
        <v>124</v>
      </c>
      <c r="B3680" t="s">
        <v>24</v>
      </c>
      <c r="C3680">
        <v>0</v>
      </c>
      <c r="D3680" t="s">
        <v>250</v>
      </c>
      <c r="E3680">
        <v>2021</v>
      </c>
      <c r="F3680">
        <v>2</v>
      </c>
    </row>
    <row r="3681" spans="1:6" x14ac:dyDescent="0.55000000000000004">
      <c r="A3681" t="s">
        <v>124</v>
      </c>
      <c r="B3681" t="s">
        <v>25</v>
      </c>
      <c r="C3681">
        <v>163194.03330000001</v>
      </c>
      <c r="D3681" t="s">
        <v>250</v>
      </c>
      <c r="E3681">
        <v>2021</v>
      </c>
      <c r="F3681">
        <v>2</v>
      </c>
    </row>
    <row r="3682" spans="1:6" x14ac:dyDescent="0.55000000000000004">
      <c r="A3682" t="s">
        <v>124</v>
      </c>
      <c r="B3682" t="s">
        <v>26</v>
      </c>
      <c r="C3682">
        <v>0</v>
      </c>
      <c r="D3682" t="s">
        <v>250</v>
      </c>
      <c r="E3682">
        <v>2021</v>
      </c>
      <c r="F3682">
        <v>2</v>
      </c>
    </row>
    <row r="3683" spans="1:6" x14ac:dyDescent="0.55000000000000004">
      <c r="A3683" t="s">
        <v>124</v>
      </c>
      <c r="B3683" t="s">
        <v>27</v>
      </c>
      <c r="C3683">
        <v>436.86070000000001</v>
      </c>
      <c r="D3683" t="s">
        <v>250</v>
      </c>
      <c r="E3683">
        <v>2021</v>
      </c>
      <c r="F3683">
        <v>2</v>
      </c>
    </row>
    <row r="3684" spans="1:6" x14ac:dyDescent="0.55000000000000004">
      <c r="A3684" t="s">
        <v>124</v>
      </c>
      <c r="B3684" t="s">
        <v>28</v>
      </c>
      <c r="C3684">
        <v>283016.16090000002</v>
      </c>
      <c r="D3684" t="s">
        <v>250</v>
      </c>
      <c r="E3684">
        <v>2021</v>
      </c>
      <c r="F3684">
        <v>2</v>
      </c>
    </row>
    <row r="3685" spans="1:6" x14ac:dyDescent="0.55000000000000004">
      <c r="A3685" t="s">
        <v>124</v>
      </c>
      <c r="B3685" t="s">
        <v>29</v>
      </c>
      <c r="C3685">
        <v>0</v>
      </c>
      <c r="D3685" t="s">
        <v>250</v>
      </c>
      <c r="E3685">
        <v>2021</v>
      </c>
      <c r="F3685">
        <v>2</v>
      </c>
    </row>
    <row r="3686" spans="1:6" x14ac:dyDescent="0.55000000000000004">
      <c r="A3686" t="s">
        <v>124</v>
      </c>
      <c r="B3686" t="s">
        <v>30</v>
      </c>
      <c r="C3686">
        <v>4.16</v>
      </c>
      <c r="D3686" t="s">
        <v>250</v>
      </c>
      <c r="E3686">
        <v>2021</v>
      </c>
      <c r="F3686">
        <v>2</v>
      </c>
    </row>
    <row r="3687" spans="1:6" x14ac:dyDescent="0.55000000000000004">
      <c r="A3687" t="s">
        <v>124</v>
      </c>
      <c r="B3687" t="s">
        <v>31</v>
      </c>
      <c r="C3687">
        <v>30</v>
      </c>
      <c r="D3687" t="s">
        <v>250</v>
      </c>
      <c r="E3687">
        <v>2021</v>
      </c>
      <c r="F3687">
        <v>2</v>
      </c>
    </row>
    <row r="3688" spans="1:6" x14ac:dyDescent="0.55000000000000004">
      <c r="A3688" t="s">
        <v>124</v>
      </c>
      <c r="B3688" t="s">
        <v>32</v>
      </c>
      <c r="C3688">
        <v>641748.18500000006</v>
      </c>
      <c r="D3688" t="s">
        <v>250</v>
      </c>
      <c r="E3688">
        <v>2021</v>
      </c>
      <c r="F3688">
        <v>2</v>
      </c>
    </row>
    <row r="3689" spans="1:6" x14ac:dyDescent="0.55000000000000004">
      <c r="A3689" t="s">
        <v>124</v>
      </c>
      <c r="B3689" t="s">
        <v>33</v>
      </c>
      <c r="C3689">
        <v>555853.30550000002</v>
      </c>
      <c r="D3689" t="s">
        <v>250</v>
      </c>
      <c r="E3689">
        <v>2021</v>
      </c>
      <c r="F3689">
        <v>2</v>
      </c>
    </row>
    <row r="3690" spans="1:6" x14ac:dyDescent="0.55000000000000004">
      <c r="A3690" t="s">
        <v>124</v>
      </c>
      <c r="B3690" t="s">
        <v>34</v>
      </c>
      <c r="C3690">
        <v>635466.64099999995</v>
      </c>
      <c r="D3690" t="s">
        <v>250</v>
      </c>
      <c r="E3690">
        <v>2021</v>
      </c>
      <c r="F3690">
        <v>2</v>
      </c>
    </row>
    <row r="3691" spans="1:6" x14ac:dyDescent="0.55000000000000004">
      <c r="A3691" t="s">
        <v>124</v>
      </c>
      <c r="B3691" t="s">
        <v>35</v>
      </c>
      <c r="C3691">
        <v>163.67150000000001</v>
      </c>
      <c r="D3691" t="s">
        <v>250</v>
      </c>
      <c r="E3691">
        <v>2021</v>
      </c>
      <c r="F3691">
        <v>2</v>
      </c>
    </row>
    <row r="3692" spans="1:6" x14ac:dyDescent="0.55000000000000004">
      <c r="A3692" t="s">
        <v>124</v>
      </c>
      <c r="B3692" t="s">
        <v>36</v>
      </c>
      <c r="C3692">
        <v>54755.209300000002</v>
      </c>
      <c r="D3692" t="s">
        <v>250</v>
      </c>
      <c r="E3692">
        <v>2021</v>
      </c>
      <c r="F3692">
        <v>2</v>
      </c>
    </row>
    <row r="3693" spans="1:6" x14ac:dyDescent="0.55000000000000004">
      <c r="A3693" t="s">
        <v>124</v>
      </c>
      <c r="B3693" t="s">
        <v>37</v>
      </c>
      <c r="C3693">
        <v>61700.008600000001</v>
      </c>
      <c r="D3693" t="s">
        <v>250</v>
      </c>
      <c r="E3693">
        <v>2021</v>
      </c>
      <c r="F3693">
        <v>2</v>
      </c>
    </row>
    <row r="3694" spans="1:6" x14ac:dyDescent="0.55000000000000004">
      <c r="A3694" t="s">
        <v>124</v>
      </c>
      <c r="B3694" t="s">
        <v>38</v>
      </c>
      <c r="C3694">
        <v>150</v>
      </c>
      <c r="D3694" t="s">
        <v>250</v>
      </c>
      <c r="E3694">
        <v>2021</v>
      </c>
      <c r="F3694">
        <v>2</v>
      </c>
    </row>
    <row r="3695" spans="1:6" x14ac:dyDescent="0.55000000000000004">
      <c r="A3695" t="s">
        <v>124</v>
      </c>
      <c r="B3695" t="s">
        <v>39</v>
      </c>
      <c r="C3695">
        <v>1947.0166999999999</v>
      </c>
      <c r="D3695" t="s">
        <v>250</v>
      </c>
      <c r="E3695">
        <v>2021</v>
      </c>
      <c r="F3695">
        <v>2</v>
      </c>
    </row>
    <row r="3696" spans="1:6" x14ac:dyDescent="0.55000000000000004">
      <c r="A3696" t="s">
        <v>124</v>
      </c>
      <c r="B3696" t="s">
        <v>40</v>
      </c>
      <c r="C3696">
        <v>82.548900000000003</v>
      </c>
      <c r="D3696" t="s">
        <v>250</v>
      </c>
      <c r="E3696">
        <v>2021</v>
      </c>
      <c r="F3696">
        <v>2</v>
      </c>
    </row>
    <row r="3697" spans="1:6" x14ac:dyDescent="0.55000000000000004">
      <c r="A3697" t="s">
        <v>124</v>
      </c>
      <c r="B3697" t="s">
        <v>41</v>
      </c>
      <c r="C3697">
        <v>243120.84849999999</v>
      </c>
      <c r="D3697" t="s">
        <v>250</v>
      </c>
      <c r="E3697">
        <v>2021</v>
      </c>
      <c r="F3697">
        <v>2</v>
      </c>
    </row>
    <row r="3698" spans="1:6" x14ac:dyDescent="0.55000000000000004">
      <c r="A3698" t="s">
        <v>124</v>
      </c>
      <c r="B3698" t="s">
        <v>42</v>
      </c>
      <c r="C3698">
        <v>111.3</v>
      </c>
      <c r="D3698" t="s">
        <v>250</v>
      </c>
      <c r="E3698">
        <v>2021</v>
      </c>
      <c r="F3698">
        <v>2</v>
      </c>
    </row>
    <row r="3699" spans="1:6" x14ac:dyDescent="0.55000000000000004">
      <c r="A3699" t="s">
        <v>124</v>
      </c>
      <c r="B3699" t="s">
        <v>43</v>
      </c>
      <c r="C3699">
        <v>244919.5834</v>
      </c>
      <c r="D3699" t="s">
        <v>250</v>
      </c>
      <c r="E3699">
        <v>2021</v>
      </c>
      <c r="F3699">
        <v>2</v>
      </c>
    </row>
    <row r="3700" spans="1:6" x14ac:dyDescent="0.55000000000000004">
      <c r="A3700" t="s">
        <v>124</v>
      </c>
      <c r="B3700" t="s">
        <v>44</v>
      </c>
      <c r="C3700">
        <v>0</v>
      </c>
      <c r="D3700" t="s">
        <v>250</v>
      </c>
      <c r="E3700">
        <v>2021</v>
      </c>
      <c r="F3700">
        <v>2</v>
      </c>
    </row>
    <row r="3701" spans="1:6" x14ac:dyDescent="0.55000000000000004">
      <c r="A3701" t="s">
        <v>124</v>
      </c>
      <c r="B3701" t="s">
        <v>45</v>
      </c>
      <c r="C3701">
        <v>1491.8720000000001</v>
      </c>
      <c r="D3701" t="s">
        <v>250</v>
      </c>
      <c r="E3701">
        <v>2021</v>
      </c>
      <c r="F3701">
        <v>2</v>
      </c>
    </row>
    <row r="3702" spans="1:6" x14ac:dyDescent="0.55000000000000004">
      <c r="A3702" t="s">
        <v>124</v>
      </c>
      <c r="B3702" t="s">
        <v>46</v>
      </c>
      <c r="C3702">
        <v>25328</v>
      </c>
      <c r="D3702" t="s">
        <v>250</v>
      </c>
      <c r="E3702">
        <v>2021</v>
      </c>
      <c r="F3702">
        <v>2</v>
      </c>
    </row>
    <row r="3703" spans="1:6" x14ac:dyDescent="0.55000000000000004">
      <c r="A3703" t="s">
        <v>124</v>
      </c>
      <c r="B3703" t="s">
        <v>47</v>
      </c>
      <c r="C3703">
        <v>6.5</v>
      </c>
      <c r="D3703" t="s">
        <v>250</v>
      </c>
      <c r="E3703">
        <v>2021</v>
      </c>
      <c r="F3703">
        <v>2</v>
      </c>
    </row>
    <row r="3704" spans="1:6" x14ac:dyDescent="0.55000000000000004">
      <c r="A3704" t="s">
        <v>124</v>
      </c>
      <c r="B3704" t="s">
        <v>48</v>
      </c>
      <c r="C3704">
        <v>86629.547300000006</v>
      </c>
      <c r="D3704" t="s">
        <v>250</v>
      </c>
      <c r="E3704">
        <v>2021</v>
      </c>
      <c r="F3704">
        <v>2</v>
      </c>
    </row>
    <row r="3705" spans="1:6" x14ac:dyDescent="0.55000000000000004">
      <c r="A3705" t="s">
        <v>124</v>
      </c>
      <c r="B3705" t="s">
        <v>49</v>
      </c>
      <c r="C3705">
        <v>31.2</v>
      </c>
      <c r="D3705" t="s">
        <v>250</v>
      </c>
      <c r="E3705">
        <v>2021</v>
      </c>
      <c r="F3705">
        <v>2</v>
      </c>
    </row>
    <row r="3706" spans="1:6" x14ac:dyDescent="0.55000000000000004">
      <c r="A3706" t="s">
        <v>124</v>
      </c>
      <c r="B3706" t="s">
        <v>50</v>
      </c>
      <c r="C3706">
        <v>18727.201799999999</v>
      </c>
      <c r="D3706" t="s">
        <v>250</v>
      </c>
      <c r="E3706">
        <v>2021</v>
      </c>
      <c r="F3706">
        <v>2</v>
      </c>
    </row>
    <row r="3707" spans="1:6" x14ac:dyDescent="0.55000000000000004">
      <c r="A3707" t="s">
        <v>124</v>
      </c>
      <c r="B3707" t="s">
        <v>51</v>
      </c>
      <c r="C3707">
        <v>2000</v>
      </c>
      <c r="D3707" t="s">
        <v>250</v>
      </c>
      <c r="E3707">
        <v>2021</v>
      </c>
      <c r="F3707">
        <v>2</v>
      </c>
    </row>
    <row r="3708" spans="1:6" x14ac:dyDescent="0.55000000000000004">
      <c r="A3708" t="s">
        <v>124</v>
      </c>
      <c r="B3708" t="s">
        <v>52</v>
      </c>
      <c r="C3708">
        <v>133.04929999999999</v>
      </c>
      <c r="D3708" t="s">
        <v>250</v>
      </c>
      <c r="E3708">
        <v>2021</v>
      </c>
      <c r="F3708">
        <v>2</v>
      </c>
    </row>
    <row r="3709" spans="1:6" x14ac:dyDescent="0.55000000000000004">
      <c r="A3709" t="s">
        <v>124</v>
      </c>
      <c r="B3709" t="s">
        <v>53</v>
      </c>
      <c r="C3709">
        <v>100442.38</v>
      </c>
      <c r="D3709" t="s">
        <v>250</v>
      </c>
      <c r="E3709">
        <v>2021</v>
      </c>
      <c r="F3709">
        <v>2</v>
      </c>
    </row>
    <row r="3710" spans="1:6" x14ac:dyDescent="0.55000000000000004">
      <c r="A3710" t="s">
        <v>124</v>
      </c>
      <c r="B3710" t="s">
        <v>54</v>
      </c>
      <c r="C3710">
        <v>23318.272000000001</v>
      </c>
      <c r="D3710" t="s">
        <v>250</v>
      </c>
      <c r="E3710">
        <v>2021</v>
      </c>
      <c r="F3710">
        <v>2</v>
      </c>
    </row>
    <row r="3711" spans="1:6" x14ac:dyDescent="0.55000000000000004">
      <c r="A3711" t="s">
        <v>124</v>
      </c>
      <c r="B3711" t="s">
        <v>55</v>
      </c>
      <c r="C3711">
        <v>3185.1667000000002</v>
      </c>
      <c r="D3711" t="s">
        <v>250</v>
      </c>
      <c r="E3711">
        <v>2021</v>
      </c>
      <c r="F3711">
        <v>2</v>
      </c>
    </row>
    <row r="3712" spans="1:6" x14ac:dyDescent="0.55000000000000004">
      <c r="A3712" t="s">
        <v>124</v>
      </c>
      <c r="B3712" t="s">
        <v>56</v>
      </c>
      <c r="C3712">
        <v>4816.6666999999998</v>
      </c>
      <c r="D3712" t="s">
        <v>250</v>
      </c>
      <c r="E3712">
        <v>2021</v>
      </c>
      <c r="F3712">
        <v>2</v>
      </c>
    </row>
    <row r="3713" spans="1:6" x14ac:dyDescent="0.55000000000000004">
      <c r="A3713" t="s">
        <v>124</v>
      </c>
      <c r="B3713" t="s">
        <v>57</v>
      </c>
      <c r="C3713">
        <v>513.49950000000001</v>
      </c>
      <c r="D3713" t="s">
        <v>250</v>
      </c>
      <c r="E3713">
        <v>2021</v>
      </c>
      <c r="F3713">
        <v>2</v>
      </c>
    </row>
    <row r="3714" spans="1:6" x14ac:dyDescent="0.55000000000000004">
      <c r="A3714" t="s">
        <v>124</v>
      </c>
      <c r="B3714" t="s">
        <v>58</v>
      </c>
      <c r="C3714">
        <v>562763</v>
      </c>
      <c r="D3714" t="s">
        <v>250</v>
      </c>
      <c r="E3714">
        <v>2021</v>
      </c>
      <c r="F3714">
        <v>2</v>
      </c>
    </row>
    <row r="3715" spans="1:6" x14ac:dyDescent="0.55000000000000004">
      <c r="A3715" t="s">
        <v>124</v>
      </c>
      <c r="B3715" t="s">
        <v>59</v>
      </c>
      <c r="C3715">
        <v>600</v>
      </c>
      <c r="D3715" t="s">
        <v>250</v>
      </c>
      <c r="E3715">
        <v>2021</v>
      </c>
      <c r="F3715">
        <v>2</v>
      </c>
    </row>
    <row r="3716" spans="1:6" x14ac:dyDescent="0.55000000000000004">
      <c r="A3716" t="s">
        <v>124</v>
      </c>
      <c r="B3716" t="s">
        <v>60</v>
      </c>
      <c r="C3716">
        <v>1900000.0086000001</v>
      </c>
      <c r="D3716" t="s">
        <v>250</v>
      </c>
      <c r="E3716">
        <v>2021</v>
      </c>
      <c r="F3716">
        <v>2</v>
      </c>
    </row>
    <row r="3717" spans="1:6" x14ac:dyDescent="0.55000000000000004">
      <c r="A3717" t="s">
        <v>124</v>
      </c>
      <c r="B3717" t="s">
        <v>61</v>
      </c>
      <c r="C3717">
        <v>4979.9993999999997</v>
      </c>
      <c r="D3717" t="s">
        <v>250</v>
      </c>
      <c r="E3717">
        <v>2021</v>
      </c>
      <c r="F3717">
        <v>2</v>
      </c>
    </row>
    <row r="3718" spans="1:6" x14ac:dyDescent="0.55000000000000004">
      <c r="A3718" t="s">
        <v>124</v>
      </c>
      <c r="B3718" t="s">
        <v>62</v>
      </c>
      <c r="C3718">
        <v>10001.8333</v>
      </c>
      <c r="D3718" t="s">
        <v>250</v>
      </c>
      <c r="E3718">
        <v>2021</v>
      </c>
      <c r="F3718">
        <v>2</v>
      </c>
    </row>
    <row r="3719" spans="1:6" x14ac:dyDescent="0.55000000000000004">
      <c r="A3719" t="s">
        <v>124</v>
      </c>
      <c r="B3719" t="s">
        <v>63</v>
      </c>
      <c r="C3719">
        <v>0</v>
      </c>
      <c r="D3719" t="s">
        <v>250</v>
      </c>
      <c r="E3719">
        <v>2021</v>
      </c>
      <c r="F3719">
        <v>2</v>
      </c>
    </row>
    <row r="3720" spans="1:6" x14ac:dyDescent="0.55000000000000004">
      <c r="A3720" t="s">
        <v>125</v>
      </c>
      <c r="B3720" t="s">
        <v>4</v>
      </c>
      <c r="C3720">
        <v>12660050.792300001</v>
      </c>
      <c r="D3720" t="s">
        <v>251</v>
      </c>
      <c r="E3720">
        <v>2021</v>
      </c>
      <c r="F3720">
        <v>3</v>
      </c>
    </row>
    <row r="3721" spans="1:6" x14ac:dyDescent="0.55000000000000004">
      <c r="A3721" t="s">
        <v>125</v>
      </c>
      <c r="B3721" t="s">
        <v>5</v>
      </c>
      <c r="C3721">
        <v>1263681.3404999999</v>
      </c>
      <c r="D3721" t="s">
        <v>251</v>
      </c>
      <c r="E3721">
        <v>2021</v>
      </c>
      <c r="F3721">
        <v>3</v>
      </c>
    </row>
    <row r="3722" spans="1:6" x14ac:dyDescent="0.55000000000000004">
      <c r="A3722" t="s">
        <v>125</v>
      </c>
      <c r="B3722" t="s">
        <v>6</v>
      </c>
      <c r="C3722">
        <v>2742435.8920999998</v>
      </c>
      <c r="D3722" t="s">
        <v>251</v>
      </c>
      <c r="E3722">
        <v>2021</v>
      </c>
      <c r="F3722">
        <v>3</v>
      </c>
    </row>
    <row r="3723" spans="1:6" x14ac:dyDescent="0.55000000000000004">
      <c r="A3723" t="s">
        <v>125</v>
      </c>
      <c r="B3723" t="s">
        <v>7</v>
      </c>
      <c r="C3723">
        <v>3721887.7574</v>
      </c>
      <c r="D3723" t="s">
        <v>251</v>
      </c>
      <c r="E3723">
        <v>2021</v>
      </c>
      <c r="F3723">
        <v>3</v>
      </c>
    </row>
    <row r="3724" spans="1:6" x14ac:dyDescent="0.55000000000000004">
      <c r="A3724" t="s">
        <v>125</v>
      </c>
      <c r="B3724" t="s">
        <v>8</v>
      </c>
      <c r="C3724">
        <v>4932045.8022999996</v>
      </c>
      <c r="D3724" t="s">
        <v>251</v>
      </c>
      <c r="E3724">
        <v>2021</v>
      </c>
      <c r="F3724">
        <v>3</v>
      </c>
    </row>
    <row r="3725" spans="1:6" x14ac:dyDescent="0.55000000000000004">
      <c r="A3725" t="s">
        <v>125</v>
      </c>
      <c r="B3725" t="s">
        <v>9</v>
      </c>
      <c r="C3725">
        <v>1288.9197999999999</v>
      </c>
      <c r="D3725" t="s">
        <v>251</v>
      </c>
      <c r="E3725">
        <v>2021</v>
      </c>
      <c r="F3725">
        <v>3</v>
      </c>
    </row>
    <row r="3726" spans="1:6" x14ac:dyDescent="0.55000000000000004">
      <c r="A3726" t="s">
        <v>125</v>
      </c>
      <c r="B3726" t="s">
        <v>10</v>
      </c>
      <c r="C3726">
        <v>2495.7667000000001</v>
      </c>
      <c r="D3726" t="s">
        <v>251</v>
      </c>
      <c r="E3726">
        <v>2021</v>
      </c>
      <c r="F3726">
        <v>3</v>
      </c>
    </row>
    <row r="3727" spans="1:6" x14ac:dyDescent="0.55000000000000004">
      <c r="A3727" t="s">
        <v>125</v>
      </c>
      <c r="B3727" t="s">
        <v>11</v>
      </c>
      <c r="C3727">
        <v>3833416.5669999998</v>
      </c>
      <c r="D3727" t="s">
        <v>251</v>
      </c>
      <c r="E3727">
        <v>2021</v>
      </c>
      <c r="F3727">
        <v>3</v>
      </c>
    </row>
    <row r="3728" spans="1:6" x14ac:dyDescent="0.55000000000000004">
      <c r="A3728" t="s">
        <v>125</v>
      </c>
      <c r="B3728" t="s">
        <v>12</v>
      </c>
      <c r="C3728">
        <v>23664.473300000001</v>
      </c>
      <c r="D3728" t="s">
        <v>251</v>
      </c>
      <c r="E3728">
        <v>2021</v>
      </c>
      <c r="F3728">
        <v>3</v>
      </c>
    </row>
    <row r="3729" spans="1:6" x14ac:dyDescent="0.55000000000000004">
      <c r="A3729" t="s">
        <v>125</v>
      </c>
      <c r="B3729" t="s">
        <v>13</v>
      </c>
      <c r="C3729">
        <v>20481</v>
      </c>
      <c r="D3729" t="s">
        <v>251</v>
      </c>
      <c r="E3729">
        <v>2021</v>
      </c>
      <c r="F3729">
        <v>3</v>
      </c>
    </row>
    <row r="3730" spans="1:6" x14ac:dyDescent="0.55000000000000004">
      <c r="A3730" t="s">
        <v>125</v>
      </c>
      <c r="B3730" t="s">
        <v>14</v>
      </c>
      <c r="C3730">
        <v>7500</v>
      </c>
      <c r="D3730" t="s">
        <v>251</v>
      </c>
      <c r="E3730">
        <v>2021</v>
      </c>
      <c r="F3730">
        <v>3</v>
      </c>
    </row>
    <row r="3731" spans="1:6" x14ac:dyDescent="0.55000000000000004">
      <c r="A3731" t="s">
        <v>125</v>
      </c>
      <c r="B3731" t="s">
        <v>15</v>
      </c>
      <c r="C3731">
        <v>1119299.4054</v>
      </c>
      <c r="D3731" t="s">
        <v>251</v>
      </c>
      <c r="E3731">
        <v>2021</v>
      </c>
      <c r="F3731">
        <v>3</v>
      </c>
    </row>
    <row r="3732" spans="1:6" x14ac:dyDescent="0.55000000000000004">
      <c r="A3732" t="s">
        <v>125</v>
      </c>
      <c r="B3732" t="s">
        <v>16</v>
      </c>
      <c r="C3732">
        <v>7.0609999999999999</v>
      </c>
      <c r="D3732" t="s">
        <v>251</v>
      </c>
      <c r="E3732">
        <v>2021</v>
      </c>
      <c r="F3732">
        <v>3</v>
      </c>
    </row>
    <row r="3733" spans="1:6" x14ac:dyDescent="0.55000000000000004">
      <c r="A3733" t="s">
        <v>125</v>
      </c>
      <c r="B3733" t="s">
        <v>17</v>
      </c>
      <c r="C3733">
        <v>100632.1344</v>
      </c>
      <c r="D3733" t="s">
        <v>251</v>
      </c>
      <c r="E3733">
        <v>2021</v>
      </c>
      <c r="F3733">
        <v>3</v>
      </c>
    </row>
    <row r="3734" spans="1:6" x14ac:dyDescent="0.55000000000000004">
      <c r="A3734" t="s">
        <v>125</v>
      </c>
      <c r="B3734" t="s">
        <v>18</v>
      </c>
      <c r="C3734">
        <v>141053.8505</v>
      </c>
      <c r="D3734" t="s">
        <v>251</v>
      </c>
      <c r="E3734">
        <v>2021</v>
      </c>
      <c r="F3734">
        <v>3</v>
      </c>
    </row>
    <row r="3735" spans="1:6" x14ac:dyDescent="0.55000000000000004">
      <c r="A3735" t="s">
        <v>125</v>
      </c>
      <c r="B3735" t="s">
        <v>19</v>
      </c>
      <c r="C3735">
        <v>2053.4454000000001</v>
      </c>
      <c r="D3735" t="s">
        <v>251</v>
      </c>
      <c r="E3735">
        <v>2021</v>
      </c>
      <c r="F3735">
        <v>3</v>
      </c>
    </row>
    <row r="3736" spans="1:6" x14ac:dyDescent="0.55000000000000004">
      <c r="A3736" t="s">
        <v>125</v>
      </c>
      <c r="B3736" t="s">
        <v>20</v>
      </c>
      <c r="C3736">
        <v>12000</v>
      </c>
      <c r="D3736" t="s">
        <v>251</v>
      </c>
      <c r="E3736">
        <v>2021</v>
      </c>
      <c r="F3736">
        <v>3</v>
      </c>
    </row>
    <row r="3737" spans="1:6" x14ac:dyDescent="0.55000000000000004">
      <c r="A3737" t="s">
        <v>125</v>
      </c>
      <c r="B3737" t="s">
        <v>21</v>
      </c>
      <c r="C3737">
        <v>1304.7759000000001</v>
      </c>
      <c r="D3737" t="s">
        <v>251</v>
      </c>
      <c r="E3737">
        <v>2021</v>
      </c>
      <c r="F3737">
        <v>3</v>
      </c>
    </row>
    <row r="3738" spans="1:6" x14ac:dyDescent="0.55000000000000004">
      <c r="A3738" t="s">
        <v>125</v>
      </c>
      <c r="B3738" t="s">
        <v>22</v>
      </c>
      <c r="C3738">
        <v>24723.811699999998</v>
      </c>
      <c r="D3738" t="s">
        <v>251</v>
      </c>
      <c r="E3738">
        <v>2021</v>
      </c>
      <c r="F3738">
        <v>3</v>
      </c>
    </row>
    <row r="3739" spans="1:6" x14ac:dyDescent="0.55000000000000004">
      <c r="A3739" t="s">
        <v>125</v>
      </c>
      <c r="B3739" t="s">
        <v>23</v>
      </c>
      <c r="C3739">
        <v>77995.990699999995</v>
      </c>
      <c r="D3739" t="s">
        <v>251</v>
      </c>
      <c r="E3739">
        <v>2021</v>
      </c>
      <c r="F3739">
        <v>3</v>
      </c>
    </row>
    <row r="3740" spans="1:6" x14ac:dyDescent="0.55000000000000004">
      <c r="A3740" t="s">
        <v>125</v>
      </c>
      <c r="B3740" t="s">
        <v>24</v>
      </c>
      <c r="C3740">
        <v>0</v>
      </c>
      <c r="D3740" t="s">
        <v>251</v>
      </c>
      <c r="E3740">
        <v>2021</v>
      </c>
      <c r="F3740">
        <v>3</v>
      </c>
    </row>
    <row r="3741" spans="1:6" x14ac:dyDescent="0.55000000000000004">
      <c r="A3741" t="s">
        <v>125</v>
      </c>
      <c r="B3741" t="s">
        <v>25</v>
      </c>
      <c r="C3741">
        <v>227885.31659999999</v>
      </c>
      <c r="D3741" t="s">
        <v>251</v>
      </c>
      <c r="E3741">
        <v>2021</v>
      </c>
      <c r="F3741">
        <v>3</v>
      </c>
    </row>
    <row r="3742" spans="1:6" x14ac:dyDescent="0.55000000000000004">
      <c r="A3742" t="s">
        <v>125</v>
      </c>
      <c r="B3742" t="s">
        <v>26</v>
      </c>
      <c r="C3742">
        <v>0</v>
      </c>
      <c r="D3742" t="s">
        <v>251</v>
      </c>
      <c r="E3742">
        <v>2021</v>
      </c>
      <c r="F3742">
        <v>3</v>
      </c>
    </row>
    <row r="3743" spans="1:6" x14ac:dyDescent="0.55000000000000004">
      <c r="A3743" t="s">
        <v>125</v>
      </c>
      <c r="B3743" t="s">
        <v>27</v>
      </c>
      <c r="C3743">
        <v>616.74599999999998</v>
      </c>
      <c r="D3743" t="s">
        <v>251</v>
      </c>
      <c r="E3743">
        <v>2021</v>
      </c>
      <c r="F3743">
        <v>3</v>
      </c>
    </row>
    <row r="3744" spans="1:6" x14ac:dyDescent="0.55000000000000004">
      <c r="A3744" t="s">
        <v>125</v>
      </c>
      <c r="B3744" t="s">
        <v>28</v>
      </c>
      <c r="C3744">
        <v>437286.272</v>
      </c>
      <c r="D3744" t="s">
        <v>251</v>
      </c>
      <c r="E3744">
        <v>2021</v>
      </c>
      <c r="F3744">
        <v>3</v>
      </c>
    </row>
    <row r="3745" spans="1:6" x14ac:dyDescent="0.55000000000000004">
      <c r="A3745" t="s">
        <v>125</v>
      </c>
      <c r="B3745" t="s">
        <v>29</v>
      </c>
      <c r="C3745">
        <v>0</v>
      </c>
      <c r="D3745" t="s">
        <v>251</v>
      </c>
      <c r="E3745">
        <v>2021</v>
      </c>
      <c r="F3745">
        <v>3</v>
      </c>
    </row>
    <row r="3746" spans="1:6" x14ac:dyDescent="0.55000000000000004">
      <c r="A3746" t="s">
        <v>125</v>
      </c>
      <c r="B3746" t="s">
        <v>30</v>
      </c>
      <c r="C3746">
        <v>0.71250000000000002</v>
      </c>
      <c r="D3746" t="s">
        <v>251</v>
      </c>
      <c r="E3746">
        <v>2021</v>
      </c>
      <c r="F3746">
        <v>3</v>
      </c>
    </row>
    <row r="3747" spans="1:6" x14ac:dyDescent="0.55000000000000004">
      <c r="A3747" t="s">
        <v>125</v>
      </c>
      <c r="B3747" t="s">
        <v>31</v>
      </c>
      <c r="C3747">
        <v>20</v>
      </c>
      <c r="D3747" t="s">
        <v>251</v>
      </c>
      <c r="E3747">
        <v>2021</v>
      </c>
      <c r="F3747">
        <v>3</v>
      </c>
    </row>
    <row r="3748" spans="1:6" x14ac:dyDescent="0.55000000000000004">
      <c r="A3748" t="s">
        <v>125</v>
      </c>
      <c r="B3748" t="s">
        <v>32</v>
      </c>
      <c r="C3748">
        <v>807505.9497</v>
      </c>
      <c r="D3748" t="s">
        <v>251</v>
      </c>
      <c r="E3748">
        <v>2021</v>
      </c>
      <c r="F3748">
        <v>3</v>
      </c>
    </row>
    <row r="3749" spans="1:6" x14ac:dyDescent="0.55000000000000004">
      <c r="A3749" t="s">
        <v>125</v>
      </c>
      <c r="B3749" t="s">
        <v>33</v>
      </c>
      <c r="C3749">
        <v>678285.07680000004</v>
      </c>
      <c r="D3749" t="s">
        <v>251</v>
      </c>
      <c r="E3749">
        <v>2021</v>
      </c>
      <c r="F3749">
        <v>3</v>
      </c>
    </row>
    <row r="3750" spans="1:6" x14ac:dyDescent="0.55000000000000004">
      <c r="A3750" t="s">
        <v>125</v>
      </c>
      <c r="B3750" t="s">
        <v>34</v>
      </c>
      <c r="C3750">
        <v>646410.30460000003</v>
      </c>
      <c r="D3750" t="s">
        <v>251</v>
      </c>
      <c r="E3750">
        <v>2021</v>
      </c>
      <c r="F3750">
        <v>3</v>
      </c>
    </row>
    <row r="3751" spans="1:6" x14ac:dyDescent="0.55000000000000004">
      <c r="A3751" t="s">
        <v>125</v>
      </c>
      <c r="B3751" t="s">
        <v>35</v>
      </c>
      <c r="C3751">
        <v>486.31540000000001</v>
      </c>
      <c r="D3751" t="s">
        <v>251</v>
      </c>
      <c r="E3751">
        <v>2021</v>
      </c>
      <c r="F3751">
        <v>3</v>
      </c>
    </row>
    <row r="3752" spans="1:6" x14ac:dyDescent="0.55000000000000004">
      <c r="A3752" t="s">
        <v>125</v>
      </c>
      <c r="B3752" t="s">
        <v>36</v>
      </c>
      <c r="C3752">
        <v>90336.205100000006</v>
      </c>
      <c r="D3752" t="s">
        <v>251</v>
      </c>
      <c r="E3752">
        <v>2021</v>
      </c>
      <c r="F3752">
        <v>3</v>
      </c>
    </row>
    <row r="3753" spans="1:6" x14ac:dyDescent="0.55000000000000004">
      <c r="A3753" t="s">
        <v>125</v>
      </c>
      <c r="B3753" t="s">
        <v>37</v>
      </c>
      <c r="C3753">
        <v>74599.995699999999</v>
      </c>
      <c r="D3753" t="s">
        <v>251</v>
      </c>
      <c r="E3753">
        <v>2021</v>
      </c>
      <c r="F3753">
        <v>3</v>
      </c>
    </row>
    <row r="3754" spans="1:6" x14ac:dyDescent="0.55000000000000004">
      <c r="A3754" t="s">
        <v>125</v>
      </c>
      <c r="B3754" t="s">
        <v>38</v>
      </c>
      <c r="C3754">
        <v>0</v>
      </c>
      <c r="D3754" t="s">
        <v>251</v>
      </c>
      <c r="E3754">
        <v>2021</v>
      </c>
      <c r="F3754">
        <v>3</v>
      </c>
    </row>
    <row r="3755" spans="1:6" x14ac:dyDescent="0.55000000000000004">
      <c r="A3755" t="s">
        <v>125</v>
      </c>
      <c r="B3755" t="s">
        <v>39</v>
      </c>
      <c r="C3755">
        <v>2176.7840000000001</v>
      </c>
      <c r="D3755" t="s">
        <v>251</v>
      </c>
      <c r="E3755">
        <v>2021</v>
      </c>
      <c r="F3755">
        <v>3</v>
      </c>
    </row>
    <row r="3756" spans="1:6" x14ac:dyDescent="0.55000000000000004">
      <c r="A3756" t="s">
        <v>125</v>
      </c>
      <c r="B3756" t="s">
        <v>40</v>
      </c>
      <c r="C3756">
        <v>681.11670000000004</v>
      </c>
      <c r="D3756" t="s">
        <v>251</v>
      </c>
      <c r="E3756">
        <v>2021</v>
      </c>
      <c r="F3756">
        <v>3</v>
      </c>
    </row>
    <row r="3757" spans="1:6" x14ac:dyDescent="0.55000000000000004">
      <c r="A3757" t="s">
        <v>125</v>
      </c>
      <c r="B3757" t="s">
        <v>41</v>
      </c>
      <c r="C3757">
        <v>366184.22580000001</v>
      </c>
      <c r="D3757" t="s">
        <v>251</v>
      </c>
      <c r="E3757">
        <v>2021</v>
      </c>
      <c r="F3757">
        <v>3</v>
      </c>
    </row>
    <row r="3758" spans="1:6" x14ac:dyDescent="0.55000000000000004">
      <c r="A3758" t="s">
        <v>125</v>
      </c>
      <c r="B3758" t="s">
        <v>42</v>
      </c>
      <c r="C3758">
        <v>65.816699999999997</v>
      </c>
      <c r="D3758" t="s">
        <v>251</v>
      </c>
      <c r="E3758">
        <v>2021</v>
      </c>
      <c r="F3758">
        <v>3</v>
      </c>
    </row>
    <row r="3759" spans="1:6" x14ac:dyDescent="0.55000000000000004">
      <c r="A3759" t="s">
        <v>125</v>
      </c>
      <c r="B3759" t="s">
        <v>43</v>
      </c>
      <c r="C3759">
        <v>339101.09620000003</v>
      </c>
      <c r="D3759" t="s">
        <v>251</v>
      </c>
      <c r="E3759">
        <v>2021</v>
      </c>
      <c r="F3759">
        <v>3</v>
      </c>
    </row>
    <row r="3760" spans="1:6" x14ac:dyDescent="0.55000000000000004">
      <c r="A3760" t="s">
        <v>125</v>
      </c>
      <c r="B3760" t="s">
        <v>44</v>
      </c>
      <c r="C3760">
        <v>0</v>
      </c>
      <c r="D3760" t="s">
        <v>251</v>
      </c>
      <c r="E3760">
        <v>2021</v>
      </c>
      <c r="F3760">
        <v>3</v>
      </c>
    </row>
    <row r="3761" spans="1:6" x14ac:dyDescent="0.55000000000000004">
      <c r="A3761" t="s">
        <v>125</v>
      </c>
      <c r="B3761" t="s">
        <v>45</v>
      </c>
      <c r="C3761">
        <v>2168.8761</v>
      </c>
      <c r="D3761" t="s">
        <v>251</v>
      </c>
      <c r="E3761">
        <v>2021</v>
      </c>
      <c r="F3761">
        <v>3</v>
      </c>
    </row>
    <row r="3762" spans="1:6" x14ac:dyDescent="0.55000000000000004">
      <c r="A3762" t="s">
        <v>125</v>
      </c>
      <c r="B3762" t="s">
        <v>46</v>
      </c>
      <c r="C3762">
        <v>30574.93</v>
      </c>
      <c r="D3762" t="s">
        <v>251</v>
      </c>
      <c r="E3762">
        <v>2021</v>
      </c>
      <c r="F3762">
        <v>3</v>
      </c>
    </row>
    <row r="3763" spans="1:6" x14ac:dyDescent="0.55000000000000004">
      <c r="A3763" t="s">
        <v>125</v>
      </c>
      <c r="B3763" t="s">
        <v>47</v>
      </c>
      <c r="C3763">
        <v>0.25</v>
      </c>
      <c r="D3763" t="s">
        <v>251</v>
      </c>
      <c r="E3763">
        <v>2021</v>
      </c>
      <c r="F3763">
        <v>3</v>
      </c>
    </row>
    <row r="3764" spans="1:6" x14ac:dyDescent="0.55000000000000004">
      <c r="A3764" t="s">
        <v>125</v>
      </c>
      <c r="B3764" t="s">
        <v>48</v>
      </c>
      <c r="C3764">
        <v>52639.62</v>
      </c>
      <c r="D3764" t="s">
        <v>251</v>
      </c>
      <c r="E3764">
        <v>2021</v>
      </c>
      <c r="F3764">
        <v>3</v>
      </c>
    </row>
    <row r="3765" spans="1:6" x14ac:dyDescent="0.55000000000000004">
      <c r="A3765" t="s">
        <v>125</v>
      </c>
      <c r="B3765" t="s">
        <v>49</v>
      </c>
      <c r="C3765">
        <v>24.91</v>
      </c>
      <c r="D3765" t="s">
        <v>251</v>
      </c>
      <c r="E3765">
        <v>2021</v>
      </c>
      <c r="F3765">
        <v>3</v>
      </c>
    </row>
    <row r="3766" spans="1:6" x14ac:dyDescent="0.55000000000000004">
      <c r="A3766" t="s">
        <v>125</v>
      </c>
      <c r="B3766" t="s">
        <v>50</v>
      </c>
      <c r="C3766">
        <v>14054.1391</v>
      </c>
      <c r="D3766" t="s">
        <v>251</v>
      </c>
      <c r="E3766">
        <v>2021</v>
      </c>
      <c r="F3766">
        <v>3</v>
      </c>
    </row>
    <row r="3767" spans="1:6" x14ac:dyDescent="0.55000000000000004">
      <c r="A3767" t="s">
        <v>125</v>
      </c>
      <c r="B3767" t="s">
        <v>51</v>
      </c>
      <c r="C3767">
        <v>2000</v>
      </c>
      <c r="D3767" t="s">
        <v>251</v>
      </c>
      <c r="E3767">
        <v>2021</v>
      </c>
      <c r="F3767">
        <v>3</v>
      </c>
    </row>
    <row r="3768" spans="1:6" x14ac:dyDescent="0.55000000000000004">
      <c r="A3768" t="s">
        <v>125</v>
      </c>
      <c r="B3768" t="s">
        <v>52</v>
      </c>
      <c r="C3768">
        <v>133.04929999999999</v>
      </c>
      <c r="D3768" t="s">
        <v>251</v>
      </c>
      <c r="E3768">
        <v>2021</v>
      </c>
      <c r="F3768">
        <v>3</v>
      </c>
    </row>
    <row r="3769" spans="1:6" x14ac:dyDescent="0.55000000000000004">
      <c r="A3769" t="s">
        <v>125</v>
      </c>
      <c r="B3769" t="s">
        <v>53</v>
      </c>
      <c r="C3769">
        <v>104426.04</v>
      </c>
      <c r="D3769" t="s">
        <v>251</v>
      </c>
      <c r="E3769">
        <v>2021</v>
      </c>
      <c r="F3769">
        <v>3</v>
      </c>
    </row>
    <row r="3770" spans="1:6" x14ac:dyDescent="0.55000000000000004">
      <c r="A3770" t="s">
        <v>125</v>
      </c>
      <c r="B3770" t="s">
        <v>54</v>
      </c>
      <c r="C3770">
        <v>15899.044599999999</v>
      </c>
      <c r="D3770" t="s">
        <v>251</v>
      </c>
      <c r="E3770">
        <v>2021</v>
      </c>
      <c r="F3770">
        <v>3</v>
      </c>
    </row>
    <row r="3771" spans="1:6" x14ac:dyDescent="0.55000000000000004">
      <c r="A3771" t="s">
        <v>125</v>
      </c>
      <c r="B3771" t="s">
        <v>55</v>
      </c>
      <c r="C3771">
        <v>5808.2833000000001</v>
      </c>
      <c r="D3771" t="s">
        <v>251</v>
      </c>
      <c r="E3771">
        <v>2021</v>
      </c>
      <c r="F3771">
        <v>3</v>
      </c>
    </row>
    <row r="3772" spans="1:6" x14ac:dyDescent="0.55000000000000004">
      <c r="A3772" t="s">
        <v>125</v>
      </c>
      <c r="B3772" t="s">
        <v>56</v>
      </c>
      <c r="C3772">
        <v>5681.3333000000002</v>
      </c>
      <c r="D3772" t="s">
        <v>251</v>
      </c>
      <c r="E3772">
        <v>2021</v>
      </c>
      <c r="F3772">
        <v>3</v>
      </c>
    </row>
    <row r="3773" spans="1:6" x14ac:dyDescent="0.55000000000000004">
      <c r="A3773" t="s">
        <v>125</v>
      </c>
      <c r="B3773" t="s">
        <v>57</v>
      </c>
      <c r="C3773">
        <v>450.00150000000002</v>
      </c>
      <c r="D3773" t="s">
        <v>251</v>
      </c>
      <c r="E3773">
        <v>2021</v>
      </c>
      <c r="F3773">
        <v>3</v>
      </c>
    </row>
    <row r="3774" spans="1:6" x14ac:dyDescent="0.55000000000000004">
      <c r="A3774" t="s">
        <v>125</v>
      </c>
      <c r="B3774" t="s">
        <v>58</v>
      </c>
      <c r="C3774">
        <v>572841</v>
      </c>
      <c r="D3774" t="s">
        <v>251</v>
      </c>
      <c r="E3774">
        <v>2021</v>
      </c>
      <c r="F3774">
        <v>3</v>
      </c>
    </row>
    <row r="3775" spans="1:6" x14ac:dyDescent="0.55000000000000004">
      <c r="A3775" t="s">
        <v>125</v>
      </c>
      <c r="B3775" t="s">
        <v>59</v>
      </c>
      <c r="C3775">
        <v>900</v>
      </c>
      <c r="D3775" t="s">
        <v>251</v>
      </c>
      <c r="E3775">
        <v>2021</v>
      </c>
      <c r="F3775">
        <v>3</v>
      </c>
    </row>
    <row r="3776" spans="1:6" x14ac:dyDescent="0.55000000000000004">
      <c r="A3776" t="s">
        <v>125</v>
      </c>
      <c r="B3776" t="s">
        <v>60</v>
      </c>
      <c r="C3776">
        <v>2800000.0096</v>
      </c>
      <c r="D3776" t="s">
        <v>251</v>
      </c>
      <c r="E3776">
        <v>2021</v>
      </c>
      <c r="F3776">
        <v>3</v>
      </c>
    </row>
    <row r="3777" spans="1:6" x14ac:dyDescent="0.55000000000000004">
      <c r="A3777" t="s">
        <v>125</v>
      </c>
      <c r="B3777" t="s">
        <v>61</v>
      </c>
      <c r="C3777">
        <v>6230.0032000000001</v>
      </c>
      <c r="D3777" t="s">
        <v>251</v>
      </c>
      <c r="E3777">
        <v>2021</v>
      </c>
      <c r="F3777">
        <v>3</v>
      </c>
    </row>
    <row r="3778" spans="1:6" x14ac:dyDescent="0.55000000000000004">
      <c r="A3778" t="s">
        <v>125</v>
      </c>
      <c r="B3778" t="s">
        <v>62</v>
      </c>
      <c r="C3778">
        <v>6660.1666999999998</v>
      </c>
      <c r="D3778" t="s">
        <v>251</v>
      </c>
      <c r="E3778">
        <v>2021</v>
      </c>
      <c r="F3778">
        <v>3</v>
      </c>
    </row>
    <row r="3779" spans="1:6" x14ac:dyDescent="0.55000000000000004">
      <c r="A3779" t="s">
        <v>125</v>
      </c>
      <c r="B3779" t="s">
        <v>63</v>
      </c>
      <c r="C3779">
        <v>0</v>
      </c>
      <c r="D3779" t="s">
        <v>251</v>
      </c>
      <c r="E3779">
        <v>2021</v>
      </c>
      <c r="F3779">
        <v>3</v>
      </c>
    </row>
    <row r="3780" spans="1:6" x14ac:dyDescent="0.55000000000000004">
      <c r="A3780" t="s">
        <v>126</v>
      </c>
      <c r="B3780" t="s">
        <v>4</v>
      </c>
      <c r="C3780">
        <v>11267288.897399999</v>
      </c>
      <c r="D3780" t="s">
        <v>252</v>
      </c>
      <c r="E3780">
        <v>2021</v>
      </c>
      <c r="F3780">
        <v>4</v>
      </c>
    </row>
    <row r="3781" spans="1:6" x14ac:dyDescent="0.55000000000000004">
      <c r="A3781" t="s">
        <v>126</v>
      </c>
      <c r="B3781" t="s">
        <v>5</v>
      </c>
      <c r="C3781">
        <v>1138611.7294000001</v>
      </c>
      <c r="D3781" t="s">
        <v>252</v>
      </c>
      <c r="E3781">
        <v>2021</v>
      </c>
      <c r="F3781">
        <v>4</v>
      </c>
    </row>
    <row r="3782" spans="1:6" x14ac:dyDescent="0.55000000000000004">
      <c r="A3782" t="s">
        <v>126</v>
      </c>
      <c r="B3782" t="s">
        <v>6</v>
      </c>
      <c r="C3782">
        <v>2634487.9923999999</v>
      </c>
      <c r="D3782" t="s">
        <v>252</v>
      </c>
      <c r="E3782">
        <v>2021</v>
      </c>
      <c r="F3782">
        <v>4</v>
      </c>
    </row>
    <row r="3783" spans="1:6" x14ac:dyDescent="0.55000000000000004">
      <c r="A3783" t="s">
        <v>126</v>
      </c>
      <c r="B3783" t="s">
        <v>7</v>
      </c>
      <c r="C3783">
        <v>3543972.2481999998</v>
      </c>
      <c r="D3783" t="s">
        <v>252</v>
      </c>
      <c r="E3783">
        <v>2021</v>
      </c>
      <c r="F3783">
        <v>4</v>
      </c>
    </row>
    <row r="3784" spans="1:6" x14ac:dyDescent="0.55000000000000004">
      <c r="A3784" t="s">
        <v>126</v>
      </c>
      <c r="B3784" t="s">
        <v>8</v>
      </c>
      <c r="C3784">
        <v>3950216.9273999999</v>
      </c>
      <c r="D3784" t="s">
        <v>252</v>
      </c>
      <c r="E3784">
        <v>2021</v>
      </c>
      <c r="F3784">
        <v>4</v>
      </c>
    </row>
    <row r="3785" spans="1:6" x14ac:dyDescent="0.55000000000000004">
      <c r="A3785" t="s">
        <v>126</v>
      </c>
      <c r="B3785" t="s">
        <v>9</v>
      </c>
      <c r="C3785">
        <v>3724.6986999999999</v>
      </c>
      <c r="D3785" t="s">
        <v>252</v>
      </c>
      <c r="E3785">
        <v>2021</v>
      </c>
      <c r="F3785">
        <v>4</v>
      </c>
    </row>
    <row r="3786" spans="1:6" x14ac:dyDescent="0.55000000000000004">
      <c r="A3786" t="s">
        <v>126</v>
      </c>
      <c r="B3786" t="s">
        <v>10</v>
      </c>
      <c r="C3786">
        <v>2573.9495000000002</v>
      </c>
      <c r="D3786" t="s">
        <v>252</v>
      </c>
      <c r="E3786">
        <v>2021</v>
      </c>
      <c r="F3786">
        <v>4</v>
      </c>
    </row>
    <row r="3787" spans="1:6" x14ac:dyDescent="0.55000000000000004">
      <c r="A3787" t="s">
        <v>126</v>
      </c>
      <c r="B3787" t="s">
        <v>11</v>
      </c>
      <c r="C3787">
        <v>3575943.6504000002</v>
      </c>
      <c r="D3787" t="s">
        <v>252</v>
      </c>
      <c r="E3787">
        <v>2021</v>
      </c>
      <c r="F3787">
        <v>4</v>
      </c>
    </row>
    <row r="3788" spans="1:6" x14ac:dyDescent="0.55000000000000004">
      <c r="A3788" t="s">
        <v>126</v>
      </c>
      <c r="B3788" t="s">
        <v>12</v>
      </c>
      <c r="C3788">
        <v>7466.3666999999996</v>
      </c>
      <c r="D3788" t="s">
        <v>252</v>
      </c>
      <c r="E3788">
        <v>2021</v>
      </c>
      <c r="F3788">
        <v>4</v>
      </c>
    </row>
    <row r="3789" spans="1:6" x14ac:dyDescent="0.55000000000000004">
      <c r="A3789" t="s">
        <v>126</v>
      </c>
      <c r="B3789" t="s">
        <v>13</v>
      </c>
      <c r="C3789">
        <v>17174</v>
      </c>
      <c r="D3789" t="s">
        <v>252</v>
      </c>
      <c r="E3789">
        <v>2021</v>
      </c>
      <c r="F3789">
        <v>4</v>
      </c>
    </row>
    <row r="3790" spans="1:6" x14ac:dyDescent="0.55000000000000004">
      <c r="A3790" t="s">
        <v>126</v>
      </c>
      <c r="B3790" t="s">
        <v>14</v>
      </c>
      <c r="C3790">
        <v>10000</v>
      </c>
      <c r="D3790" t="s">
        <v>252</v>
      </c>
      <c r="E3790">
        <v>2021</v>
      </c>
      <c r="F3790">
        <v>4</v>
      </c>
    </row>
    <row r="3791" spans="1:6" x14ac:dyDescent="0.55000000000000004">
      <c r="A3791" t="s">
        <v>126</v>
      </c>
      <c r="B3791" t="s">
        <v>15</v>
      </c>
      <c r="C3791">
        <v>1046639.0438</v>
      </c>
      <c r="D3791" t="s">
        <v>252</v>
      </c>
      <c r="E3791">
        <v>2021</v>
      </c>
      <c r="F3791">
        <v>4</v>
      </c>
    </row>
    <row r="3792" spans="1:6" x14ac:dyDescent="0.55000000000000004">
      <c r="A3792" t="s">
        <v>126</v>
      </c>
      <c r="B3792" t="s">
        <v>16</v>
      </c>
      <c r="C3792">
        <v>7.0609999999999999</v>
      </c>
      <c r="D3792" t="s">
        <v>252</v>
      </c>
      <c r="E3792">
        <v>2021</v>
      </c>
      <c r="F3792">
        <v>4</v>
      </c>
    </row>
    <row r="3793" spans="1:6" x14ac:dyDescent="0.55000000000000004">
      <c r="A3793" t="s">
        <v>126</v>
      </c>
      <c r="B3793" t="s">
        <v>17</v>
      </c>
      <c r="C3793">
        <v>157620.56460000001</v>
      </c>
      <c r="D3793" t="s">
        <v>252</v>
      </c>
      <c r="E3793">
        <v>2021</v>
      </c>
      <c r="F3793">
        <v>4</v>
      </c>
    </row>
    <row r="3794" spans="1:6" x14ac:dyDescent="0.55000000000000004">
      <c r="A3794" t="s">
        <v>126</v>
      </c>
      <c r="B3794" t="s">
        <v>18</v>
      </c>
      <c r="C3794">
        <v>72618.215899999996</v>
      </c>
      <c r="D3794" t="s">
        <v>252</v>
      </c>
      <c r="E3794">
        <v>2021</v>
      </c>
      <c r="F3794">
        <v>4</v>
      </c>
    </row>
    <row r="3795" spans="1:6" x14ac:dyDescent="0.55000000000000004">
      <c r="A3795" t="s">
        <v>126</v>
      </c>
      <c r="B3795" t="s">
        <v>19</v>
      </c>
      <c r="C3795">
        <v>2053.4454000000001</v>
      </c>
      <c r="D3795" t="s">
        <v>252</v>
      </c>
      <c r="E3795">
        <v>2021</v>
      </c>
      <c r="F3795">
        <v>4</v>
      </c>
    </row>
    <row r="3796" spans="1:6" x14ac:dyDescent="0.55000000000000004">
      <c r="A3796" t="s">
        <v>126</v>
      </c>
      <c r="B3796" t="s">
        <v>20</v>
      </c>
      <c r="C3796">
        <v>15000</v>
      </c>
      <c r="D3796" t="s">
        <v>252</v>
      </c>
      <c r="E3796">
        <v>2021</v>
      </c>
      <c r="F3796">
        <v>4</v>
      </c>
    </row>
    <row r="3797" spans="1:6" x14ac:dyDescent="0.55000000000000004">
      <c r="A3797" t="s">
        <v>126</v>
      </c>
      <c r="B3797" t="s">
        <v>21</v>
      </c>
      <c r="C3797">
        <v>3606.5906</v>
      </c>
      <c r="D3797" t="s">
        <v>252</v>
      </c>
      <c r="E3797">
        <v>2021</v>
      </c>
      <c r="F3797">
        <v>4</v>
      </c>
    </row>
    <row r="3798" spans="1:6" x14ac:dyDescent="0.55000000000000004">
      <c r="A3798" t="s">
        <v>126</v>
      </c>
      <c r="B3798" t="s">
        <v>22</v>
      </c>
      <c r="C3798">
        <v>34797.287900000003</v>
      </c>
      <c r="D3798" t="s">
        <v>252</v>
      </c>
      <c r="E3798">
        <v>2021</v>
      </c>
      <c r="F3798">
        <v>4</v>
      </c>
    </row>
    <row r="3799" spans="1:6" x14ac:dyDescent="0.55000000000000004">
      <c r="A3799" t="s">
        <v>126</v>
      </c>
      <c r="B3799" t="s">
        <v>23</v>
      </c>
      <c r="C3799">
        <v>71697.003800000006</v>
      </c>
      <c r="D3799" t="s">
        <v>252</v>
      </c>
      <c r="E3799">
        <v>2021</v>
      </c>
      <c r="F3799">
        <v>4</v>
      </c>
    </row>
    <row r="3800" spans="1:6" x14ac:dyDescent="0.55000000000000004">
      <c r="A3800" t="s">
        <v>126</v>
      </c>
      <c r="B3800" t="s">
        <v>24</v>
      </c>
      <c r="C3800">
        <v>0</v>
      </c>
      <c r="D3800" t="s">
        <v>252</v>
      </c>
      <c r="E3800">
        <v>2021</v>
      </c>
      <c r="F3800">
        <v>4</v>
      </c>
    </row>
    <row r="3801" spans="1:6" x14ac:dyDescent="0.55000000000000004">
      <c r="A3801" t="s">
        <v>126</v>
      </c>
      <c r="B3801" t="s">
        <v>25</v>
      </c>
      <c r="C3801">
        <v>347056.21659999999</v>
      </c>
      <c r="D3801" t="s">
        <v>252</v>
      </c>
      <c r="E3801">
        <v>2021</v>
      </c>
      <c r="F3801">
        <v>4</v>
      </c>
    </row>
    <row r="3802" spans="1:6" x14ac:dyDescent="0.55000000000000004">
      <c r="A3802" t="s">
        <v>126</v>
      </c>
      <c r="B3802" t="s">
        <v>26</v>
      </c>
      <c r="C3802">
        <v>0</v>
      </c>
      <c r="D3802" t="s">
        <v>252</v>
      </c>
      <c r="E3802">
        <v>2021</v>
      </c>
      <c r="F3802">
        <v>4</v>
      </c>
    </row>
    <row r="3803" spans="1:6" x14ac:dyDescent="0.55000000000000004">
      <c r="A3803" t="s">
        <v>126</v>
      </c>
      <c r="B3803" t="s">
        <v>27</v>
      </c>
      <c r="C3803">
        <v>775.49329999999998</v>
      </c>
      <c r="D3803" t="s">
        <v>252</v>
      </c>
      <c r="E3803">
        <v>2021</v>
      </c>
      <c r="F3803">
        <v>4</v>
      </c>
    </row>
    <row r="3804" spans="1:6" x14ac:dyDescent="0.55000000000000004">
      <c r="A3804" t="s">
        <v>126</v>
      </c>
      <c r="B3804" t="s">
        <v>28</v>
      </c>
      <c r="C3804">
        <v>410106.34600000002</v>
      </c>
      <c r="D3804" t="s">
        <v>252</v>
      </c>
      <c r="E3804">
        <v>2021</v>
      </c>
      <c r="F3804">
        <v>4</v>
      </c>
    </row>
    <row r="3805" spans="1:6" x14ac:dyDescent="0.55000000000000004">
      <c r="A3805" t="s">
        <v>126</v>
      </c>
      <c r="B3805" t="s">
        <v>29</v>
      </c>
      <c r="C3805">
        <v>0</v>
      </c>
      <c r="D3805" t="s">
        <v>252</v>
      </c>
      <c r="E3805">
        <v>2021</v>
      </c>
      <c r="F3805">
        <v>4</v>
      </c>
    </row>
    <row r="3806" spans="1:6" x14ac:dyDescent="0.55000000000000004">
      <c r="A3806" t="s">
        <v>126</v>
      </c>
      <c r="B3806" t="s">
        <v>30</v>
      </c>
      <c r="C3806">
        <v>0</v>
      </c>
      <c r="D3806" t="s">
        <v>252</v>
      </c>
      <c r="E3806">
        <v>2021</v>
      </c>
      <c r="F3806">
        <v>4</v>
      </c>
    </row>
    <row r="3807" spans="1:6" x14ac:dyDescent="0.55000000000000004">
      <c r="A3807" t="s">
        <v>126</v>
      </c>
      <c r="B3807" t="s">
        <v>31</v>
      </c>
      <c r="C3807">
        <v>40</v>
      </c>
      <c r="D3807" t="s">
        <v>252</v>
      </c>
      <c r="E3807">
        <v>2021</v>
      </c>
      <c r="F3807">
        <v>4</v>
      </c>
    </row>
    <row r="3808" spans="1:6" x14ac:dyDescent="0.55000000000000004">
      <c r="A3808" t="s">
        <v>126</v>
      </c>
      <c r="B3808" t="s">
        <v>32</v>
      </c>
      <c r="C3808">
        <v>749879.97869999998</v>
      </c>
      <c r="D3808" t="s">
        <v>252</v>
      </c>
      <c r="E3808">
        <v>2021</v>
      </c>
      <c r="F3808">
        <v>4</v>
      </c>
    </row>
    <row r="3809" spans="1:6" x14ac:dyDescent="0.55000000000000004">
      <c r="A3809" t="s">
        <v>126</v>
      </c>
      <c r="B3809" t="s">
        <v>33</v>
      </c>
      <c r="C3809">
        <v>552515.81169999996</v>
      </c>
      <c r="D3809" t="s">
        <v>252</v>
      </c>
      <c r="E3809">
        <v>2021</v>
      </c>
      <c r="F3809">
        <v>4</v>
      </c>
    </row>
    <row r="3810" spans="1:6" x14ac:dyDescent="0.55000000000000004">
      <c r="A3810" t="s">
        <v>126</v>
      </c>
      <c r="B3810" t="s">
        <v>34</v>
      </c>
      <c r="C3810">
        <v>433220.00339999999</v>
      </c>
      <c r="D3810" t="s">
        <v>252</v>
      </c>
      <c r="E3810">
        <v>2021</v>
      </c>
      <c r="F3810">
        <v>4</v>
      </c>
    </row>
    <row r="3811" spans="1:6" x14ac:dyDescent="0.55000000000000004">
      <c r="A3811" t="s">
        <v>126</v>
      </c>
      <c r="B3811" t="s">
        <v>35</v>
      </c>
      <c r="C3811">
        <v>1968.998</v>
      </c>
      <c r="D3811" t="s">
        <v>252</v>
      </c>
      <c r="E3811">
        <v>2021</v>
      </c>
      <c r="F3811">
        <v>4</v>
      </c>
    </row>
    <row r="3812" spans="1:6" x14ac:dyDescent="0.55000000000000004">
      <c r="A3812" t="s">
        <v>126</v>
      </c>
      <c r="B3812" t="s">
        <v>36</v>
      </c>
      <c r="C3812">
        <v>63327.685599999997</v>
      </c>
      <c r="D3812" t="s">
        <v>252</v>
      </c>
      <c r="E3812">
        <v>2021</v>
      </c>
      <c r="F3812">
        <v>4</v>
      </c>
    </row>
    <row r="3813" spans="1:6" x14ac:dyDescent="0.55000000000000004">
      <c r="A3813" t="s">
        <v>126</v>
      </c>
      <c r="B3813" t="s">
        <v>37</v>
      </c>
      <c r="C3813">
        <v>96599.990699999995</v>
      </c>
      <c r="D3813" t="s">
        <v>252</v>
      </c>
      <c r="E3813">
        <v>2021</v>
      </c>
      <c r="F3813">
        <v>4</v>
      </c>
    </row>
    <row r="3814" spans="1:6" x14ac:dyDescent="0.55000000000000004">
      <c r="A3814" t="s">
        <v>126</v>
      </c>
      <c r="B3814" t="s">
        <v>38</v>
      </c>
      <c r="C3814">
        <v>0</v>
      </c>
      <c r="D3814" t="s">
        <v>252</v>
      </c>
      <c r="E3814">
        <v>2021</v>
      </c>
      <c r="F3814">
        <v>4</v>
      </c>
    </row>
    <row r="3815" spans="1:6" x14ac:dyDescent="0.55000000000000004">
      <c r="A3815" t="s">
        <v>126</v>
      </c>
      <c r="B3815" t="s">
        <v>39</v>
      </c>
      <c r="C3815">
        <v>0.81530000000000002</v>
      </c>
      <c r="D3815" t="s">
        <v>252</v>
      </c>
      <c r="E3815">
        <v>2021</v>
      </c>
      <c r="F3815">
        <v>4</v>
      </c>
    </row>
    <row r="3816" spans="1:6" x14ac:dyDescent="0.55000000000000004">
      <c r="A3816" t="s">
        <v>126</v>
      </c>
      <c r="B3816" t="s">
        <v>40</v>
      </c>
      <c r="C3816">
        <v>320</v>
      </c>
      <c r="D3816" t="s">
        <v>252</v>
      </c>
      <c r="E3816">
        <v>2021</v>
      </c>
      <c r="F3816">
        <v>4</v>
      </c>
    </row>
    <row r="3817" spans="1:6" x14ac:dyDescent="0.55000000000000004">
      <c r="A3817" t="s">
        <v>126</v>
      </c>
      <c r="B3817" t="s">
        <v>41</v>
      </c>
      <c r="C3817">
        <v>329658.60340000002</v>
      </c>
      <c r="D3817" t="s">
        <v>252</v>
      </c>
      <c r="E3817">
        <v>2021</v>
      </c>
      <c r="F3817">
        <v>4</v>
      </c>
    </row>
    <row r="3818" spans="1:6" x14ac:dyDescent="0.55000000000000004">
      <c r="A3818" t="s">
        <v>126</v>
      </c>
      <c r="B3818" t="s">
        <v>42</v>
      </c>
      <c r="C3818">
        <v>67</v>
      </c>
      <c r="D3818" t="s">
        <v>252</v>
      </c>
      <c r="E3818">
        <v>2021</v>
      </c>
      <c r="F3818">
        <v>4</v>
      </c>
    </row>
    <row r="3819" spans="1:6" x14ac:dyDescent="0.55000000000000004">
      <c r="A3819" t="s">
        <v>126</v>
      </c>
      <c r="B3819" t="s">
        <v>43</v>
      </c>
      <c r="C3819">
        <v>347015.33590000001</v>
      </c>
      <c r="D3819" t="s">
        <v>252</v>
      </c>
      <c r="E3819">
        <v>2021</v>
      </c>
      <c r="F3819">
        <v>4</v>
      </c>
    </row>
    <row r="3820" spans="1:6" x14ac:dyDescent="0.55000000000000004">
      <c r="A3820" t="s">
        <v>126</v>
      </c>
      <c r="B3820" t="s">
        <v>44</v>
      </c>
      <c r="C3820">
        <v>208.33330000000001</v>
      </c>
      <c r="D3820" t="s">
        <v>252</v>
      </c>
      <c r="E3820">
        <v>2021</v>
      </c>
      <c r="F3820">
        <v>4</v>
      </c>
    </row>
    <row r="3821" spans="1:6" x14ac:dyDescent="0.55000000000000004">
      <c r="A3821" t="s">
        <v>126</v>
      </c>
      <c r="B3821" t="s">
        <v>45</v>
      </c>
      <c r="C3821">
        <v>1647.1502</v>
      </c>
      <c r="D3821" t="s">
        <v>252</v>
      </c>
      <c r="E3821">
        <v>2021</v>
      </c>
      <c r="F3821">
        <v>4</v>
      </c>
    </row>
    <row r="3822" spans="1:6" x14ac:dyDescent="0.55000000000000004">
      <c r="A3822" t="s">
        <v>126</v>
      </c>
      <c r="B3822" t="s">
        <v>46</v>
      </c>
      <c r="C3822">
        <v>24222.666700000002</v>
      </c>
      <c r="D3822" t="s">
        <v>252</v>
      </c>
      <c r="E3822">
        <v>2021</v>
      </c>
      <c r="F3822">
        <v>4</v>
      </c>
    </row>
    <row r="3823" spans="1:6" x14ac:dyDescent="0.55000000000000004">
      <c r="A3823" t="s">
        <v>126</v>
      </c>
      <c r="B3823" t="s">
        <v>47</v>
      </c>
      <c r="C3823">
        <v>0</v>
      </c>
      <c r="D3823" t="s">
        <v>252</v>
      </c>
      <c r="E3823">
        <v>2021</v>
      </c>
      <c r="F3823">
        <v>4</v>
      </c>
    </row>
    <row r="3824" spans="1:6" x14ac:dyDescent="0.55000000000000004">
      <c r="A3824" t="s">
        <v>126</v>
      </c>
      <c r="B3824" t="s">
        <v>48</v>
      </c>
      <c r="C3824">
        <v>48030.686099999999</v>
      </c>
      <c r="D3824" t="s">
        <v>252</v>
      </c>
      <c r="E3824">
        <v>2021</v>
      </c>
      <c r="F3824">
        <v>4</v>
      </c>
    </row>
    <row r="3825" spans="1:6" x14ac:dyDescent="0.55000000000000004">
      <c r="A3825" t="s">
        <v>126</v>
      </c>
      <c r="B3825" t="s">
        <v>49</v>
      </c>
      <c r="C3825">
        <v>0</v>
      </c>
      <c r="D3825" t="s">
        <v>252</v>
      </c>
      <c r="E3825">
        <v>2021</v>
      </c>
      <c r="F3825">
        <v>4</v>
      </c>
    </row>
    <row r="3826" spans="1:6" x14ac:dyDescent="0.55000000000000004">
      <c r="A3826" t="s">
        <v>126</v>
      </c>
      <c r="B3826" t="s">
        <v>50</v>
      </c>
      <c r="C3826">
        <v>13975.002500000001</v>
      </c>
      <c r="D3826" t="s">
        <v>252</v>
      </c>
      <c r="E3826">
        <v>2021</v>
      </c>
      <c r="F3826">
        <v>4</v>
      </c>
    </row>
    <row r="3827" spans="1:6" x14ac:dyDescent="0.55000000000000004">
      <c r="A3827" t="s">
        <v>126</v>
      </c>
      <c r="B3827" t="s">
        <v>51</v>
      </c>
      <c r="C3827">
        <v>2000</v>
      </c>
      <c r="D3827" t="s">
        <v>252</v>
      </c>
      <c r="E3827">
        <v>2021</v>
      </c>
      <c r="F3827">
        <v>4</v>
      </c>
    </row>
    <row r="3828" spans="1:6" x14ac:dyDescent="0.55000000000000004">
      <c r="A3828" t="s">
        <v>126</v>
      </c>
      <c r="B3828" t="s">
        <v>52</v>
      </c>
      <c r="C3828">
        <v>133.04929999999999</v>
      </c>
      <c r="D3828" t="s">
        <v>252</v>
      </c>
      <c r="E3828">
        <v>2021</v>
      </c>
      <c r="F3828">
        <v>4</v>
      </c>
    </row>
    <row r="3829" spans="1:6" x14ac:dyDescent="0.55000000000000004">
      <c r="A3829" t="s">
        <v>126</v>
      </c>
      <c r="B3829" t="s">
        <v>53</v>
      </c>
      <c r="C3829">
        <v>54851.67</v>
      </c>
      <c r="D3829" t="s">
        <v>252</v>
      </c>
      <c r="E3829">
        <v>2021</v>
      </c>
      <c r="F3829">
        <v>4</v>
      </c>
    </row>
    <row r="3830" spans="1:6" x14ac:dyDescent="0.55000000000000004">
      <c r="A3830" t="s">
        <v>126</v>
      </c>
      <c r="B3830" t="s">
        <v>54</v>
      </c>
      <c r="C3830">
        <v>14339.6235</v>
      </c>
      <c r="D3830" t="s">
        <v>252</v>
      </c>
      <c r="E3830">
        <v>2021</v>
      </c>
      <c r="F3830">
        <v>4</v>
      </c>
    </row>
    <row r="3831" spans="1:6" x14ac:dyDescent="0.55000000000000004">
      <c r="A3831" t="s">
        <v>126</v>
      </c>
      <c r="B3831" t="s">
        <v>55</v>
      </c>
      <c r="C3831">
        <v>0</v>
      </c>
      <c r="D3831" t="s">
        <v>252</v>
      </c>
      <c r="E3831">
        <v>2021</v>
      </c>
      <c r="F3831">
        <v>4</v>
      </c>
    </row>
    <row r="3832" spans="1:6" x14ac:dyDescent="0.55000000000000004">
      <c r="A3832" t="s">
        <v>126</v>
      </c>
      <c r="B3832" t="s">
        <v>56</v>
      </c>
      <c r="C3832">
        <v>4235</v>
      </c>
      <c r="D3832" t="s">
        <v>252</v>
      </c>
      <c r="E3832">
        <v>2021</v>
      </c>
      <c r="F3832">
        <v>4</v>
      </c>
    </row>
    <row r="3833" spans="1:6" x14ac:dyDescent="0.55000000000000004">
      <c r="A3833" t="s">
        <v>126</v>
      </c>
      <c r="B3833" t="s">
        <v>57</v>
      </c>
      <c r="C3833">
        <v>218.1317</v>
      </c>
      <c r="D3833" t="s">
        <v>252</v>
      </c>
      <c r="E3833">
        <v>2021</v>
      </c>
      <c r="F3833">
        <v>4</v>
      </c>
    </row>
    <row r="3834" spans="1:6" x14ac:dyDescent="0.55000000000000004">
      <c r="A3834" t="s">
        <v>126</v>
      </c>
      <c r="B3834" t="s">
        <v>58</v>
      </c>
      <c r="C3834">
        <v>537540</v>
      </c>
      <c r="D3834" t="s">
        <v>252</v>
      </c>
      <c r="E3834">
        <v>2021</v>
      </c>
      <c r="F3834">
        <v>4</v>
      </c>
    </row>
    <row r="3835" spans="1:6" x14ac:dyDescent="0.55000000000000004">
      <c r="A3835" t="s">
        <v>126</v>
      </c>
      <c r="B3835" t="s">
        <v>59</v>
      </c>
      <c r="C3835">
        <v>700</v>
      </c>
      <c r="D3835" t="s">
        <v>252</v>
      </c>
      <c r="E3835">
        <v>2021</v>
      </c>
      <c r="F3835">
        <v>4</v>
      </c>
    </row>
    <row r="3836" spans="1:6" x14ac:dyDescent="0.55000000000000004">
      <c r="A3836" t="s">
        <v>126</v>
      </c>
      <c r="B3836" t="s">
        <v>60</v>
      </c>
      <c r="C3836">
        <v>2199999.9955000002</v>
      </c>
      <c r="D3836" t="s">
        <v>252</v>
      </c>
      <c r="E3836">
        <v>2021</v>
      </c>
      <c r="F3836">
        <v>4</v>
      </c>
    </row>
    <row r="3837" spans="1:6" x14ac:dyDescent="0.55000000000000004">
      <c r="A3837" t="s">
        <v>126</v>
      </c>
      <c r="B3837" t="s">
        <v>61</v>
      </c>
      <c r="C3837">
        <v>6639.9992000000002</v>
      </c>
      <c r="D3837" t="s">
        <v>252</v>
      </c>
      <c r="E3837">
        <v>2021</v>
      </c>
      <c r="F3837">
        <v>4</v>
      </c>
    </row>
    <row r="3838" spans="1:6" x14ac:dyDescent="0.55000000000000004">
      <c r="A3838" t="s">
        <v>126</v>
      </c>
      <c r="B3838" t="s">
        <v>62</v>
      </c>
      <c r="C3838">
        <v>5073.4324999999999</v>
      </c>
      <c r="D3838" t="s">
        <v>252</v>
      </c>
      <c r="E3838">
        <v>2021</v>
      </c>
      <c r="F3838">
        <v>4</v>
      </c>
    </row>
    <row r="3839" spans="1:6" x14ac:dyDescent="0.55000000000000004">
      <c r="A3839" t="s">
        <v>126</v>
      </c>
      <c r="B3839" t="s">
        <v>63</v>
      </c>
      <c r="C3839">
        <v>0</v>
      </c>
      <c r="D3839" t="s">
        <v>252</v>
      </c>
      <c r="E3839">
        <v>2021</v>
      </c>
      <c r="F3839">
        <v>4</v>
      </c>
    </row>
    <row r="3840" spans="1:6" x14ac:dyDescent="0.55000000000000004">
      <c r="A3840" t="s">
        <v>127</v>
      </c>
      <c r="B3840" t="s">
        <v>4</v>
      </c>
      <c r="C3840">
        <v>10584169.494200001</v>
      </c>
      <c r="D3840" t="s">
        <v>253</v>
      </c>
      <c r="E3840">
        <v>2021</v>
      </c>
      <c r="F3840">
        <v>5</v>
      </c>
    </row>
    <row r="3841" spans="1:6" x14ac:dyDescent="0.55000000000000004">
      <c r="A3841" t="s">
        <v>127</v>
      </c>
      <c r="B3841" t="s">
        <v>5</v>
      </c>
      <c r="C3841">
        <v>483305.7635</v>
      </c>
      <c r="D3841" t="s">
        <v>253</v>
      </c>
      <c r="E3841">
        <v>2021</v>
      </c>
      <c r="F3841">
        <v>5</v>
      </c>
    </row>
    <row r="3842" spans="1:6" x14ac:dyDescent="0.55000000000000004">
      <c r="A3842" t="s">
        <v>127</v>
      </c>
      <c r="B3842" t="s">
        <v>6</v>
      </c>
      <c r="C3842">
        <v>2779407.9128999999</v>
      </c>
      <c r="D3842" t="s">
        <v>253</v>
      </c>
      <c r="E3842">
        <v>2021</v>
      </c>
      <c r="F3842">
        <v>5</v>
      </c>
    </row>
    <row r="3843" spans="1:6" x14ac:dyDescent="0.55000000000000004">
      <c r="A3843" t="s">
        <v>127</v>
      </c>
      <c r="B3843" t="s">
        <v>7</v>
      </c>
      <c r="C3843">
        <v>3460247.5444999998</v>
      </c>
      <c r="D3843" t="s">
        <v>253</v>
      </c>
      <c r="E3843">
        <v>2021</v>
      </c>
      <c r="F3843">
        <v>5</v>
      </c>
    </row>
    <row r="3844" spans="1:6" x14ac:dyDescent="0.55000000000000004">
      <c r="A3844" t="s">
        <v>127</v>
      </c>
      <c r="B3844" t="s">
        <v>8</v>
      </c>
      <c r="C3844">
        <v>3861208.2733</v>
      </c>
      <c r="D3844" t="s">
        <v>253</v>
      </c>
      <c r="E3844">
        <v>2021</v>
      </c>
      <c r="F3844">
        <v>5</v>
      </c>
    </row>
    <row r="3845" spans="1:6" x14ac:dyDescent="0.55000000000000004">
      <c r="A3845" t="s">
        <v>127</v>
      </c>
      <c r="B3845" t="s">
        <v>9</v>
      </c>
      <c r="C3845">
        <v>875.75</v>
      </c>
      <c r="D3845" t="s">
        <v>253</v>
      </c>
      <c r="E3845">
        <v>2021</v>
      </c>
      <c r="F3845">
        <v>5</v>
      </c>
    </row>
    <row r="3846" spans="1:6" x14ac:dyDescent="0.55000000000000004">
      <c r="A3846" t="s">
        <v>127</v>
      </c>
      <c r="B3846" t="s">
        <v>10</v>
      </c>
      <c r="C3846">
        <v>706.07500000000005</v>
      </c>
      <c r="D3846" t="s">
        <v>253</v>
      </c>
      <c r="E3846">
        <v>2021</v>
      </c>
      <c r="F3846">
        <v>5</v>
      </c>
    </row>
    <row r="3847" spans="1:6" x14ac:dyDescent="0.55000000000000004">
      <c r="A3847" t="s">
        <v>127</v>
      </c>
      <c r="B3847" t="s">
        <v>11</v>
      </c>
      <c r="C3847">
        <v>3443874.4443999999</v>
      </c>
      <c r="D3847" t="s">
        <v>253</v>
      </c>
      <c r="E3847">
        <v>2021</v>
      </c>
      <c r="F3847">
        <v>5</v>
      </c>
    </row>
    <row r="3848" spans="1:6" x14ac:dyDescent="0.55000000000000004">
      <c r="A3848" t="s">
        <v>127</v>
      </c>
      <c r="B3848" t="s">
        <v>12</v>
      </c>
      <c r="C3848">
        <v>5891.1666999999998</v>
      </c>
      <c r="D3848" t="s">
        <v>253</v>
      </c>
      <c r="E3848">
        <v>2021</v>
      </c>
      <c r="F3848">
        <v>5</v>
      </c>
    </row>
    <row r="3849" spans="1:6" x14ac:dyDescent="0.55000000000000004">
      <c r="A3849" t="s">
        <v>127</v>
      </c>
      <c r="B3849" t="s">
        <v>13</v>
      </c>
      <c r="C3849">
        <v>12358.5</v>
      </c>
      <c r="D3849" t="s">
        <v>253</v>
      </c>
      <c r="E3849">
        <v>2021</v>
      </c>
      <c r="F3849">
        <v>5</v>
      </c>
    </row>
    <row r="3850" spans="1:6" x14ac:dyDescent="0.55000000000000004">
      <c r="A3850" t="s">
        <v>127</v>
      </c>
      <c r="B3850" t="s">
        <v>14</v>
      </c>
      <c r="C3850">
        <v>7600</v>
      </c>
      <c r="D3850" t="s">
        <v>253</v>
      </c>
      <c r="E3850">
        <v>2021</v>
      </c>
      <c r="F3850">
        <v>5</v>
      </c>
    </row>
    <row r="3851" spans="1:6" x14ac:dyDescent="0.55000000000000004">
      <c r="A3851" t="s">
        <v>127</v>
      </c>
      <c r="B3851" t="s">
        <v>15</v>
      </c>
      <c r="C3851">
        <v>355670.60139999999</v>
      </c>
      <c r="D3851" t="s">
        <v>253</v>
      </c>
      <c r="E3851">
        <v>2021</v>
      </c>
      <c r="F3851">
        <v>5</v>
      </c>
    </row>
    <row r="3852" spans="1:6" x14ac:dyDescent="0.55000000000000004">
      <c r="A3852" t="s">
        <v>127</v>
      </c>
      <c r="B3852" t="s">
        <v>16</v>
      </c>
      <c r="C3852">
        <v>7.0609999999999999</v>
      </c>
      <c r="D3852" t="s">
        <v>253</v>
      </c>
      <c r="E3852">
        <v>2021</v>
      </c>
      <c r="F3852">
        <v>5</v>
      </c>
    </row>
    <row r="3853" spans="1:6" x14ac:dyDescent="0.55000000000000004">
      <c r="A3853" t="s">
        <v>127</v>
      </c>
      <c r="B3853" t="s">
        <v>17</v>
      </c>
      <c r="C3853">
        <v>112067.4213</v>
      </c>
      <c r="D3853" t="s">
        <v>253</v>
      </c>
      <c r="E3853">
        <v>2021</v>
      </c>
      <c r="F3853">
        <v>5</v>
      </c>
    </row>
    <row r="3854" spans="1:6" x14ac:dyDescent="0.55000000000000004">
      <c r="A3854" t="s">
        <v>127</v>
      </c>
      <c r="B3854" t="s">
        <v>18</v>
      </c>
      <c r="C3854">
        <v>100054.5834</v>
      </c>
      <c r="D3854" t="s">
        <v>253</v>
      </c>
      <c r="E3854">
        <v>2021</v>
      </c>
      <c r="F3854">
        <v>5</v>
      </c>
    </row>
    <row r="3855" spans="1:6" x14ac:dyDescent="0.55000000000000004">
      <c r="A3855" t="s">
        <v>127</v>
      </c>
      <c r="B3855" t="s">
        <v>19</v>
      </c>
      <c r="C3855">
        <v>2053.4454000000001</v>
      </c>
      <c r="D3855" t="s">
        <v>253</v>
      </c>
      <c r="E3855">
        <v>2021</v>
      </c>
      <c r="F3855">
        <v>5</v>
      </c>
    </row>
    <row r="3856" spans="1:6" x14ac:dyDescent="0.55000000000000004">
      <c r="A3856" t="s">
        <v>127</v>
      </c>
      <c r="B3856" t="s">
        <v>20</v>
      </c>
      <c r="C3856">
        <v>19000</v>
      </c>
      <c r="D3856" t="s">
        <v>253</v>
      </c>
      <c r="E3856">
        <v>2021</v>
      </c>
      <c r="F3856">
        <v>5</v>
      </c>
    </row>
    <row r="3857" spans="1:6" x14ac:dyDescent="0.55000000000000004">
      <c r="A3857" t="s">
        <v>127</v>
      </c>
      <c r="B3857" t="s">
        <v>21</v>
      </c>
      <c r="C3857">
        <v>2534.9286000000002</v>
      </c>
      <c r="D3857" t="s">
        <v>253</v>
      </c>
      <c r="E3857">
        <v>2021</v>
      </c>
      <c r="F3857">
        <v>5</v>
      </c>
    </row>
    <row r="3858" spans="1:6" x14ac:dyDescent="0.55000000000000004">
      <c r="A3858" t="s">
        <v>127</v>
      </c>
      <c r="B3858" t="s">
        <v>22</v>
      </c>
      <c r="C3858">
        <v>42905.97</v>
      </c>
      <c r="D3858" t="s">
        <v>253</v>
      </c>
      <c r="E3858">
        <v>2021</v>
      </c>
      <c r="F3858">
        <v>5</v>
      </c>
    </row>
    <row r="3859" spans="1:6" x14ac:dyDescent="0.55000000000000004">
      <c r="A3859" t="s">
        <v>127</v>
      </c>
      <c r="B3859" t="s">
        <v>23</v>
      </c>
      <c r="C3859">
        <v>56421.406499999997</v>
      </c>
      <c r="D3859" t="s">
        <v>253</v>
      </c>
      <c r="E3859">
        <v>2021</v>
      </c>
      <c r="F3859">
        <v>5</v>
      </c>
    </row>
    <row r="3860" spans="1:6" x14ac:dyDescent="0.55000000000000004">
      <c r="A3860" t="s">
        <v>127</v>
      </c>
      <c r="B3860" t="s">
        <v>24</v>
      </c>
      <c r="C3860">
        <v>0</v>
      </c>
      <c r="D3860" t="s">
        <v>253</v>
      </c>
      <c r="E3860">
        <v>2021</v>
      </c>
      <c r="F3860">
        <v>5</v>
      </c>
    </row>
    <row r="3861" spans="1:6" x14ac:dyDescent="0.55000000000000004">
      <c r="A3861" t="s">
        <v>127</v>
      </c>
      <c r="B3861" t="s">
        <v>25</v>
      </c>
      <c r="C3861">
        <v>411996.6667</v>
      </c>
      <c r="D3861" t="s">
        <v>253</v>
      </c>
      <c r="E3861">
        <v>2021</v>
      </c>
      <c r="F3861">
        <v>5</v>
      </c>
    </row>
    <row r="3862" spans="1:6" x14ac:dyDescent="0.55000000000000004">
      <c r="A3862" t="s">
        <v>127</v>
      </c>
      <c r="B3862" t="s">
        <v>26</v>
      </c>
      <c r="C3862">
        <v>0</v>
      </c>
      <c r="D3862" t="s">
        <v>253</v>
      </c>
      <c r="E3862">
        <v>2021</v>
      </c>
      <c r="F3862">
        <v>5</v>
      </c>
    </row>
    <row r="3863" spans="1:6" x14ac:dyDescent="0.55000000000000004">
      <c r="A3863" t="s">
        <v>127</v>
      </c>
      <c r="B3863" t="s">
        <v>27</v>
      </c>
      <c r="C3863">
        <v>543.21370000000002</v>
      </c>
      <c r="D3863" t="s">
        <v>253</v>
      </c>
      <c r="E3863">
        <v>2021</v>
      </c>
      <c r="F3863">
        <v>5</v>
      </c>
    </row>
    <row r="3864" spans="1:6" x14ac:dyDescent="0.55000000000000004">
      <c r="A3864" t="s">
        <v>127</v>
      </c>
      <c r="B3864" t="s">
        <v>28</v>
      </c>
      <c r="C3864">
        <v>546593.91449999996</v>
      </c>
      <c r="D3864" t="s">
        <v>253</v>
      </c>
      <c r="E3864">
        <v>2021</v>
      </c>
      <c r="F3864">
        <v>5</v>
      </c>
    </row>
    <row r="3865" spans="1:6" x14ac:dyDescent="0.55000000000000004">
      <c r="A3865" t="s">
        <v>127</v>
      </c>
      <c r="B3865" t="s">
        <v>29</v>
      </c>
      <c r="C3865">
        <v>0</v>
      </c>
      <c r="D3865" t="s">
        <v>253</v>
      </c>
      <c r="E3865">
        <v>2021</v>
      </c>
      <c r="F3865">
        <v>5</v>
      </c>
    </row>
    <row r="3866" spans="1:6" x14ac:dyDescent="0.55000000000000004">
      <c r="A3866" t="s">
        <v>127</v>
      </c>
      <c r="B3866" t="s">
        <v>30</v>
      </c>
      <c r="C3866">
        <v>29.878299999999999</v>
      </c>
      <c r="D3866" t="s">
        <v>253</v>
      </c>
      <c r="E3866">
        <v>2021</v>
      </c>
      <c r="F3866">
        <v>5</v>
      </c>
    </row>
    <row r="3867" spans="1:6" x14ac:dyDescent="0.55000000000000004">
      <c r="A3867" t="s">
        <v>127</v>
      </c>
      <c r="B3867" t="s">
        <v>31</v>
      </c>
      <c r="C3867">
        <v>300.00389999999999</v>
      </c>
      <c r="D3867" t="s">
        <v>253</v>
      </c>
      <c r="E3867">
        <v>2021</v>
      </c>
      <c r="F3867">
        <v>5</v>
      </c>
    </row>
    <row r="3868" spans="1:6" x14ac:dyDescent="0.55000000000000004">
      <c r="A3868" t="s">
        <v>127</v>
      </c>
      <c r="B3868" t="s">
        <v>32</v>
      </c>
      <c r="C3868">
        <v>833453.39199999999</v>
      </c>
      <c r="D3868" t="s">
        <v>253</v>
      </c>
      <c r="E3868">
        <v>2021</v>
      </c>
      <c r="F3868">
        <v>5</v>
      </c>
    </row>
    <row r="3869" spans="1:6" x14ac:dyDescent="0.55000000000000004">
      <c r="A3869" t="s">
        <v>127</v>
      </c>
      <c r="B3869" t="s">
        <v>33</v>
      </c>
      <c r="C3869">
        <v>494515.60979999998</v>
      </c>
      <c r="D3869" t="s">
        <v>253</v>
      </c>
      <c r="E3869">
        <v>2021</v>
      </c>
      <c r="F3869">
        <v>5</v>
      </c>
    </row>
    <row r="3870" spans="1:6" x14ac:dyDescent="0.55000000000000004">
      <c r="A3870" t="s">
        <v>127</v>
      </c>
      <c r="B3870" t="s">
        <v>34</v>
      </c>
      <c r="C3870">
        <v>482612.41700000002</v>
      </c>
      <c r="D3870" t="s">
        <v>253</v>
      </c>
      <c r="E3870">
        <v>2021</v>
      </c>
      <c r="F3870">
        <v>5</v>
      </c>
    </row>
    <row r="3871" spans="1:6" x14ac:dyDescent="0.55000000000000004">
      <c r="A3871" t="s">
        <v>127</v>
      </c>
      <c r="B3871" t="s">
        <v>35</v>
      </c>
      <c r="C3871">
        <v>1588.6503</v>
      </c>
      <c r="D3871" t="s">
        <v>253</v>
      </c>
      <c r="E3871">
        <v>2021</v>
      </c>
      <c r="F3871">
        <v>5</v>
      </c>
    </row>
    <row r="3872" spans="1:6" x14ac:dyDescent="0.55000000000000004">
      <c r="A3872" t="s">
        <v>127</v>
      </c>
      <c r="B3872" t="s">
        <v>36</v>
      </c>
      <c r="C3872">
        <v>74967.2788</v>
      </c>
      <c r="D3872" t="s">
        <v>253</v>
      </c>
      <c r="E3872">
        <v>2021</v>
      </c>
      <c r="F3872">
        <v>5</v>
      </c>
    </row>
    <row r="3873" spans="1:6" x14ac:dyDescent="0.55000000000000004">
      <c r="A3873" t="s">
        <v>127</v>
      </c>
      <c r="B3873" t="s">
        <v>37</v>
      </c>
      <c r="C3873">
        <v>88400.001099999994</v>
      </c>
      <c r="D3873" t="s">
        <v>253</v>
      </c>
      <c r="E3873">
        <v>2021</v>
      </c>
      <c r="F3873">
        <v>5</v>
      </c>
    </row>
    <row r="3874" spans="1:6" x14ac:dyDescent="0.55000000000000004">
      <c r="A3874" t="s">
        <v>127</v>
      </c>
      <c r="B3874" t="s">
        <v>38</v>
      </c>
      <c r="C3874">
        <v>0</v>
      </c>
      <c r="D3874" t="s">
        <v>253</v>
      </c>
      <c r="E3874">
        <v>2021</v>
      </c>
      <c r="F3874">
        <v>5</v>
      </c>
    </row>
    <row r="3875" spans="1:6" x14ac:dyDescent="0.55000000000000004">
      <c r="A3875" t="s">
        <v>127</v>
      </c>
      <c r="B3875" t="s">
        <v>39</v>
      </c>
      <c r="C3875">
        <v>1.9800000000000002E-2</v>
      </c>
      <c r="D3875" t="s">
        <v>253</v>
      </c>
      <c r="E3875">
        <v>2021</v>
      </c>
      <c r="F3875">
        <v>5</v>
      </c>
    </row>
    <row r="3876" spans="1:6" x14ac:dyDescent="0.55000000000000004">
      <c r="A3876" t="s">
        <v>127</v>
      </c>
      <c r="B3876" t="s">
        <v>40</v>
      </c>
      <c r="C3876">
        <v>193.60830000000001</v>
      </c>
      <c r="D3876" t="s">
        <v>253</v>
      </c>
      <c r="E3876">
        <v>2021</v>
      </c>
      <c r="F3876">
        <v>5</v>
      </c>
    </row>
    <row r="3877" spans="1:6" x14ac:dyDescent="0.55000000000000004">
      <c r="A3877" t="s">
        <v>127</v>
      </c>
      <c r="B3877" t="s">
        <v>41</v>
      </c>
      <c r="C3877">
        <v>294641.57380000001</v>
      </c>
      <c r="D3877" t="s">
        <v>253</v>
      </c>
      <c r="E3877">
        <v>2021</v>
      </c>
      <c r="F3877">
        <v>5</v>
      </c>
    </row>
    <row r="3878" spans="1:6" x14ac:dyDescent="0.55000000000000004">
      <c r="A3878" t="s">
        <v>127</v>
      </c>
      <c r="B3878" t="s">
        <v>42</v>
      </c>
      <c r="C3878">
        <v>78.0167</v>
      </c>
      <c r="D3878" t="s">
        <v>253</v>
      </c>
      <c r="E3878">
        <v>2021</v>
      </c>
      <c r="F3878">
        <v>5</v>
      </c>
    </row>
    <row r="3879" spans="1:6" x14ac:dyDescent="0.55000000000000004">
      <c r="A3879" t="s">
        <v>127</v>
      </c>
      <c r="B3879" t="s">
        <v>43</v>
      </c>
      <c r="C3879">
        <v>343770.0465</v>
      </c>
      <c r="D3879" t="s">
        <v>253</v>
      </c>
      <c r="E3879">
        <v>2021</v>
      </c>
      <c r="F3879">
        <v>5</v>
      </c>
    </row>
    <row r="3880" spans="1:6" x14ac:dyDescent="0.55000000000000004">
      <c r="A3880" t="s">
        <v>127</v>
      </c>
      <c r="B3880" t="s">
        <v>44</v>
      </c>
      <c r="C3880">
        <v>1022.5</v>
      </c>
      <c r="D3880" t="s">
        <v>253</v>
      </c>
      <c r="E3880">
        <v>2021</v>
      </c>
      <c r="F3880">
        <v>5</v>
      </c>
    </row>
    <row r="3881" spans="1:6" x14ac:dyDescent="0.55000000000000004">
      <c r="A3881" t="s">
        <v>127</v>
      </c>
      <c r="B3881" t="s">
        <v>45</v>
      </c>
      <c r="C3881">
        <v>2524.6257999999998</v>
      </c>
      <c r="D3881" t="s">
        <v>253</v>
      </c>
      <c r="E3881">
        <v>2021</v>
      </c>
      <c r="F3881">
        <v>5</v>
      </c>
    </row>
    <row r="3882" spans="1:6" x14ac:dyDescent="0.55000000000000004">
      <c r="A3882" t="s">
        <v>127</v>
      </c>
      <c r="B3882" t="s">
        <v>46</v>
      </c>
      <c r="C3882">
        <v>42530.33</v>
      </c>
      <c r="D3882" t="s">
        <v>253</v>
      </c>
      <c r="E3882">
        <v>2021</v>
      </c>
      <c r="F3882">
        <v>5</v>
      </c>
    </row>
    <row r="3883" spans="1:6" x14ac:dyDescent="0.55000000000000004">
      <c r="A3883" t="s">
        <v>127</v>
      </c>
      <c r="B3883" t="s">
        <v>47</v>
      </c>
      <c r="C3883">
        <v>5.4166999999999996</v>
      </c>
      <c r="D3883" t="s">
        <v>253</v>
      </c>
      <c r="E3883">
        <v>2021</v>
      </c>
      <c r="F3883">
        <v>5</v>
      </c>
    </row>
    <row r="3884" spans="1:6" x14ac:dyDescent="0.55000000000000004">
      <c r="A3884" t="s">
        <v>127</v>
      </c>
      <c r="B3884" t="s">
        <v>48</v>
      </c>
      <c r="C3884">
        <v>89188.743199999997</v>
      </c>
      <c r="D3884" t="s">
        <v>253</v>
      </c>
      <c r="E3884">
        <v>2021</v>
      </c>
      <c r="F3884">
        <v>5</v>
      </c>
    </row>
    <row r="3885" spans="1:6" x14ac:dyDescent="0.55000000000000004">
      <c r="A3885" t="s">
        <v>127</v>
      </c>
      <c r="B3885" t="s">
        <v>49</v>
      </c>
      <c r="C3885">
        <v>0</v>
      </c>
      <c r="D3885" t="s">
        <v>253</v>
      </c>
      <c r="E3885">
        <v>2021</v>
      </c>
      <c r="F3885">
        <v>5</v>
      </c>
    </row>
    <row r="3886" spans="1:6" x14ac:dyDescent="0.55000000000000004">
      <c r="A3886" t="s">
        <v>127</v>
      </c>
      <c r="B3886" t="s">
        <v>50</v>
      </c>
      <c r="C3886">
        <v>4467.6491999999998</v>
      </c>
      <c r="D3886" t="s">
        <v>253</v>
      </c>
      <c r="E3886">
        <v>2021</v>
      </c>
      <c r="F3886">
        <v>5</v>
      </c>
    </row>
    <row r="3887" spans="1:6" x14ac:dyDescent="0.55000000000000004">
      <c r="A3887" t="s">
        <v>127</v>
      </c>
      <c r="B3887" t="s">
        <v>51</v>
      </c>
      <c r="C3887">
        <v>3300</v>
      </c>
      <c r="D3887" t="s">
        <v>253</v>
      </c>
      <c r="E3887">
        <v>2021</v>
      </c>
      <c r="F3887">
        <v>5</v>
      </c>
    </row>
    <row r="3888" spans="1:6" x14ac:dyDescent="0.55000000000000004">
      <c r="A3888" t="s">
        <v>127</v>
      </c>
      <c r="B3888" t="s">
        <v>52</v>
      </c>
      <c r="C3888">
        <v>133.04929999999999</v>
      </c>
      <c r="D3888" t="s">
        <v>253</v>
      </c>
      <c r="E3888">
        <v>2021</v>
      </c>
      <c r="F3888">
        <v>5</v>
      </c>
    </row>
    <row r="3889" spans="1:6" x14ac:dyDescent="0.55000000000000004">
      <c r="A3889" t="s">
        <v>127</v>
      </c>
      <c r="B3889" t="s">
        <v>53</v>
      </c>
      <c r="C3889">
        <v>86520.95</v>
      </c>
      <c r="D3889" t="s">
        <v>253</v>
      </c>
      <c r="E3889">
        <v>2021</v>
      </c>
      <c r="F3889">
        <v>5</v>
      </c>
    </row>
    <row r="3890" spans="1:6" x14ac:dyDescent="0.55000000000000004">
      <c r="A3890" t="s">
        <v>127</v>
      </c>
      <c r="B3890" t="s">
        <v>54</v>
      </c>
      <c r="C3890">
        <v>11724.4702</v>
      </c>
      <c r="D3890" t="s">
        <v>253</v>
      </c>
      <c r="E3890">
        <v>2021</v>
      </c>
      <c r="F3890">
        <v>5</v>
      </c>
    </row>
    <row r="3891" spans="1:6" x14ac:dyDescent="0.55000000000000004">
      <c r="A3891" t="s">
        <v>127</v>
      </c>
      <c r="B3891" t="s">
        <v>55</v>
      </c>
      <c r="C3891">
        <v>0</v>
      </c>
      <c r="D3891" t="s">
        <v>253</v>
      </c>
      <c r="E3891">
        <v>2021</v>
      </c>
      <c r="F3891">
        <v>5</v>
      </c>
    </row>
    <row r="3892" spans="1:6" x14ac:dyDescent="0.55000000000000004">
      <c r="A3892" t="s">
        <v>127</v>
      </c>
      <c r="B3892" t="s">
        <v>56</v>
      </c>
      <c r="C3892">
        <v>666.66669999999999</v>
      </c>
      <c r="D3892" t="s">
        <v>253</v>
      </c>
      <c r="E3892">
        <v>2021</v>
      </c>
      <c r="F3892">
        <v>5</v>
      </c>
    </row>
    <row r="3893" spans="1:6" x14ac:dyDescent="0.55000000000000004">
      <c r="A3893" t="s">
        <v>127</v>
      </c>
      <c r="B3893" t="s">
        <v>57</v>
      </c>
      <c r="C3893">
        <v>371.45330000000001</v>
      </c>
      <c r="D3893" t="s">
        <v>253</v>
      </c>
      <c r="E3893">
        <v>2021</v>
      </c>
      <c r="F3893">
        <v>5</v>
      </c>
    </row>
    <row r="3894" spans="1:6" x14ac:dyDescent="0.55000000000000004">
      <c r="A3894" t="s">
        <v>127</v>
      </c>
      <c r="B3894" t="s">
        <v>58</v>
      </c>
      <c r="C3894">
        <v>494050</v>
      </c>
      <c r="D3894" t="s">
        <v>253</v>
      </c>
      <c r="E3894">
        <v>2021</v>
      </c>
      <c r="F3894">
        <v>5</v>
      </c>
    </row>
    <row r="3895" spans="1:6" x14ac:dyDescent="0.55000000000000004">
      <c r="A3895" t="s">
        <v>127</v>
      </c>
      <c r="B3895" t="s">
        <v>59</v>
      </c>
      <c r="C3895">
        <v>600</v>
      </c>
      <c r="D3895" t="s">
        <v>253</v>
      </c>
      <c r="E3895">
        <v>2021</v>
      </c>
      <c r="F3895">
        <v>5</v>
      </c>
    </row>
    <row r="3896" spans="1:6" x14ac:dyDescent="0.55000000000000004">
      <c r="A3896" t="s">
        <v>127</v>
      </c>
      <c r="B3896" t="s">
        <v>60</v>
      </c>
      <c r="C3896">
        <v>2099999.9912</v>
      </c>
      <c r="D3896" t="s">
        <v>253</v>
      </c>
      <c r="E3896">
        <v>2021</v>
      </c>
      <c r="F3896">
        <v>5</v>
      </c>
    </row>
    <row r="3897" spans="1:6" x14ac:dyDescent="0.55000000000000004">
      <c r="A3897" t="s">
        <v>127</v>
      </c>
      <c r="B3897" t="s">
        <v>61</v>
      </c>
      <c r="C3897">
        <v>2180.0037000000002</v>
      </c>
      <c r="D3897" t="s">
        <v>253</v>
      </c>
      <c r="E3897">
        <v>2021</v>
      </c>
      <c r="F3897">
        <v>5</v>
      </c>
    </row>
    <row r="3898" spans="1:6" x14ac:dyDescent="0.55000000000000004">
      <c r="A3898" t="s">
        <v>127</v>
      </c>
      <c r="B3898" t="s">
        <v>62</v>
      </c>
      <c r="C3898">
        <v>9178</v>
      </c>
      <c r="D3898" t="s">
        <v>253</v>
      </c>
      <c r="E3898">
        <v>2021</v>
      </c>
      <c r="F3898">
        <v>5</v>
      </c>
    </row>
    <row r="3899" spans="1:6" x14ac:dyDescent="0.55000000000000004">
      <c r="A3899" t="s">
        <v>127</v>
      </c>
      <c r="B3899" t="s">
        <v>63</v>
      </c>
      <c r="C3899">
        <v>0</v>
      </c>
      <c r="D3899" t="s">
        <v>253</v>
      </c>
      <c r="E3899">
        <v>2021</v>
      </c>
      <c r="F3899">
        <v>5</v>
      </c>
    </row>
    <row r="3900" spans="1:6" x14ac:dyDescent="0.55000000000000004">
      <c r="A3900" t="s">
        <v>128</v>
      </c>
      <c r="B3900" t="s">
        <v>4</v>
      </c>
      <c r="C3900">
        <v>11212163.7918</v>
      </c>
      <c r="D3900" t="s">
        <v>254</v>
      </c>
      <c r="E3900">
        <v>2021</v>
      </c>
      <c r="F3900">
        <v>6</v>
      </c>
    </row>
    <row r="3901" spans="1:6" x14ac:dyDescent="0.55000000000000004">
      <c r="A3901" t="s">
        <v>128</v>
      </c>
      <c r="B3901" t="s">
        <v>5</v>
      </c>
      <c r="C3901">
        <v>1000666.0244</v>
      </c>
      <c r="D3901" t="s">
        <v>254</v>
      </c>
      <c r="E3901">
        <v>2021</v>
      </c>
      <c r="F3901">
        <v>6</v>
      </c>
    </row>
    <row r="3902" spans="1:6" x14ac:dyDescent="0.55000000000000004">
      <c r="A3902" t="s">
        <v>128</v>
      </c>
      <c r="B3902" t="s">
        <v>6</v>
      </c>
      <c r="C3902">
        <v>2897420.3457999998</v>
      </c>
      <c r="D3902" t="s">
        <v>254</v>
      </c>
      <c r="E3902">
        <v>2021</v>
      </c>
      <c r="F3902">
        <v>6</v>
      </c>
    </row>
    <row r="3903" spans="1:6" x14ac:dyDescent="0.55000000000000004">
      <c r="A3903" t="s">
        <v>128</v>
      </c>
      <c r="B3903" t="s">
        <v>7</v>
      </c>
      <c r="C3903">
        <v>3217014.1834</v>
      </c>
      <c r="D3903" t="s">
        <v>254</v>
      </c>
      <c r="E3903">
        <v>2021</v>
      </c>
      <c r="F3903">
        <v>6</v>
      </c>
    </row>
    <row r="3904" spans="1:6" x14ac:dyDescent="0.55000000000000004">
      <c r="A3904" t="s">
        <v>128</v>
      </c>
      <c r="B3904" t="s">
        <v>8</v>
      </c>
      <c r="C3904">
        <v>4097063.2382</v>
      </c>
      <c r="D3904" t="s">
        <v>254</v>
      </c>
      <c r="E3904">
        <v>2021</v>
      </c>
      <c r="F3904">
        <v>6</v>
      </c>
    </row>
    <row r="3905" spans="1:6" x14ac:dyDescent="0.55000000000000004">
      <c r="A3905" t="s">
        <v>128</v>
      </c>
      <c r="B3905" t="s">
        <v>9</v>
      </c>
      <c r="C3905">
        <v>610.19590000000005</v>
      </c>
      <c r="D3905" t="s">
        <v>254</v>
      </c>
      <c r="E3905">
        <v>2021</v>
      </c>
      <c r="F3905">
        <v>6</v>
      </c>
    </row>
    <row r="3906" spans="1:6" x14ac:dyDescent="0.55000000000000004">
      <c r="A3906" t="s">
        <v>128</v>
      </c>
      <c r="B3906" t="s">
        <v>10</v>
      </c>
      <c r="C3906">
        <v>1321.2559000000001</v>
      </c>
      <c r="D3906" t="s">
        <v>254</v>
      </c>
      <c r="E3906">
        <v>2021</v>
      </c>
      <c r="F3906">
        <v>6</v>
      </c>
    </row>
    <row r="3907" spans="1:6" x14ac:dyDescent="0.55000000000000004">
      <c r="A3907" t="s">
        <v>128</v>
      </c>
      <c r="B3907" t="s">
        <v>11</v>
      </c>
      <c r="C3907">
        <v>3210269.5298000001</v>
      </c>
      <c r="D3907" t="s">
        <v>254</v>
      </c>
      <c r="E3907">
        <v>2021</v>
      </c>
      <c r="F3907">
        <v>6</v>
      </c>
    </row>
    <row r="3908" spans="1:6" x14ac:dyDescent="0.55000000000000004">
      <c r="A3908" t="s">
        <v>128</v>
      </c>
      <c r="B3908" t="s">
        <v>12</v>
      </c>
      <c r="C3908">
        <v>1290.1832999999999</v>
      </c>
      <c r="D3908" t="s">
        <v>254</v>
      </c>
      <c r="E3908">
        <v>2021</v>
      </c>
      <c r="F3908">
        <v>6</v>
      </c>
    </row>
    <row r="3909" spans="1:6" x14ac:dyDescent="0.55000000000000004">
      <c r="A3909" t="s">
        <v>128</v>
      </c>
      <c r="B3909" t="s">
        <v>13</v>
      </c>
      <c r="C3909">
        <v>17413.7667</v>
      </c>
      <c r="D3909" t="s">
        <v>254</v>
      </c>
      <c r="E3909">
        <v>2021</v>
      </c>
      <c r="F3909">
        <v>6</v>
      </c>
    </row>
    <row r="3910" spans="1:6" x14ac:dyDescent="0.55000000000000004">
      <c r="A3910" t="s">
        <v>128</v>
      </c>
      <c r="B3910" t="s">
        <v>14</v>
      </c>
      <c r="C3910">
        <v>1000</v>
      </c>
      <c r="D3910" t="s">
        <v>254</v>
      </c>
      <c r="E3910">
        <v>2021</v>
      </c>
      <c r="F3910">
        <v>6</v>
      </c>
    </row>
    <row r="3911" spans="1:6" x14ac:dyDescent="0.55000000000000004">
      <c r="A3911" t="s">
        <v>128</v>
      </c>
      <c r="B3911" t="s">
        <v>15</v>
      </c>
      <c r="C3911">
        <v>903357.57319999998</v>
      </c>
      <c r="D3911" t="s">
        <v>254</v>
      </c>
      <c r="E3911">
        <v>2021</v>
      </c>
      <c r="F3911">
        <v>6</v>
      </c>
    </row>
    <row r="3912" spans="1:6" x14ac:dyDescent="0.55000000000000004">
      <c r="A3912" t="s">
        <v>128</v>
      </c>
      <c r="B3912" t="s">
        <v>16</v>
      </c>
      <c r="C3912">
        <v>7.0609999999999999</v>
      </c>
      <c r="D3912" t="s">
        <v>254</v>
      </c>
      <c r="E3912">
        <v>2021</v>
      </c>
      <c r="F3912">
        <v>6</v>
      </c>
    </row>
    <row r="3913" spans="1:6" x14ac:dyDescent="0.55000000000000004">
      <c r="A3913" t="s">
        <v>128</v>
      </c>
      <c r="B3913" t="s">
        <v>17</v>
      </c>
      <c r="C3913">
        <v>160411.61670000001</v>
      </c>
      <c r="D3913" t="s">
        <v>254</v>
      </c>
      <c r="E3913">
        <v>2021</v>
      </c>
      <c r="F3913">
        <v>6</v>
      </c>
    </row>
    <row r="3914" spans="1:6" x14ac:dyDescent="0.55000000000000004">
      <c r="A3914" t="s">
        <v>128</v>
      </c>
      <c r="B3914" t="s">
        <v>18</v>
      </c>
      <c r="C3914">
        <v>44540.199699999997</v>
      </c>
      <c r="D3914" t="s">
        <v>254</v>
      </c>
      <c r="E3914">
        <v>2021</v>
      </c>
      <c r="F3914">
        <v>6</v>
      </c>
    </row>
    <row r="3915" spans="1:6" x14ac:dyDescent="0.55000000000000004">
      <c r="A3915" t="s">
        <v>128</v>
      </c>
      <c r="B3915" t="s">
        <v>19</v>
      </c>
      <c r="C3915">
        <v>2053.4454000000001</v>
      </c>
      <c r="D3915" t="s">
        <v>254</v>
      </c>
      <c r="E3915">
        <v>2021</v>
      </c>
      <c r="F3915">
        <v>6</v>
      </c>
    </row>
    <row r="3916" spans="1:6" x14ac:dyDescent="0.55000000000000004">
      <c r="A3916" t="s">
        <v>128</v>
      </c>
      <c r="B3916" t="s">
        <v>20</v>
      </c>
      <c r="C3916">
        <v>19600</v>
      </c>
      <c r="D3916" t="s">
        <v>254</v>
      </c>
      <c r="E3916">
        <v>2021</v>
      </c>
      <c r="F3916">
        <v>6</v>
      </c>
    </row>
    <row r="3917" spans="1:6" x14ac:dyDescent="0.55000000000000004">
      <c r="A3917" t="s">
        <v>128</v>
      </c>
      <c r="B3917" t="s">
        <v>21</v>
      </c>
      <c r="C3917">
        <v>2837.2136999999998</v>
      </c>
      <c r="D3917" t="s">
        <v>254</v>
      </c>
      <c r="E3917">
        <v>2021</v>
      </c>
      <c r="F3917">
        <v>6</v>
      </c>
    </row>
    <row r="3918" spans="1:6" x14ac:dyDescent="0.55000000000000004">
      <c r="A3918" t="s">
        <v>128</v>
      </c>
      <c r="B3918" t="s">
        <v>22</v>
      </c>
      <c r="C3918">
        <v>43179.835599999999</v>
      </c>
      <c r="D3918" t="s">
        <v>254</v>
      </c>
      <c r="E3918">
        <v>2021</v>
      </c>
      <c r="F3918">
        <v>6</v>
      </c>
    </row>
    <row r="3919" spans="1:6" x14ac:dyDescent="0.55000000000000004">
      <c r="A3919" t="s">
        <v>128</v>
      </c>
      <c r="B3919" t="s">
        <v>23</v>
      </c>
      <c r="C3919">
        <v>86271.403699999995</v>
      </c>
      <c r="D3919" t="s">
        <v>254</v>
      </c>
      <c r="E3919">
        <v>2021</v>
      </c>
      <c r="F3919">
        <v>6</v>
      </c>
    </row>
    <row r="3920" spans="1:6" x14ac:dyDescent="0.55000000000000004">
      <c r="A3920" t="s">
        <v>128</v>
      </c>
      <c r="B3920" t="s">
        <v>24</v>
      </c>
      <c r="C3920">
        <v>0</v>
      </c>
      <c r="D3920" t="s">
        <v>254</v>
      </c>
      <c r="E3920">
        <v>2021</v>
      </c>
      <c r="F3920">
        <v>6</v>
      </c>
    </row>
    <row r="3921" spans="1:6" x14ac:dyDescent="0.55000000000000004">
      <c r="A3921" t="s">
        <v>128</v>
      </c>
      <c r="B3921" t="s">
        <v>25</v>
      </c>
      <c r="C3921">
        <v>488901.21659999999</v>
      </c>
      <c r="D3921" t="s">
        <v>254</v>
      </c>
      <c r="E3921">
        <v>2021</v>
      </c>
      <c r="F3921">
        <v>6</v>
      </c>
    </row>
    <row r="3922" spans="1:6" x14ac:dyDescent="0.55000000000000004">
      <c r="A3922" t="s">
        <v>128</v>
      </c>
      <c r="B3922" t="s">
        <v>26</v>
      </c>
      <c r="C3922">
        <v>0</v>
      </c>
      <c r="D3922" t="s">
        <v>254</v>
      </c>
      <c r="E3922">
        <v>2021</v>
      </c>
      <c r="F3922">
        <v>6</v>
      </c>
    </row>
    <row r="3923" spans="1:6" x14ac:dyDescent="0.55000000000000004">
      <c r="A3923" t="s">
        <v>128</v>
      </c>
      <c r="B3923" t="s">
        <v>27</v>
      </c>
      <c r="C3923">
        <v>528.57770000000005</v>
      </c>
      <c r="D3923" t="s">
        <v>254</v>
      </c>
      <c r="E3923">
        <v>2021</v>
      </c>
      <c r="F3923">
        <v>6</v>
      </c>
    </row>
    <row r="3924" spans="1:6" x14ac:dyDescent="0.55000000000000004">
      <c r="A3924" t="s">
        <v>128</v>
      </c>
      <c r="B3924" t="s">
        <v>28</v>
      </c>
      <c r="C3924">
        <v>497289.57299999997</v>
      </c>
      <c r="D3924" t="s">
        <v>254</v>
      </c>
      <c r="E3924">
        <v>2021</v>
      </c>
      <c r="F3924">
        <v>6</v>
      </c>
    </row>
    <row r="3925" spans="1:6" x14ac:dyDescent="0.55000000000000004">
      <c r="A3925" t="s">
        <v>128</v>
      </c>
      <c r="B3925" t="s">
        <v>29</v>
      </c>
      <c r="C3925">
        <v>0</v>
      </c>
      <c r="D3925" t="s">
        <v>254</v>
      </c>
      <c r="E3925">
        <v>2021</v>
      </c>
      <c r="F3925">
        <v>6</v>
      </c>
    </row>
    <row r="3926" spans="1:6" x14ac:dyDescent="0.55000000000000004">
      <c r="A3926" t="s">
        <v>128</v>
      </c>
      <c r="B3926" t="s">
        <v>30</v>
      </c>
      <c r="C3926">
        <v>0</v>
      </c>
      <c r="D3926" t="s">
        <v>254</v>
      </c>
      <c r="E3926">
        <v>2021</v>
      </c>
      <c r="F3926">
        <v>6</v>
      </c>
    </row>
    <row r="3927" spans="1:6" x14ac:dyDescent="0.55000000000000004">
      <c r="A3927" t="s">
        <v>128</v>
      </c>
      <c r="B3927" t="s">
        <v>31</v>
      </c>
      <c r="C3927">
        <v>50</v>
      </c>
      <c r="D3927" t="s">
        <v>254</v>
      </c>
      <c r="E3927">
        <v>2021</v>
      </c>
      <c r="F3927">
        <v>6</v>
      </c>
    </row>
    <row r="3928" spans="1:6" x14ac:dyDescent="0.55000000000000004">
      <c r="A3928" t="s">
        <v>128</v>
      </c>
      <c r="B3928" t="s">
        <v>32</v>
      </c>
      <c r="C3928">
        <v>782150.35100000002</v>
      </c>
      <c r="D3928" t="s">
        <v>254</v>
      </c>
      <c r="E3928">
        <v>2021</v>
      </c>
      <c r="F3928">
        <v>6</v>
      </c>
    </row>
    <row r="3929" spans="1:6" x14ac:dyDescent="0.55000000000000004">
      <c r="A3929" t="s">
        <v>128</v>
      </c>
      <c r="B3929" t="s">
        <v>33</v>
      </c>
      <c r="C3929">
        <v>636099.78079999995</v>
      </c>
      <c r="D3929" t="s">
        <v>254</v>
      </c>
      <c r="E3929">
        <v>2021</v>
      </c>
      <c r="F3929">
        <v>6</v>
      </c>
    </row>
    <row r="3930" spans="1:6" x14ac:dyDescent="0.55000000000000004">
      <c r="A3930" t="s">
        <v>128</v>
      </c>
      <c r="B3930" t="s">
        <v>34</v>
      </c>
      <c r="C3930">
        <v>448069.22269999998</v>
      </c>
      <c r="D3930" t="s">
        <v>254</v>
      </c>
      <c r="E3930">
        <v>2021</v>
      </c>
      <c r="F3930">
        <v>6</v>
      </c>
    </row>
    <row r="3931" spans="1:6" x14ac:dyDescent="0.55000000000000004">
      <c r="A3931" t="s">
        <v>128</v>
      </c>
      <c r="B3931" t="s">
        <v>35</v>
      </c>
      <c r="C3931">
        <v>1339.1771000000001</v>
      </c>
      <c r="D3931" t="s">
        <v>254</v>
      </c>
      <c r="E3931">
        <v>2021</v>
      </c>
      <c r="F3931">
        <v>6</v>
      </c>
    </row>
    <row r="3932" spans="1:6" x14ac:dyDescent="0.55000000000000004">
      <c r="A3932" t="s">
        <v>128</v>
      </c>
      <c r="B3932" t="s">
        <v>36</v>
      </c>
      <c r="C3932">
        <v>83701.499500000005</v>
      </c>
      <c r="D3932" t="s">
        <v>254</v>
      </c>
      <c r="E3932">
        <v>2021</v>
      </c>
      <c r="F3932">
        <v>6</v>
      </c>
    </row>
    <row r="3933" spans="1:6" x14ac:dyDescent="0.55000000000000004">
      <c r="A3933" t="s">
        <v>128</v>
      </c>
      <c r="B3933" t="s">
        <v>37</v>
      </c>
      <c r="C3933">
        <v>93100.010699999999</v>
      </c>
      <c r="D3933" t="s">
        <v>254</v>
      </c>
      <c r="E3933">
        <v>2021</v>
      </c>
      <c r="F3933">
        <v>6</v>
      </c>
    </row>
    <row r="3934" spans="1:6" x14ac:dyDescent="0.55000000000000004">
      <c r="A3934" t="s">
        <v>128</v>
      </c>
      <c r="B3934" t="s">
        <v>38</v>
      </c>
      <c r="C3934">
        <v>0</v>
      </c>
      <c r="D3934" t="s">
        <v>254</v>
      </c>
      <c r="E3934">
        <v>2021</v>
      </c>
      <c r="F3934">
        <v>6</v>
      </c>
    </row>
    <row r="3935" spans="1:6" x14ac:dyDescent="0.55000000000000004">
      <c r="A3935" t="s">
        <v>128</v>
      </c>
      <c r="B3935" t="s">
        <v>39</v>
      </c>
      <c r="C3935">
        <v>973.75</v>
      </c>
      <c r="D3935" t="s">
        <v>254</v>
      </c>
      <c r="E3935">
        <v>2021</v>
      </c>
      <c r="F3935">
        <v>6</v>
      </c>
    </row>
    <row r="3936" spans="1:6" x14ac:dyDescent="0.55000000000000004">
      <c r="A3936" t="s">
        <v>128</v>
      </c>
      <c r="B3936" t="s">
        <v>40</v>
      </c>
      <c r="C3936">
        <v>0</v>
      </c>
      <c r="D3936" t="s">
        <v>254</v>
      </c>
      <c r="E3936">
        <v>2021</v>
      </c>
      <c r="F3936">
        <v>6</v>
      </c>
    </row>
    <row r="3937" spans="1:6" x14ac:dyDescent="0.55000000000000004">
      <c r="A3937" t="s">
        <v>128</v>
      </c>
      <c r="B3937" t="s">
        <v>41</v>
      </c>
      <c r="C3937">
        <v>332747.84080000001</v>
      </c>
      <c r="D3937" t="s">
        <v>254</v>
      </c>
      <c r="E3937">
        <v>2021</v>
      </c>
      <c r="F3937">
        <v>6</v>
      </c>
    </row>
    <row r="3938" spans="1:6" x14ac:dyDescent="0.55000000000000004">
      <c r="A3938" t="s">
        <v>128</v>
      </c>
      <c r="B3938" t="s">
        <v>42</v>
      </c>
      <c r="C3938">
        <v>117.83329999999999</v>
      </c>
      <c r="D3938" t="s">
        <v>254</v>
      </c>
      <c r="E3938">
        <v>2021</v>
      </c>
      <c r="F3938">
        <v>6</v>
      </c>
    </row>
    <row r="3939" spans="1:6" x14ac:dyDescent="0.55000000000000004">
      <c r="A3939" t="s">
        <v>128</v>
      </c>
      <c r="B3939" t="s">
        <v>43</v>
      </c>
      <c r="C3939">
        <v>335750.5073</v>
      </c>
      <c r="D3939" t="s">
        <v>254</v>
      </c>
      <c r="E3939">
        <v>2021</v>
      </c>
      <c r="F3939">
        <v>6</v>
      </c>
    </row>
    <row r="3940" spans="1:6" x14ac:dyDescent="0.55000000000000004">
      <c r="A3940" t="s">
        <v>128</v>
      </c>
      <c r="B3940" t="s">
        <v>44</v>
      </c>
      <c r="C3940">
        <v>0</v>
      </c>
      <c r="D3940" t="s">
        <v>254</v>
      </c>
      <c r="E3940">
        <v>2021</v>
      </c>
      <c r="F3940">
        <v>6</v>
      </c>
    </row>
    <row r="3941" spans="1:6" x14ac:dyDescent="0.55000000000000004">
      <c r="A3941" t="s">
        <v>128</v>
      </c>
      <c r="B3941" t="s">
        <v>45</v>
      </c>
      <c r="C3941">
        <v>2724.2076000000002</v>
      </c>
      <c r="D3941" t="s">
        <v>254</v>
      </c>
      <c r="E3941">
        <v>2021</v>
      </c>
      <c r="F3941">
        <v>6</v>
      </c>
    </row>
    <row r="3942" spans="1:6" x14ac:dyDescent="0.55000000000000004">
      <c r="A3942" t="s">
        <v>128</v>
      </c>
      <c r="B3942" t="s">
        <v>46</v>
      </c>
      <c r="C3942">
        <v>59758.366699999999</v>
      </c>
      <c r="D3942" t="s">
        <v>254</v>
      </c>
      <c r="E3942">
        <v>2021</v>
      </c>
      <c r="F3942">
        <v>6</v>
      </c>
    </row>
    <row r="3943" spans="1:6" x14ac:dyDescent="0.55000000000000004">
      <c r="A3943" t="s">
        <v>128</v>
      </c>
      <c r="B3943" t="s">
        <v>47</v>
      </c>
      <c r="C3943">
        <v>0.41670000000000001</v>
      </c>
      <c r="D3943" t="s">
        <v>254</v>
      </c>
      <c r="E3943">
        <v>2021</v>
      </c>
      <c r="F3943">
        <v>6</v>
      </c>
    </row>
    <row r="3944" spans="1:6" x14ac:dyDescent="0.55000000000000004">
      <c r="A3944" t="s">
        <v>128</v>
      </c>
      <c r="B3944" t="s">
        <v>48</v>
      </c>
      <c r="C3944">
        <v>146814.9068</v>
      </c>
      <c r="D3944" t="s">
        <v>254</v>
      </c>
      <c r="E3944">
        <v>2021</v>
      </c>
      <c r="F3944">
        <v>6</v>
      </c>
    </row>
    <row r="3945" spans="1:6" x14ac:dyDescent="0.55000000000000004">
      <c r="A3945" t="s">
        <v>128</v>
      </c>
      <c r="B3945" t="s">
        <v>49</v>
      </c>
      <c r="C3945">
        <v>187.786</v>
      </c>
      <c r="D3945" t="s">
        <v>254</v>
      </c>
      <c r="E3945">
        <v>2021</v>
      </c>
      <c r="F3945">
        <v>6</v>
      </c>
    </row>
    <row r="3946" spans="1:6" x14ac:dyDescent="0.55000000000000004">
      <c r="A3946" t="s">
        <v>128</v>
      </c>
      <c r="B3946" t="s">
        <v>50</v>
      </c>
      <c r="C3946">
        <v>18749.7965</v>
      </c>
      <c r="D3946" t="s">
        <v>254</v>
      </c>
      <c r="E3946">
        <v>2021</v>
      </c>
      <c r="F3946">
        <v>6</v>
      </c>
    </row>
    <row r="3947" spans="1:6" x14ac:dyDescent="0.55000000000000004">
      <c r="A3947" t="s">
        <v>128</v>
      </c>
      <c r="B3947" t="s">
        <v>51</v>
      </c>
      <c r="C3947">
        <v>4000</v>
      </c>
      <c r="D3947" t="s">
        <v>254</v>
      </c>
      <c r="E3947">
        <v>2021</v>
      </c>
      <c r="F3947">
        <v>6</v>
      </c>
    </row>
    <row r="3948" spans="1:6" x14ac:dyDescent="0.55000000000000004">
      <c r="A3948" t="s">
        <v>128</v>
      </c>
      <c r="B3948" t="s">
        <v>52</v>
      </c>
      <c r="C3948">
        <v>133.04929999999999</v>
      </c>
      <c r="D3948" t="s">
        <v>254</v>
      </c>
      <c r="E3948">
        <v>2021</v>
      </c>
      <c r="F3948">
        <v>6</v>
      </c>
    </row>
    <row r="3949" spans="1:6" x14ac:dyDescent="0.55000000000000004">
      <c r="A3949" t="s">
        <v>128</v>
      </c>
      <c r="B3949" t="s">
        <v>53</v>
      </c>
      <c r="C3949">
        <v>45751.035000000003</v>
      </c>
      <c r="D3949" t="s">
        <v>254</v>
      </c>
      <c r="E3949">
        <v>2021</v>
      </c>
      <c r="F3949">
        <v>6</v>
      </c>
    </row>
    <row r="3950" spans="1:6" x14ac:dyDescent="0.55000000000000004">
      <c r="A3950" t="s">
        <v>128</v>
      </c>
      <c r="B3950" t="s">
        <v>54</v>
      </c>
      <c r="C3950">
        <v>13084.770399999999</v>
      </c>
      <c r="D3950" t="s">
        <v>254</v>
      </c>
      <c r="E3950">
        <v>2021</v>
      </c>
      <c r="F3950">
        <v>6</v>
      </c>
    </row>
    <row r="3951" spans="1:6" x14ac:dyDescent="0.55000000000000004">
      <c r="A3951" t="s">
        <v>128</v>
      </c>
      <c r="B3951" t="s">
        <v>55</v>
      </c>
      <c r="C3951">
        <v>2403.3332999999998</v>
      </c>
      <c r="D3951" t="s">
        <v>254</v>
      </c>
      <c r="E3951">
        <v>2021</v>
      </c>
      <c r="F3951">
        <v>6</v>
      </c>
    </row>
    <row r="3952" spans="1:6" x14ac:dyDescent="0.55000000000000004">
      <c r="A3952" t="s">
        <v>128</v>
      </c>
      <c r="B3952" t="s">
        <v>56</v>
      </c>
      <c r="C3952">
        <v>2240</v>
      </c>
      <c r="D3952" t="s">
        <v>254</v>
      </c>
      <c r="E3952">
        <v>2021</v>
      </c>
      <c r="F3952">
        <v>6</v>
      </c>
    </row>
    <row r="3953" spans="1:6" x14ac:dyDescent="0.55000000000000004">
      <c r="A3953" t="s">
        <v>128</v>
      </c>
      <c r="B3953" t="s">
        <v>57</v>
      </c>
      <c r="C3953">
        <v>212.81700000000001</v>
      </c>
      <c r="D3953" t="s">
        <v>254</v>
      </c>
      <c r="E3953">
        <v>2021</v>
      </c>
      <c r="F3953">
        <v>6</v>
      </c>
    </row>
    <row r="3954" spans="1:6" x14ac:dyDescent="0.55000000000000004">
      <c r="A3954" t="s">
        <v>128</v>
      </c>
      <c r="B3954" t="s">
        <v>58</v>
      </c>
      <c r="C3954">
        <v>621390.01</v>
      </c>
      <c r="D3954" t="s">
        <v>254</v>
      </c>
      <c r="E3954">
        <v>2021</v>
      </c>
      <c r="F3954">
        <v>6</v>
      </c>
    </row>
    <row r="3955" spans="1:6" x14ac:dyDescent="0.55000000000000004">
      <c r="A3955" t="s">
        <v>128</v>
      </c>
      <c r="B3955" t="s">
        <v>59</v>
      </c>
      <c r="C3955">
        <v>1000</v>
      </c>
      <c r="D3955" t="s">
        <v>254</v>
      </c>
      <c r="E3955">
        <v>2021</v>
      </c>
      <c r="F3955">
        <v>6</v>
      </c>
    </row>
    <row r="3956" spans="1:6" x14ac:dyDescent="0.55000000000000004">
      <c r="A3956" t="s">
        <v>128</v>
      </c>
      <c r="B3956" t="s">
        <v>60</v>
      </c>
      <c r="C3956">
        <v>2090030.0009999999</v>
      </c>
      <c r="D3956" t="s">
        <v>254</v>
      </c>
      <c r="E3956">
        <v>2021</v>
      </c>
      <c r="F3956">
        <v>6</v>
      </c>
    </row>
    <row r="3957" spans="1:6" x14ac:dyDescent="0.55000000000000004">
      <c r="A3957" t="s">
        <v>128</v>
      </c>
      <c r="B3957" t="s">
        <v>61</v>
      </c>
      <c r="C3957">
        <v>4779.9993999999997</v>
      </c>
      <c r="D3957" t="s">
        <v>254</v>
      </c>
      <c r="E3957">
        <v>2021</v>
      </c>
      <c r="F3957">
        <v>6</v>
      </c>
    </row>
    <row r="3958" spans="1:6" x14ac:dyDescent="0.55000000000000004">
      <c r="A3958" t="s">
        <v>128</v>
      </c>
      <c r="B3958" t="s">
        <v>62</v>
      </c>
      <c r="C3958">
        <v>3920.6750000000002</v>
      </c>
      <c r="D3958" t="s">
        <v>254</v>
      </c>
      <c r="E3958">
        <v>2021</v>
      </c>
      <c r="F3958">
        <v>6</v>
      </c>
    </row>
    <row r="3959" spans="1:6" x14ac:dyDescent="0.55000000000000004">
      <c r="A3959" t="s">
        <v>128</v>
      </c>
      <c r="B3959" t="s">
        <v>63</v>
      </c>
      <c r="C3959">
        <v>0</v>
      </c>
      <c r="D3959" t="s">
        <v>254</v>
      </c>
      <c r="E3959">
        <v>2021</v>
      </c>
      <c r="F3959">
        <v>6</v>
      </c>
    </row>
    <row r="3960" spans="1:6" x14ac:dyDescent="0.55000000000000004">
      <c r="A3960" t="s">
        <v>129</v>
      </c>
      <c r="B3960" t="s">
        <v>4</v>
      </c>
      <c r="C3960">
        <v>10823068.403899999</v>
      </c>
      <c r="D3960" t="s">
        <v>255</v>
      </c>
      <c r="E3960">
        <v>2021</v>
      </c>
      <c r="F3960">
        <v>7</v>
      </c>
    </row>
    <row r="3961" spans="1:6" x14ac:dyDescent="0.55000000000000004">
      <c r="A3961" t="s">
        <v>129</v>
      </c>
      <c r="B3961" t="s">
        <v>5</v>
      </c>
      <c r="C3961">
        <v>1264116.2986000001</v>
      </c>
      <c r="D3961" t="s">
        <v>255</v>
      </c>
      <c r="E3961">
        <v>2021</v>
      </c>
      <c r="F3961">
        <v>7</v>
      </c>
    </row>
    <row r="3962" spans="1:6" x14ac:dyDescent="0.55000000000000004">
      <c r="A3962" t="s">
        <v>129</v>
      </c>
      <c r="B3962" t="s">
        <v>6</v>
      </c>
      <c r="C3962">
        <v>2618405.4879000001</v>
      </c>
      <c r="D3962" t="s">
        <v>255</v>
      </c>
      <c r="E3962">
        <v>2021</v>
      </c>
      <c r="F3962">
        <v>7</v>
      </c>
    </row>
    <row r="3963" spans="1:6" x14ac:dyDescent="0.55000000000000004">
      <c r="A3963" t="s">
        <v>129</v>
      </c>
      <c r="B3963" t="s">
        <v>7</v>
      </c>
      <c r="C3963">
        <v>2872794.3689999999</v>
      </c>
      <c r="D3963" t="s">
        <v>255</v>
      </c>
      <c r="E3963">
        <v>2021</v>
      </c>
      <c r="F3963">
        <v>7</v>
      </c>
    </row>
    <row r="3964" spans="1:6" x14ac:dyDescent="0.55000000000000004">
      <c r="A3964" t="s">
        <v>129</v>
      </c>
      <c r="B3964" t="s">
        <v>8</v>
      </c>
      <c r="C3964">
        <v>4067752.2483999999</v>
      </c>
      <c r="D3964" t="s">
        <v>255</v>
      </c>
      <c r="E3964">
        <v>2021</v>
      </c>
      <c r="F3964">
        <v>7</v>
      </c>
    </row>
    <row r="3965" spans="1:6" x14ac:dyDescent="0.55000000000000004">
      <c r="A3965" t="s">
        <v>129</v>
      </c>
      <c r="B3965" t="s">
        <v>9</v>
      </c>
      <c r="C3965">
        <v>685.06529999999998</v>
      </c>
      <c r="D3965" t="s">
        <v>255</v>
      </c>
      <c r="E3965">
        <v>2021</v>
      </c>
      <c r="F3965">
        <v>7</v>
      </c>
    </row>
    <row r="3966" spans="1:6" x14ac:dyDescent="0.55000000000000004">
      <c r="A3966" t="s">
        <v>129</v>
      </c>
      <c r="B3966" t="s">
        <v>10</v>
      </c>
      <c r="C3966">
        <v>506.83330000000001</v>
      </c>
      <c r="D3966" t="s">
        <v>255</v>
      </c>
      <c r="E3966">
        <v>2021</v>
      </c>
      <c r="F3966">
        <v>7</v>
      </c>
    </row>
    <row r="3967" spans="1:6" x14ac:dyDescent="0.55000000000000004">
      <c r="A3967" t="s">
        <v>129</v>
      </c>
      <c r="B3967" t="s">
        <v>11</v>
      </c>
      <c r="C3967">
        <v>2813525.1768999998</v>
      </c>
      <c r="D3967" t="s">
        <v>255</v>
      </c>
      <c r="E3967">
        <v>2021</v>
      </c>
      <c r="F3967">
        <v>7</v>
      </c>
    </row>
    <row r="3968" spans="1:6" x14ac:dyDescent="0.55000000000000004">
      <c r="A3968" t="s">
        <v>129</v>
      </c>
      <c r="B3968" t="s">
        <v>12</v>
      </c>
      <c r="C3968">
        <v>554.66669999999999</v>
      </c>
      <c r="D3968" t="s">
        <v>255</v>
      </c>
      <c r="E3968">
        <v>2021</v>
      </c>
      <c r="F3968">
        <v>7</v>
      </c>
    </row>
    <row r="3969" spans="1:6" x14ac:dyDescent="0.55000000000000004">
      <c r="A3969" t="s">
        <v>129</v>
      </c>
      <c r="B3969" t="s">
        <v>13</v>
      </c>
      <c r="C3969">
        <v>15783.783299999999</v>
      </c>
      <c r="D3969" t="s">
        <v>255</v>
      </c>
      <c r="E3969">
        <v>2021</v>
      </c>
      <c r="F3969">
        <v>7</v>
      </c>
    </row>
    <row r="3970" spans="1:6" x14ac:dyDescent="0.55000000000000004">
      <c r="A3970" t="s">
        <v>129</v>
      </c>
      <c r="B3970" t="s">
        <v>14</v>
      </c>
      <c r="C3970">
        <v>1000</v>
      </c>
      <c r="D3970" t="s">
        <v>255</v>
      </c>
      <c r="E3970">
        <v>2021</v>
      </c>
      <c r="F3970">
        <v>7</v>
      </c>
    </row>
    <row r="3971" spans="1:6" x14ac:dyDescent="0.55000000000000004">
      <c r="A3971" t="s">
        <v>129</v>
      </c>
      <c r="B3971" t="s">
        <v>15</v>
      </c>
      <c r="C3971">
        <v>1195350.0290999999</v>
      </c>
      <c r="D3971" t="s">
        <v>255</v>
      </c>
      <c r="E3971">
        <v>2021</v>
      </c>
      <c r="F3971">
        <v>7</v>
      </c>
    </row>
    <row r="3972" spans="1:6" x14ac:dyDescent="0.55000000000000004">
      <c r="A3972" t="s">
        <v>129</v>
      </c>
      <c r="B3972" t="s">
        <v>16</v>
      </c>
      <c r="C3972">
        <v>7.0609999999999999</v>
      </c>
      <c r="D3972" t="s">
        <v>255</v>
      </c>
      <c r="E3972">
        <v>2021</v>
      </c>
      <c r="F3972">
        <v>7</v>
      </c>
    </row>
    <row r="3973" spans="1:6" x14ac:dyDescent="0.55000000000000004">
      <c r="A3973" t="s">
        <v>129</v>
      </c>
      <c r="B3973" t="s">
        <v>17</v>
      </c>
      <c r="C3973">
        <v>156627.9252</v>
      </c>
      <c r="D3973" t="s">
        <v>255</v>
      </c>
      <c r="E3973">
        <v>2021</v>
      </c>
      <c r="F3973">
        <v>7</v>
      </c>
    </row>
    <row r="3974" spans="1:6" x14ac:dyDescent="0.55000000000000004">
      <c r="A3974" t="s">
        <v>129</v>
      </c>
      <c r="B3974" t="s">
        <v>18</v>
      </c>
      <c r="C3974">
        <v>90799.733699999997</v>
      </c>
      <c r="D3974" t="s">
        <v>255</v>
      </c>
      <c r="E3974">
        <v>2021</v>
      </c>
      <c r="F3974">
        <v>7</v>
      </c>
    </row>
    <row r="3975" spans="1:6" x14ac:dyDescent="0.55000000000000004">
      <c r="A3975" t="s">
        <v>129</v>
      </c>
      <c r="B3975" t="s">
        <v>19</v>
      </c>
      <c r="C3975">
        <v>2053.4454000000001</v>
      </c>
      <c r="D3975" t="s">
        <v>255</v>
      </c>
      <c r="E3975">
        <v>2021</v>
      </c>
      <c r="F3975">
        <v>7</v>
      </c>
    </row>
    <row r="3976" spans="1:6" x14ac:dyDescent="0.55000000000000004">
      <c r="A3976" t="s">
        <v>129</v>
      </c>
      <c r="B3976" t="s">
        <v>20</v>
      </c>
      <c r="C3976">
        <v>21100</v>
      </c>
      <c r="D3976" t="s">
        <v>255</v>
      </c>
      <c r="E3976">
        <v>2021</v>
      </c>
      <c r="F3976">
        <v>7</v>
      </c>
    </row>
    <row r="3977" spans="1:6" x14ac:dyDescent="0.55000000000000004">
      <c r="A3977" t="s">
        <v>129</v>
      </c>
      <c r="B3977" t="s">
        <v>21</v>
      </c>
      <c r="C3977">
        <v>4574.9034000000001</v>
      </c>
      <c r="D3977" t="s">
        <v>255</v>
      </c>
      <c r="E3977">
        <v>2021</v>
      </c>
      <c r="F3977">
        <v>7</v>
      </c>
    </row>
    <row r="3978" spans="1:6" x14ac:dyDescent="0.55000000000000004">
      <c r="A3978" t="s">
        <v>129</v>
      </c>
      <c r="B3978" t="s">
        <v>22</v>
      </c>
      <c r="C3978">
        <v>41291.029900000001</v>
      </c>
      <c r="D3978" t="s">
        <v>255</v>
      </c>
      <c r="E3978">
        <v>2021</v>
      </c>
      <c r="F3978">
        <v>7</v>
      </c>
    </row>
    <row r="3979" spans="1:6" x14ac:dyDescent="0.55000000000000004">
      <c r="A3979" t="s">
        <v>129</v>
      </c>
      <c r="B3979" t="s">
        <v>23</v>
      </c>
      <c r="C3979">
        <v>46799.199399999998</v>
      </c>
      <c r="D3979" t="s">
        <v>255</v>
      </c>
      <c r="E3979">
        <v>2021</v>
      </c>
      <c r="F3979">
        <v>7</v>
      </c>
    </row>
    <row r="3980" spans="1:6" x14ac:dyDescent="0.55000000000000004">
      <c r="A3980" t="s">
        <v>129</v>
      </c>
      <c r="B3980" t="s">
        <v>24</v>
      </c>
      <c r="C3980">
        <v>0</v>
      </c>
      <c r="D3980" t="s">
        <v>255</v>
      </c>
      <c r="E3980">
        <v>2021</v>
      </c>
      <c r="F3980">
        <v>7</v>
      </c>
    </row>
    <row r="3981" spans="1:6" x14ac:dyDescent="0.55000000000000004">
      <c r="A3981" t="s">
        <v>129</v>
      </c>
      <c r="B3981" t="s">
        <v>25</v>
      </c>
      <c r="C3981">
        <v>653813.88329999999</v>
      </c>
      <c r="D3981" t="s">
        <v>255</v>
      </c>
      <c r="E3981">
        <v>2021</v>
      </c>
      <c r="F3981">
        <v>7</v>
      </c>
    </row>
    <row r="3982" spans="1:6" x14ac:dyDescent="0.55000000000000004">
      <c r="A3982" t="s">
        <v>129</v>
      </c>
      <c r="B3982" t="s">
        <v>26</v>
      </c>
      <c r="C3982">
        <v>0</v>
      </c>
      <c r="D3982" t="s">
        <v>255</v>
      </c>
      <c r="E3982">
        <v>2021</v>
      </c>
      <c r="F3982">
        <v>7</v>
      </c>
    </row>
    <row r="3983" spans="1:6" x14ac:dyDescent="0.55000000000000004">
      <c r="A3983" t="s">
        <v>129</v>
      </c>
      <c r="B3983" t="s">
        <v>27</v>
      </c>
      <c r="C3983">
        <v>301.3605</v>
      </c>
      <c r="D3983" t="s">
        <v>255</v>
      </c>
      <c r="E3983">
        <v>2021</v>
      </c>
      <c r="F3983">
        <v>7</v>
      </c>
    </row>
    <row r="3984" spans="1:6" x14ac:dyDescent="0.55000000000000004">
      <c r="A3984" t="s">
        <v>129</v>
      </c>
      <c r="B3984" t="s">
        <v>28</v>
      </c>
      <c r="C3984">
        <v>461922.56719999999</v>
      </c>
      <c r="D3984" t="s">
        <v>255</v>
      </c>
      <c r="E3984">
        <v>2021</v>
      </c>
      <c r="F3984">
        <v>7</v>
      </c>
    </row>
    <row r="3985" spans="1:6" x14ac:dyDescent="0.55000000000000004">
      <c r="A3985" t="s">
        <v>129</v>
      </c>
      <c r="B3985" t="s">
        <v>29</v>
      </c>
      <c r="C3985">
        <v>0</v>
      </c>
      <c r="D3985" t="s">
        <v>255</v>
      </c>
      <c r="E3985">
        <v>2021</v>
      </c>
      <c r="F3985">
        <v>7</v>
      </c>
    </row>
    <row r="3986" spans="1:6" x14ac:dyDescent="0.55000000000000004">
      <c r="A3986" t="s">
        <v>129</v>
      </c>
      <c r="B3986" t="s">
        <v>30</v>
      </c>
      <c r="C3986">
        <v>109.63330000000001</v>
      </c>
      <c r="D3986" t="s">
        <v>255</v>
      </c>
      <c r="E3986">
        <v>2021</v>
      </c>
      <c r="F3986">
        <v>7</v>
      </c>
    </row>
    <row r="3987" spans="1:6" x14ac:dyDescent="0.55000000000000004">
      <c r="A3987" t="s">
        <v>129</v>
      </c>
      <c r="B3987" t="s">
        <v>31</v>
      </c>
      <c r="C3987">
        <v>50</v>
      </c>
      <c r="D3987" t="s">
        <v>255</v>
      </c>
      <c r="E3987">
        <v>2021</v>
      </c>
      <c r="F3987">
        <v>7</v>
      </c>
    </row>
    <row r="3988" spans="1:6" x14ac:dyDescent="0.55000000000000004">
      <c r="A3988" t="s">
        <v>129</v>
      </c>
      <c r="B3988" t="s">
        <v>32</v>
      </c>
      <c r="C3988">
        <v>661437.15870000003</v>
      </c>
      <c r="D3988" t="s">
        <v>255</v>
      </c>
      <c r="E3988">
        <v>2021</v>
      </c>
      <c r="F3988">
        <v>7</v>
      </c>
    </row>
    <row r="3989" spans="1:6" x14ac:dyDescent="0.55000000000000004">
      <c r="A3989" t="s">
        <v>129</v>
      </c>
      <c r="B3989" t="s">
        <v>33</v>
      </c>
      <c r="C3989">
        <v>477124.2525</v>
      </c>
      <c r="D3989" t="s">
        <v>255</v>
      </c>
      <c r="E3989">
        <v>2021</v>
      </c>
      <c r="F3989">
        <v>7</v>
      </c>
    </row>
    <row r="3990" spans="1:6" x14ac:dyDescent="0.55000000000000004">
      <c r="A3990" t="s">
        <v>129</v>
      </c>
      <c r="B3990" t="s">
        <v>34</v>
      </c>
      <c r="C3990">
        <v>439861.00390000001</v>
      </c>
      <c r="D3990" t="s">
        <v>255</v>
      </c>
      <c r="E3990">
        <v>2021</v>
      </c>
      <c r="F3990">
        <v>7</v>
      </c>
    </row>
    <row r="3991" spans="1:6" x14ac:dyDescent="0.55000000000000004">
      <c r="A3991" t="s">
        <v>129</v>
      </c>
      <c r="B3991" t="s">
        <v>35</v>
      </c>
      <c r="C3991">
        <v>565.76959999999997</v>
      </c>
      <c r="D3991" t="s">
        <v>255</v>
      </c>
      <c r="E3991">
        <v>2021</v>
      </c>
      <c r="F3991">
        <v>7</v>
      </c>
    </row>
    <row r="3992" spans="1:6" x14ac:dyDescent="0.55000000000000004">
      <c r="A3992" t="s">
        <v>129</v>
      </c>
      <c r="B3992" t="s">
        <v>36</v>
      </c>
      <c r="C3992">
        <v>44666.2696</v>
      </c>
      <c r="D3992" t="s">
        <v>255</v>
      </c>
      <c r="E3992">
        <v>2021</v>
      </c>
      <c r="F3992">
        <v>7</v>
      </c>
    </row>
    <row r="3993" spans="1:6" x14ac:dyDescent="0.55000000000000004">
      <c r="A3993" t="s">
        <v>129</v>
      </c>
      <c r="B3993" t="s">
        <v>37</v>
      </c>
      <c r="C3993">
        <v>55800.006999999998</v>
      </c>
      <c r="D3993" t="s">
        <v>255</v>
      </c>
      <c r="E3993">
        <v>2021</v>
      </c>
      <c r="F3993">
        <v>7</v>
      </c>
    </row>
    <row r="3994" spans="1:6" x14ac:dyDescent="0.55000000000000004">
      <c r="A3994" t="s">
        <v>129</v>
      </c>
      <c r="B3994" t="s">
        <v>38</v>
      </c>
      <c r="C3994">
        <v>0</v>
      </c>
      <c r="D3994" t="s">
        <v>255</v>
      </c>
      <c r="E3994">
        <v>2021</v>
      </c>
      <c r="F3994">
        <v>7</v>
      </c>
    </row>
    <row r="3995" spans="1:6" x14ac:dyDescent="0.55000000000000004">
      <c r="A3995" t="s">
        <v>129</v>
      </c>
      <c r="B3995" t="s">
        <v>39</v>
      </c>
      <c r="C3995">
        <v>0.3967</v>
      </c>
      <c r="D3995" t="s">
        <v>255</v>
      </c>
      <c r="E3995">
        <v>2021</v>
      </c>
      <c r="F3995">
        <v>7</v>
      </c>
    </row>
    <row r="3996" spans="1:6" x14ac:dyDescent="0.55000000000000004">
      <c r="A3996" t="s">
        <v>129</v>
      </c>
      <c r="B3996" t="s">
        <v>40</v>
      </c>
      <c r="C3996">
        <v>82.558300000000003</v>
      </c>
      <c r="D3996" t="s">
        <v>255</v>
      </c>
      <c r="E3996">
        <v>2021</v>
      </c>
      <c r="F3996">
        <v>7</v>
      </c>
    </row>
    <row r="3997" spans="1:6" x14ac:dyDescent="0.55000000000000004">
      <c r="A3997" t="s">
        <v>129</v>
      </c>
      <c r="B3997" t="s">
        <v>41</v>
      </c>
      <c r="C3997">
        <v>250531.75150000001</v>
      </c>
      <c r="D3997" t="s">
        <v>255</v>
      </c>
      <c r="E3997">
        <v>2021</v>
      </c>
      <c r="F3997">
        <v>7</v>
      </c>
    </row>
    <row r="3998" spans="1:6" x14ac:dyDescent="0.55000000000000004">
      <c r="A3998" t="s">
        <v>129</v>
      </c>
      <c r="B3998" t="s">
        <v>42</v>
      </c>
      <c r="C3998">
        <v>214.2833</v>
      </c>
      <c r="D3998" t="s">
        <v>255</v>
      </c>
      <c r="E3998">
        <v>2021</v>
      </c>
      <c r="F3998">
        <v>7</v>
      </c>
    </row>
    <row r="3999" spans="1:6" x14ac:dyDescent="0.55000000000000004">
      <c r="A3999" t="s">
        <v>129</v>
      </c>
      <c r="B3999" t="s">
        <v>43</v>
      </c>
      <c r="C3999">
        <v>249152.1574</v>
      </c>
      <c r="D3999" t="s">
        <v>255</v>
      </c>
      <c r="E3999">
        <v>2021</v>
      </c>
      <c r="F3999">
        <v>7</v>
      </c>
    </row>
    <row r="4000" spans="1:6" x14ac:dyDescent="0.55000000000000004">
      <c r="A4000" t="s">
        <v>129</v>
      </c>
      <c r="B4000" t="s">
        <v>44</v>
      </c>
      <c r="C4000">
        <v>0</v>
      </c>
      <c r="D4000" t="s">
        <v>255</v>
      </c>
      <c r="E4000">
        <v>2021</v>
      </c>
      <c r="F4000">
        <v>7</v>
      </c>
    </row>
    <row r="4001" spans="1:6" x14ac:dyDescent="0.55000000000000004">
      <c r="A4001" t="s">
        <v>129</v>
      </c>
      <c r="B4001" t="s">
        <v>45</v>
      </c>
      <c r="C4001">
        <v>4560.6229999999996</v>
      </c>
      <c r="D4001" t="s">
        <v>255</v>
      </c>
      <c r="E4001">
        <v>2021</v>
      </c>
      <c r="F4001">
        <v>7</v>
      </c>
    </row>
    <row r="4002" spans="1:6" x14ac:dyDescent="0.55000000000000004">
      <c r="A4002" t="s">
        <v>129</v>
      </c>
      <c r="B4002" t="s">
        <v>46</v>
      </c>
      <c r="C4002">
        <v>96844.47</v>
      </c>
      <c r="D4002" t="s">
        <v>255</v>
      </c>
      <c r="E4002">
        <v>2021</v>
      </c>
      <c r="F4002">
        <v>7</v>
      </c>
    </row>
    <row r="4003" spans="1:6" x14ac:dyDescent="0.55000000000000004">
      <c r="A4003" t="s">
        <v>129</v>
      </c>
      <c r="B4003" t="s">
        <v>47</v>
      </c>
      <c r="C4003">
        <v>0</v>
      </c>
      <c r="D4003" t="s">
        <v>255</v>
      </c>
      <c r="E4003">
        <v>2021</v>
      </c>
      <c r="F4003">
        <v>7</v>
      </c>
    </row>
    <row r="4004" spans="1:6" x14ac:dyDescent="0.55000000000000004">
      <c r="A4004" t="s">
        <v>129</v>
      </c>
      <c r="B4004" t="s">
        <v>48</v>
      </c>
      <c r="C4004">
        <v>243716.0392</v>
      </c>
      <c r="D4004" t="s">
        <v>255</v>
      </c>
      <c r="E4004">
        <v>2021</v>
      </c>
      <c r="F4004">
        <v>7</v>
      </c>
    </row>
    <row r="4005" spans="1:6" x14ac:dyDescent="0.55000000000000004">
      <c r="A4005" t="s">
        <v>129</v>
      </c>
      <c r="B4005" t="s">
        <v>49</v>
      </c>
      <c r="C4005">
        <v>93.727999999999994</v>
      </c>
      <c r="D4005" t="s">
        <v>255</v>
      </c>
      <c r="E4005">
        <v>2021</v>
      </c>
      <c r="F4005">
        <v>7</v>
      </c>
    </row>
    <row r="4006" spans="1:6" x14ac:dyDescent="0.55000000000000004">
      <c r="A4006" t="s">
        <v>129</v>
      </c>
      <c r="B4006" t="s">
        <v>50</v>
      </c>
      <c r="C4006">
        <v>30676.2382</v>
      </c>
      <c r="D4006" t="s">
        <v>255</v>
      </c>
      <c r="E4006">
        <v>2021</v>
      </c>
      <c r="F4006">
        <v>7</v>
      </c>
    </row>
    <row r="4007" spans="1:6" x14ac:dyDescent="0.55000000000000004">
      <c r="A4007" t="s">
        <v>129</v>
      </c>
      <c r="B4007" t="s">
        <v>51</v>
      </c>
      <c r="C4007">
        <v>4000</v>
      </c>
      <c r="D4007" t="s">
        <v>255</v>
      </c>
      <c r="E4007">
        <v>2021</v>
      </c>
      <c r="F4007">
        <v>7</v>
      </c>
    </row>
    <row r="4008" spans="1:6" x14ac:dyDescent="0.55000000000000004">
      <c r="A4008" t="s">
        <v>129</v>
      </c>
      <c r="B4008" t="s">
        <v>52</v>
      </c>
      <c r="C4008">
        <v>133.04929999999999</v>
      </c>
      <c r="D4008" t="s">
        <v>255</v>
      </c>
      <c r="E4008">
        <v>2021</v>
      </c>
      <c r="F4008">
        <v>7</v>
      </c>
    </row>
    <row r="4009" spans="1:6" x14ac:dyDescent="0.55000000000000004">
      <c r="A4009" t="s">
        <v>129</v>
      </c>
      <c r="B4009" t="s">
        <v>53</v>
      </c>
      <c r="C4009">
        <v>35199.999799999998</v>
      </c>
      <c r="D4009" t="s">
        <v>255</v>
      </c>
      <c r="E4009">
        <v>2021</v>
      </c>
      <c r="F4009">
        <v>7</v>
      </c>
    </row>
    <row r="4010" spans="1:6" x14ac:dyDescent="0.55000000000000004">
      <c r="A4010" t="s">
        <v>129</v>
      </c>
      <c r="B4010" t="s">
        <v>54</v>
      </c>
      <c r="C4010">
        <v>13759.2942</v>
      </c>
      <c r="D4010" t="s">
        <v>255</v>
      </c>
      <c r="E4010">
        <v>2021</v>
      </c>
      <c r="F4010">
        <v>7</v>
      </c>
    </row>
    <row r="4011" spans="1:6" x14ac:dyDescent="0.55000000000000004">
      <c r="A4011" t="s">
        <v>129</v>
      </c>
      <c r="B4011" t="s">
        <v>55</v>
      </c>
      <c r="C4011">
        <v>4861.0667000000003</v>
      </c>
      <c r="D4011" t="s">
        <v>255</v>
      </c>
      <c r="E4011">
        <v>2021</v>
      </c>
      <c r="F4011">
        <v>7</v>
      </c>
    </row>
    <row r="4012" spans="1:6" x14ac:dyDescent="0.55000000000000004">
      <c r="A4012" t="s">
        <v>129</v>
      </c>
      <c r="B4012" t="s">
        <v>56</v>
      </c>
      <c r="C4012">
        <v>4874.3333000000002</v>
      </c>
      <c r="D4012" t="s">
        <v>255</v>
      </c>
      <c r="E4012">
        <v>2021</v>
      </c>
      <c r="F4012">
        <v>7</v>
      </c>
    </row>
    <row r="4013" spans="1:6" x14ac:dyDescent="0.55000000000000004">
      <c r="A4013" t="s">
        <v>129</v>
      </c>
      <c r="B4013" t="s">
        <v>57</v>
      </c>
      <c r="C4013">
        <v>264.65649999999999</v>
      </c>
      <c r="D4013" t="s">
        <v>255</v>
      </c>
      <c r="E4013">
        <v>2021</v>
      </c>
      <c r="F4013">
        <v>7</v>
      </c>
    </row>
    <row r="4014" spans="1:6" x14ac:dyDescent="0.55000000000000004">
      <c r="A4014" t="s">
        <v>129</v>
      </c>
      <c r="B4014" t="s">
        <v>58</v>
      </c>
      <c r="C4014">
        <v>700037</v>
      </c>
      <c r="D4014" t="s">
        <v>255</v>
      </c>
      <c r="E4014">
        <v>2021</v>
      </c>
      <c r="F4014">
        <v>7</v>
      </c>
    </row>
    <row r="4015" spans="1:6" x14ac:dyDescent="0.55000000000000004">
      <c r="A4015" t="s">
        <v>129</v>
      </c>
      <c r="B4015" t="s">
        <v>59</v>
      </c>
      <c r="C4015">
        <v>600</v>
      </c>
      <c r="D4015" t="s">
        <v>255</v>
      </c>
      <c r="E4015">
        <v>2021</v>
      </c>
      <c r="F4015">
        <v>7</v>
      </c>
    </row>
    <row r="4016" spans="1:6" x14ac:dyDescent="0.55000000000000004">
      <c r="A4016" t="s">
        <v>129</v>
      </c>
      <c r="B4016" t="s">
        <v>60</v>
      </c>
      <c r="C4016">
        <v>1988640.0009000001</v>
      </c>
      <c r="D4016" t="s">
        <v>255</v>
      </c>
      <c r="E4016">
        <v>2021</v>
      </c>
      <c r="F4016">
        <v>7</v>
      </c>
    </row>
    <row r="4017" spans="1:6" x14ac:dyDescent="0.55000000000000004">
      <c r="A4017" t="s">
        <v>129</v>
      </c>
      <c r="B4017" t="s">
        <v>61</v>
      </c>
      <c r="C4017">
        <v>4779.9993999999997</v>
      </c>
      <c r="D4017" t="s">
        <v>255</v>
      </c>
      <c r="E4017">
        <v>2021</v>
      </c>
      <c r="F4017">
        <v>7</v>
      </c>
    </row>
    <row r="4018" spans="1:6" x14ac:dyDescent="0.55000000000000004">
      <c r="A4018" t="s">
        <v>129</v>
      </c>
      <c r="B4018" t="s">
        <v>62</v>
      </c>
      <c r="C4018">
        <v>3486</v>
      </c>
      <c r="D4018" t="s">
        <v>255</v>
      </c>
      <c r="E4018">
        <v>2021</v>
      </c>
      <c r="F4018">
        <v>7</v>
      </c>
    </row>
    <row r="4019" spans="1:6" x14ac:dyDescent="0.55000000000000004">
      <c r="A4019" t="s">
        <v>129</v>
      </c>
      <c r="B4019" t="s">
        <v>63</v>
      </c>
      <c r="C4019">
        <v>250</v>
      </c>
      <c r="D4019" t="s">
        <v>255</v>
      </c>
      <c r="E4019">
        <v>2021</v>
      </c>
      <c r="F4019">
        <v>7</v>
      </c>
    </row>
    <row r="4020" spans="1:6" x14ac:dyDescent="0.55000000000000004">
      <c r="A4020" t="s">
        <v>130</v>
      </c>
      <c r="B4020" t="s">
        <v>4</v>
      </c>
      <c r="C4020">
        <v>10264368.976199999</v>
      </c>
      <c r="D4020" t="s">
        <v>256</v>
      </c>
      <c r="E4020">
        <v>2021</v>
      </c>
      <c r="F4020">
        <v>8</v>
      </c>
    </row>
    <row r="4021" spans="1:6" x14ac:dyDescent="0.55000000000000004">
      <c r="A4021" t="s">
        <v>130</v>
      </c>
      <c r="B4021" t="s">
        <v>5</v>
      </c>
      <c r="C4021">
        <v>1198528.446</v>
      </c>
      <c r="D4021" t="s">
        <v>256</v>
      </c>
      <c r="E4021">
        <v>2021</v>
      </c>
      <c r="F4021">
        <v>8</v>
      </c>
    </row>
    <row r="4022" spans="1:6" x14ac:dyDescent="0.55000000000000004">
      <c r="A4022" t="s">
        <v>130</v>
      </c>
      <c r="B4022" t="s">
        <v>6</v>
      </c>
      <c r="C4022">
        <v>2199446.6151000001</v>
      </c>
      <c r="D4022" t="s">
        <v>256</v>
      </c>
      <c r="E4022">
        <v>2021</v>
      </c>
      <c r="F4022">
        <v>8</v>
      </c>
    </row>
    <row r="4023" spans="1:6" x14ac:dyDescent="0.55000000000000004">
      <c r="A4023" t="s">
        <v>130</v>
      </c>
      <c r="B4023" t="s">
        <v>7</v>
      </c>
      <c r="C4023">
        <v>2911478.0515999999</v>
      </c>
      <c r="D4023" t="s">
        <v>256</v>
      </c>
      <c r="E4023">
        <v>2021</v>
      </c>
      <c r="F4023">
        <v>8</v>
      </c>
    </row>
    <row r="4024" spans="1:6" x14ac:dyDescent="0.55000000000000004">
      <c r="A4024" t="s">
        <v>130</v>
      </c>
      <c r="B4024" t="s">
        <v>8</v>
      </c>
      <c r="C4024">
        <v>3954915.8635</v>
      </c>
      <c r="D4024" t="s">
        <v>256</v>
      </c>
      <c r="E4024">
        <v>2021</v>
      </c>
      <c r="F4024">
        <v>8</v>
      </c>
    </row>
    <row r="4025" spans="1:6" x14ac:dyDescent="0.55000000000000004">
      <c r="A4025" t="s">
        <v>130</v>
      </c>
      <c r="B4025" t="s">
        <v>9</v>
      </c>
      <c r="C4025">
        <v>1035.2617</v>
      </c>
      <c r="D4025" t="s">
        <v>256</v>
      </c>
      <c r="E4025">
        <v>2021</v>
      </c>
      <c r="F4025">
        <v>8</v>
      </c>
    </row>
    <row r="4026" spans="1:6" x14ac:dyDescent="0.55000000000000004">
      <c r="A4026" t="s">
        <v>130</v>
      </c>
      <c r="B4026" t="s">
        <v>10</v>
      </c>
      <c r="C4026">
        <v>338.01670000000001</v>
      </c>
      <c r="D4026" t="s">
        <v>256</v>
      </c>
      <c r="E4026">
        <v>2021</v>
      </c>
      <c r="F4026">
        <v>8</v>
      </c>
    </row>
    <row r="4027" spans="1:6" x14ac:dyDescent="0.55000000000000004">
      <c r="A4027" t="s">
        <v>130</v>
      </c>
      <c r="B4027" t="s">
        <v>11</v>
      </c>
      <c r="C4027">
        <v>2859143.2895999998</v>
      </c>
      <c r="D4027" t="s">
        <v>256</v>
      </c>
      <c r="E4027">
        <v>2021</v>
      </c>
      <c r="F4027">
        <v>8</v>
      </c>
    </row>
    <row r="4028" spans="1:6" x14ac:dyDescent="0.55000000000000004">
      <c r="A4028" t="s">
        <v>130</v>
      </c>
      <c r="B4028" t="s">
        <v>12</v>
      </c>
      <c r="C4028">
        <v>5081</v>
      </c>
      <c r="D4028" t="s">
        <v>256</v>
      </c>
      <c r="E4028">
        <v>2021</v>
      </c>
      <c r="F4028">
        <v>8</v>
      </c>
    </row>
    <row r="4029" spans="1:6" x14ac:dyDescent="0.55000000000000004">
      <c r="A4029" t="s">
        <v>130</v>
      </c>
      <c r="B4029" t="s">
        <v>13</v>
      </c>
      <c r="C4029">
        <v>17366.616699999999</v>
      </c>
      <c r="D4029" t="s">
        <v>256</v>
      </c>
      <c r="E4029">
        <v>2021</v>
      </c>
      <c r="F4029">
        <v>8</v>
      </c>
    </row>
    <row r="4030" spans="1:6" x14ac:dyDescent="0.55000000000000004">
      <c r="A4030" t="s">
        <v>130</v>
      </c>
      <c r="B4030" t="s">
        <v>14</v>
      </c>
      <c r="C4030">
        <v>900</v>
      </c>
      <c r="D4030" t="s">
        <v>256</v>
      </c>
      <c r="E4030">
        <v>2021</v>
      </c>
      <c r="F4030">
        <v>8</v>
      </c>
    </row>
    <row r="4031" spans="1:6" x14ac:dyDescent="0.55000000000000004">
      <c r="A4031" t="s">
        <v>130</v>
      </c>
      <c r="B4031" t="s">
        <v>15</v>
      </c>
      <c r="C4031">
        <v>1139853.4357</v>
      </c>
      <c r="D4031" t="s">
        <v>256</v>
      </c>
      <c r="E4031">
        <v>2021</v>
      </c>
      <c r="F4031">
        <v>8</v>
      </c>
    </row>
    <row r="4032" spans="1:6" x14ac:dyDescent="0.55000000000000004">
      <c r="A4032" t="s">
        <v>130</v>
      </c>
      <c r="B4032" t="s">
        <v>16</v>
      </c>
      <c r="C4032">
        <v>7.0609999999999999</v>
      </c>
      <c r="D4032" t="s">
        <v>256</v>
      </c>
      <c r="E4032">
        <v>2021</v>
      </c>
      <c r="F4032">
        <v>8</v>
      </c>
    </row>
    <row r="4033" spans="1:6" x14ac:dyDescent="0.55000000000000004">
      <c r="A4033" t="s">
        <v>130</v>
      </c>
      <c r="B4033" t="s">
        <v>17</v>
      </c>
      <c r="C4033">
        <v>118326.63</v>
      </c>
      <c r="D4033" t="s">
        <v>256</v>
      </c>
      <c r="E4033">
        <v>2021</v>
      </c>
      <c r="F4033">
        <v>8</v>
      </c>
    </row>
    <row r="4034" spans="1:6" x14ac:dyDescent="0.55000000000000004">
      <c r="A4034" t="s">
        <v>130</v>
      </c>
      <c r="B4034" t="s">
        <v>18</v>
      </c>
      <c r="C4034">
        <v>35512.097999999998</v>
      </c>
      <c r="D4034" t="s">
        <v>256</v>
      </c>
      <c r="E4034">
        <v>2021</v>
      </c>
      <c r="F4034">
        <v>8</v>
      </c>
    </row>
    <row r="4035" spans="1:6" x14ac:dyDescent="0.55000000000000004">
      <c r="A4035" t="s">
        <v>130</v>
      </c>
      <c r="B4035" t="s">
        <v>19</v>
      </c>
      <c r="C4035">
        <v>2053.4454000000001</v>
      </c>
      <c r="D4035" t="s">
        <v>256</v>
      </c>
      <c r="E4035">
        <v>2021</v>
      </c>
      <c r="F4035">
        <v>8</v>
      </c>
    </row>
    <row r="4036" spans="1:6" x14ac:dyDescent="0.55000000000000004">
      <c r="A4036" t="s">
        <v>130</v>
      </c>
      <c r="B4036" t="s">
        <v>20</v>
      </c>
      <c r="C4036">
        <v>18300</v>
      </c>
      <c r="D4036" t="s">
        <v>256</v>
      </c>
      <c r="E4036">
        <v>2021</v>
      </c>
      <c r="F4036">
        <v>8</v>
      </c>
    </row>
    <row r="4037" spans="1:6" x14ac:dyDescent="0.55000000000000004">
      <c r="A4037" t="s">
        <v>130</v>
      </c>
      <c r="B4037" t="s">
        <v>21</v>
      </c>
      <c r="C4037">
        <v>1267.7304999999999</v>
      </c>
      <c r="D4037" t="s">
        <v>256</v>
      </c>
      <c r="E4037">
        <v>2021</v>
      </c>
      <c r="F4037">
        <v>8</v>
      </c>
    </row>
    <row r="4038" spans="1:6" x14ac:dyDescent="0.55000000000000004">
      <c r="A4038" t="s">
        <v>130</v>
      </c>
      <c r="B4038" t="s">
        <v>22</v>
      </c>
      <c r="C4038">
        <v>41357.436600000001</v>
      </c>
      <c r="D4038" t="s">
        <v>256</v>
      </c>
      <c r="E4038">
        <v>2021</v>
      </c>
      <c r="F4038">
        <v>8</v>
      </c>
    </row>
    <row r="4039" spans="1:6" x14ac:dyDescent="0.55000000000000004">
      <c r="A4039" t="s">
        <v>130</v>
      </c>
      <c r="B4039" t="s">
        <v>23</v>
      </c>
      <c r="C4039">
        <v>30632.172500000001</v>
      </c>
      <c r="D4039" t="s">
        <v>256</v>
      </c>
      <c r="E4039">
        <v>2021</v>
      </c>
      <c r="F4039">
        <v>8</v>
      </c>
    </row>
    <row r="4040" spans="1:6" x14ac:dyDescent="0.55000000000000004">
      <c r="A4040" t="s">
        <v>130</v>
      </c>
      <c r="B4040" t="s">
        <v>24</v>
      </c>
      <c r="C4040">
        <v>0</v>
      </c>
      <c r="D4040" t="s">
        <v>256</v>
      </c>
      <c r="E4040">
        <v>2021</v>
      </c>
      <c r="F4040">
        <v>8</v>
      </c>
    </row>
    <row r="4041" spans="1:6" x14ac:dyDescent="0.55000000000000004">
      <c r="A4041" t="s">
        <v>130</v>
      </c>
      <c r="B4041" t="s">
        <v>25</v>
      </c>
      <c r="C4041">
        <v>511776.76010000001</v>
      </c>
      <c r="D4041" t="s">
        <v>256</v>
      </c>
      <c r="E4041">
        <v>2021</v>
      </c>
      <c r="F4041">
        <v>8</v>
      </c>
    </row>
    <row r="4042" spans="1:6" x14ac:dyDescent="0.55000000000000004">
      <c r="A4042" t="s">
        <v>130</v>
      </c>
      <c r="B4042" t="s">
        <v>26</v>
      </c>
      <c r="C4042">
        <v>0</v>
      </c>
      <c r="D4042" t="s">
        <v>256</v>
      </c>
      <c r="E4042">
        <v>2021</v>
      </c>
      <c r="F4042">
        <v>8</v>
      </c>
    </row>
    <row r="4043" spans="1:6" x14ac:dyDescent="0.55000000000000004">
      <c r="A4043" t="s">
        <v>130</v>
      </c>
      <c r="B4043" t="s">
        <v>27</v>
      </c>
      <c r="C4043">
        <v>329.33890000000002</v>
      </c>
      <c r="D4043" t="s">
        <v>256</v>
      </c>
      <c r="E4043">
        <v>2021</v>
      </c>
      <c r="F4043">
        <v>8</v>
      </c>
    </row>
    <row r="4044" spans="1:6" x14ac:dyDescent="0.55000000000000004">
      <c r="A4044" t="s">
        <v>130</v>
      </c>
      <c r="B4044" t="s">
        <v>28</v>
      </c>
      <c r="C4044">
        <v>331909.89230000001</v>
      </c>
      <c r="D4044" t="s">
        <v>256</v>
      </c>
      <c r="E4044">
        <v>2021</v>
      </c>
      <c r="F4044">
        <v>8</v>
      </c>
    </row>
    <row r="4045" spans="1:6" x14ac:dyDescent="0.55000000000000004">
      <c r="A4045" t="s">
        <v>130</v>
      </c>
      <c r="B4045" t="s">
        <v>29</v>
      </c>
      <c r="C4045">
        <v>0</v>
      </c>
      <c r="D4045" t="s">
        <v>256</v>
      </c>
      <c r="E4045">
        <v>2021</v>
      </c>
      <c r="F4045">
        <v>8</v>
      </c>
    </row>
    <row r="4046" spans="1:6" x14ac:dyDescent="0.55000000000000004">
      <c r="A4046" t="s">
        <v>130</v>
      </c>
      <c r="B4046" t="s">
        <v>30</v>
      </c>
      <c r="C4046">
        <v>46.41</v>
      </c>
      <c r="D4046" t="s">
        <v>256</v>
      </c>
      <c r="E4046">
        <v>2021</v>
      </c>
      <c r="F4046">
        <v>8</v>
      </c>
    </row>
    <row r="4047" spans="1:6" x14ac:dyDescent="0.55000000000000004">
      <c r="A4047" t="s">
        <v>130</v>
      </c>
      <c r="B4047" t="s">
        <v>31</v>
      </c>
      <c r="C4047">
        <v>1519.9996000000001</v>
      </c>
      <c r="D4047" t="s">
        <v>256</v>
      </c>
      <c r="E4047">
        <v>2021</v>
      </c>
      <c r="F4047">
        <v>8</v>
      </c>
    </row>
    <row r="4048" spans="1:6" x14ac:dyDescent="0.55000000000000004">
      <c r="A4048" t="s">
        <v>130</v>
      </c>
      <c r="B4048" t="s">
        <v>32</v>
      </c>
      <c r="C4048">
        <v>418075.2243</v>
      </c>
      <c r="D4048" t="s">
        <v>256</v>
      </c>
      <c r="E4048">
        <v>2021</v>
      </c>
      <c r="F4048">
        <v>8</v>
      </c>
    </row>
    <row r="4049" spans="1:6" x14ac:dyDescent="0.55000000000000004">
      <c r="A4049" t="s">
        <v>130</v>
      </c>
      <c r="B4049" t="s">
        <v>33</v>
      </c>
      <c r="C4049">
        <v>605706.28040000005</v>
      </c>
      <c r="D4049" t="s">
        <v>256</v>
      </c>
      <c r="E4049">
        <v>2021</v>
      </c>
      <c r="F4049">
        <v>8</v>
      </c>
    </row>
    <row r="4050" spans="1:6" x14ac:dyDescent="0.55000000000000004">
      <c r="A4050" t="s">
        <v>130</v>
      </c>
      <c r="B4050" t="s">
        <v>34</v>
      </c>
      <c r="C4050">
        <v>537731.29489999998</v>
      </c>
      <c r="D4050" t="s">
        <v>256</v>
      </c>
      <c r="E4050">
        <v>2021</v>
      </c>
      <c r="F4050">
        <v>8</v>
      </c>
    </row>
    <row r="4051" spans="1:6" x14ac:dyDescent="0.55000000000000004">
      <c r="A4051" t="s">
        <v>130</v>
      </c>
      <c r="B4051" t="s">
        <v>35</v>
      </c>
      <c r="C4051">
        <v>1195.4485</v>
      </c>
      <c r="D4051" t="s">
        <v>256</v>
      </c>
      <c r="E4051">
        <v>2021</v>
      </c>
      <c r="F4051">
        <v>8</v>
      </c>
    </row>
    <row r="4052" spans="1:6" x14ac:dyDescent="0.55000000000000004">
      <c r="A4052" t="s">
        <v>130</v>
      </c>
      <c r="B4052" t="s">
        <v>36</v>
      </c>
      <c r="C4052">
        <v>54888.010300000002</v>
      </c>
      <c r="D4052" t="s">
        <v>256</v>
      </c>
      <c r="E4052">
        <v>2021</v>
      </c>
      <c r="F4052">
        <v>8</v>
      </c>
    </row>
    <row r="4053" spans="1:6" x14ac:dyDescent="0.55000000000000004">
      <c r="A4053" t="s">
        <v>130</v>
      </c>
      <c r="B4053" t="s">
        <v>37</v>
      </c>
      <c r="C4053">
        <v>23199.986700000001</v>
      </c>
      <c r="D4053" t="s">
        <v>256</v>
      </c>
      <c r="E4053">
        <v>2021</v>
      </c>
      <c r="F4053">
        <v>8</v>
      </c>
    </row>
    <row r="4054" spans="1:6" x14ac:dyDescent="0.55000000000000004">
      <c r="A4054" t="s">
        <v>130</v>
      </c>
      <c r="B4054" t="s">
        <v>38</v>
      </c>
      <c r="C4054">
        <v>0</v>
      </c>
      <c r="D4054" t="s">
        <v>256</v>
      </c>
      <c r="E4054">
        <v>2021</v>
      </c>
      <c r="F4054">
        <v>8</v>
      </c>
    </row>
    <row r="4055" spans="1:6" x14ac:dyDescent="0.55000000000000004">
      <c r="A4055" t="s">
        <v>130</v>
      </c>
      <c r="B4055" t="s">
        <v>39</v>
      </c>
      <c r="C4055">
        <v>0</v>
      </c>
      <c r="D4055" t="s">
        <v>256</v>
      </c>
      <c r="E4055">
        <v>2021</v>
      </c>
      <c r="F4055">
        <v>8</v>
      </c>
    </row>
    <row r="4056" spans="1:6" x14ac:dyDescent="0.55000000000000004">
      <c r="A4056" t="s">
        <v>130</v>
      </c>
      <c r="B4056" t="s">
        <v>40</v>
      </c>
      <c r="C4056">
        <v>0</v>
      </c>
      <c r="D4056" t="s">
        <v>256</v>
      </c>
      <c r="E4056">
        <v>2021</v>
      </c>
      <c r="F4056">
        <v>8</v>
      </c>
    </row>
    <row r="4057" spans="1:6" x14ac:dyDescent="0.55000000000000004">
      <c r="A4057" t="s">
        <v>130</v>
      </c>
      <c r="B4057" t="s">
        <v>41</v>
      </c>
      <c r="C4057">
        <v>235381.74909999999</v>
      </c>
      <c r="D4057" t="s">
        <v>256</v>
      </c>
      <c r="E4057">
        <v>2021</v>
      </c>
      <c r="F4057">
        <v>8</v>
      </c>
    </row>
    <row r="4058" spans="1:6" x14ac:dyDescent="0.55000000000000004">
      <c r="A4058" t="s">
        <v>130</v>
      </c>
      <c r="B4058" t="s">
        <v>42</v>
      </c>
      <c r="C4058">
        <v>69.995800000000003</v>
      </c>
      <c r="D4058" t="s">
        <v>256</v>
      </c>
      <c r="E4058">
        <v>2021</v>
      </c>
      <c r="F4058">
        <v>8</v>
      </c>
    </row>
    <row r="4059" spans="1:6" x14ac:dyDescent="0.55000000000000004">
      <c r="A4059" t="s">
        <v>130</v>
      </c>
      <c r="B4059" t="s">
        <v>43</v>
      </c>
      <c r="C4059">
        <v>141994.413</v>
      </c>
      <c r="D4059" t="s">
        <v>256</v>
      </c>
      <c r="E4059">
        <v>2021</v>
      </c>
      <c r="F4059">
        <v>8</v>
      </c>
    </row>
    <row r="4060" spans="1:6" x14ac:dyDescent="0.55000000000000004">
      <c r="A4060" t="s">
        <v>130</v>
      </c>
      <c r="B4060" t="s">
        <v>44</v>
      </c>
      <c r="C4060">
        <v>0</v>
      </c>
      <c r="D4060" t="s">
        <v>256</v>
      </c>
      <c r="E4060">
        <v>2021</v>
      </c>
      <c r="F4060">
        <v>8</v>
      </c>
    </row>
    <row r="4061" spans="1:6" x14ac:dyDescent="0.55000000000000004">
      <c r="A4061" t="s">
        <v>130</v>
      </c>
      <c r="B4061" t="s">
        <v>45</v>
      </c>
      <c r="C4061">
        <v>6578.3868000000002</v>
      </c>
      <c r="D4061" t="s">
        <v>256</v>
      </c>
      <c r="E4061">
        <v>2021</v>
      </c>
      <c r="F4061">
        <v>8</v>
      </c>
    </row>
    <row r="4062" spans="1:6" x14ac:dyDescent="0.55000000000000004">
      <c r="A4062" t="s">
        <v>130</v>
      </c>
      <c r="B4062" t="s">
        <v>46</v>
      </c>
      <c r="C4062">
        <v>64584</v>
      </c>
      <c r="D4062" t="s">
        <v>256</v>
      </c>
      <c r="E4062">
        <v>2021</v>
      </c>
      <c r="F4062">
        <v>8</v>
      </c>
    </row>
    <row r="4063" spans="1:6" x14ac:dyDescent="0.55000000000000004">
      <c r="A4063" t="s">
        <v>130</v>
      </c>
      <c r="B4063" t="s">
        <v>47</v>
      </c>
      <c r="C4063">
        <v>0</v>
      </c>
      <c r="D4063" t="s">
        <v>256</v>
      </c>
      <c r="E4063">
        <v>2021</v>
      </c>
      <c r="F4063">
        <v>8</v>
      </c>
    </row>
    <row r="4064" spans="1:6" x14ac:dyDescent="0.55000000000000004">
      <c r="A4064" t="s">
        <v>130</v>
      </c>
      <c r="B4064" t="s">
        <v>48</v>
      </c>
      <c r="C4064">
        <v>385010.6519</v>
      </c>
      <c r="D4064" t="s">
        <v>256</v>
      </c>
      <c r="E4064">
        <v>2021</v>
      </c>
      <c r="F4064">
        <v>8</v>
      </c>
    </row>
    <row r="4065" spans="1:6" x14ac:dyDescent="0.55000000000000004">
      <c r="A4065" t="s">
        <v>130</v>
      </c>
      <c r="B4065" t="s">
        <v>49</v>
      </c>
      <c r="C4065">
        <v>171.51929999999999</v>
      </c>
      <c r="D4065" t="s">
        <v>256</v>
      </c>
      <c r="E4065">
        <v>2021</v>
      </c>
      <c r="F4065">
        <v>8</v>
      </c>
    </row>
    <row r="4066" spans="1:6" x14ac:dyDescent="0.55000000000000004">
      <c r="A4066" t="s">
        <v>130</v>
      </c>
      <c r="B4066" t="s">
        <v>50</v>
      </c>
      <c r="C4066">
        <v>26178.599399999999</v>
      </c>
      <c r="D4066" t="s">
        <v>256</v>
      </c>
      <c r="E4066">
        <v>2021</v>
      </c>
      <c r="F4066">
        <v>8</v>
      </c>
    </row>
    <row r="4067" spans="1:6" x14ac:dyDescent="0.55000000000000004">
      <c r="A4067" t="s">
        <v>130</v>
      </c>
      <c r="B4067" t="s">
        <v>51</v>
      </c>
      <c r="C4067">
        <v>3000</v>
      </c>
      <c r="D4067" t="s">
        <v>256</v>
      </c>
      <c r="E4067">
        <v>2021</v>
      </c>
      <c r="F4067">
        <v>8</v>
      </c>
    </row>
    <row r="4068" spans="1:6" x14ac:dyDescent="0.55000000000000004">
      <c r="A4068" t="s">
        <v>130</v>
      </c>
      <c r="B4068" t="s">
        <v>52</v>
      </c>
      <c r="C4068">
        <v>133.04929999999999</v>
      </c>
      <c r="D4068" t="s">
        <v>256</v>
      </c>
      <c r="E4068">
        <v>2021</v>
      </c>
      <c r="F4068">
        <v>8</v>
      </c>
    </row>
    <row r="4069" spans="1:6" x14ac:dyDescent="0.55000000000000004">
      <c r="A4069" t="s">
        <v>130</v>
      </c>
      <c r="B4069" t="s">
        <v>53</v>
      </c>
      <c r="C4069">
        <v>11032.9467</v>
      </c>
      <c r="D4069" t="s">
        <v>256</v>
      </c>
      <c r="E4069">
        <v>2021</v>
      </c>
      <c r="F4069">
        <v>8</v>
      </c>
    </row>
    <row r="4070" spans="1:6" x14ac:dyDescent="0.55000000000000004">
      <c r="A4070" t="s">
        <v>130</v>
      </c>
      <c r="B4070" t="s">
        <v>54</v>
      </c>
      <c r="C4070">
        <v>17026.493200000001</v>
      </c>
      <c r="D4070" t="s">
        <v>256</v>
      </c>
      <c r="E4070">
        <v>2021</v>
      </c>
      <c r="F4070">
        <v>8</v>
      </c>
    </row>
    <row r="4071" spans="1:6" x14ac:dyDescent="0.55000000000000004">
      <c r="A4071" t="s">
        <v>130</v>
      </c>
      <c r="B4071" t="s">
        <v>55</v>
      </c>
      <c r="C4071">
        <v>19751.666700000002</v>
      </c>
      <c r="D4071" t="s">
        <v>256</v>
      </c>
      <c r="E4071">
        <v>2021</v>
      </c>
      <c r="F4071">
        <v>8</v>
      </c>
    </row>
    <row r="4072" spans="1:6" x14ac:dyDescent="0.55000000000000004">
      <c r="A4072" t="s">
        <v>130</v>
      </c>
      <c r="B4072" t="s">
        <v>56</v>
      </c>
      <c r="C4072">
        <v>666.66669999999999</v>
      </c>
      <c r="D4072" t="s">
        <v>256</v>
      </c>
      <c r="E4072">
        <v>2021</v>
      </c>
      <c r="F4072">
        <v>8</v>
      </c>
    </row>
    <row r="4073" spans="1:6" x14ac:dyDescent="0.55000000000000004">
      <c r="A4073" t="s">
        <v>130</v>
      </c>
      <c r="B4073" t="s">
        <v>57</v>
      </c>
      <c r="C4073">
        <v>228.6045</v>
      </c>
      <c r="D4073" t="s">
        <v>256</v>
      </c>
      <c r="E4073">
        <v>2021</v>
      </c>
      <c r="F4073">
        <v>8</v>
      </c>
    </row>
    <row r="4074" spans="1:6" x14ac:dyDescent="0.55000000000000004">
      <c r="A4074" t="s">
        <v>130</v>
      </c>
      <c r="B4074" t="s">
        <v>58</v>
      </c>
      <c r="C4074">
        <v>700992</v>
      </c>
      <c r="D4074" t="s">
        <v>256</v>
      </c>
      <c r="E4074">
        <v>2021</v>
      </c>
      <c r="F4074">
        <v>8</v>
      </c>
    </row>
    <row r="4075" spans="1:6" x14ac:dyDescent="0.55000000000000004">
      <c r="A4075" t="s">
        <v>130</v>
      </c>
      <c r="B4075" t="s">
        <v>59</v>
      </c>
      <c r="C4075">
        <v>1000</v>
      </c>
      <c r="D4075" t="s">
        <v>256</v>
      </c>
      <c r="E4075">
        <v>2021</v>
      </c>
      <c r="F4075">
        <v>8</v>
      </c>
    </row>
    <row r="4076" spans="1:6" x14ac:dyDescent="0.55000000000000004">
      <c r="A4076" t="s">
        <v>130</v>
      </c>
      <c r="B4076" t="s">
        <v>60</v>
      </c>
      <c r="C4076">
        <v>1886700.0105000001</v>
      </c>
      <c r="D4076" t="s">
        <v>256</v>
      </c>
      <c r="E4076">
        <v>2021</v>
      </c>
      <c r="F4076">
        <v>8</v>
      </c>
    </row>
    <row r="4077" spans="1:6" x14ac:dyDescent="0.55000000000000004">
      <c r="A4077" t="s">
        <v>130</v>
      </c>
      <c r="B4077" t="s">
        <v>61</v>
      </c>
      <c r="C4077">
        <v>4359.9955</v>
      </c>
      <c r="D4077" t="s">
        <v>256</v>
      </c>
      <c r="E4077">
        <v>2021</v>
      </c>
      <c r="F4077">
        <v>8</v>
      </c>
    </row>
    <row r="4078" spans="1:6" x14ac:dyDescent="0.55000000000000004">
      <c r="A4078" t="s">
        <v>130</v>
      </c>
      <c r="B4078" t="s">
        <v>62</v>
      </c>
      <c r="C4078">
        <v>1955.3874000000001</v>
      </c>
      <c r="D4078" t="s">
        <v>256</v>
      </c>
      <c r="E4078">
        <v>2021</v>
      </c>
      <c r="F4078">
        <v>8</v>
      </c>
    </row>
    <row r="4079" spans="1:6" x14ac:dyDescent="0.55000000000000004">
      <c r="A4079" t="s">
        <v>130</v>
      </c>
      <c r="B4079" t="s">
        <v>63</v>
      </c>
      <c r="C4079">
        <v>0</v>
      </c>
      <c r="D4079" t="s">
        <v>256</v>
      </c>
      <c r="E4079">
        <v>2021</v>
      </c>
      <c r="F4079">
        <v>8</v>
      </c>
    </row>
    <row r="4080" spans="1:6" x14ac:dyDescent="0.55000000000000004">
      <c r="A4080" t="s">
        <v>131</v>
      </c>
      <c r="B4080" t="s">
        <v>4</v>
      </c>
      <c r="C4080">
        <v>10387135.0372</v>
      </c>
      <c r="D4080" t="s">
        <v>257</v>
      </c>
      <c r="E4080">
        <v>2021</v>
      </c>
      <c r="F4080">
        <v>9</v>
      </c>
    </row>
    <row r="4081" spans="1:6" x14ac:dyDescent="0.55000000000000004">
      <c r="A4081" t="s">
        <v>131</v>
      </c>
      <c r="B4081" t="s">
        <v>5</v>
      </c>
      <c r="C4081">
        <v>1168126.3966999999</v>
      </c>
      <c r="D4081" t="s">
        <v>257</v>
      </c>
      <c r="E4081">
        <v>2021</v>
      </c>
      <c r="F4081">
        <v>9</v>
      </c>
    </row>
    <row r="4082" spans="1:6" x14ac:dyDescent="0.55000000000000004">
      <c r="A4082" t="s">
        <v>131</v>
      </c>
      <c r="B4082" t="s">
        <v>6</v>
      </c>
      <c r="C4082">
        <v>1968435.4310000001</v>
      </c>
      <c r="D4082" t="s">
        <v>257</v>
      </c>
      <c r="E4082">
        <v>2021</v>
      </c>
      <c r="F4082">
        <v>9</v>
      </c>
    </row>
    <row r="4083" spans="1:6" x14ac:dyDescent="0.55000000000000004">
      <c r="A4083" t="s">
        <v>131</v>
      </c>
      <c r="B4083" t="s">
        <v>7</v>
      </c>
      <c r="C4083">
        <v>3293494.9190000002</v>
      </c>
      <c r="D4083" t="s">
        <v>257</v>
      </c>
      <c r="E4083">
        <v>2021</v>
      </c>
      <c r="F4083">
        <v>9</v>
      </c>
    </row>
    <row r="4084" spans="1:6" x14ac:dyDescent="0.55000000000000004">
      <c r="A4084" t="s">
        <v>131</v>
      </c>
      <c r="B4084" t="s">
        <v>8</v>
      </c>
      <c r="C4084">
        <v>3957078.2905000001</v>
      </c>
      <c r="D4084" t="s">
        <v>257</v>
      </c>
      <c r="E4084">
        <v>2021</v>
      </c>
      <c r="F4084">
        <v>9</v>
      </c>
    </row>
    <row r="4085" spans="1:6" x14ac:dyDescent="0.55000000000000004">
      <c r="A4085" t="s">
        <v>131</v>
      </c>
      <c r="B4085" t="s">
        <v>9</v>
      </c>
      <c r="C4085">
        <v>2781.1637999999998</v>
      </c>
      <c r="D4085" t="s">
        <v>257</v>
      </c>
      <c r="E4085">
        <v>2021</v>
      </c>
      <c r="F4085">
        <v>9</v>
      </c>
    </row>
    <row r="4086" spans="1:6" x14ac:dyDescent="0.55000000000000004">
      <c r="A4086" t="s">
        <v>131</v>
      </c>
      <c r="B4086" t="s">
        <v>10</v>
      </c>
      <c r="C4086">
        <v>3008.3667</v>
      </c>
      <c r="D4086" t="s">
        <v>257</v>
      </c>
      <c r="E4086">
        <v>2021</v>
      </c>
      <c r="F4086">
        <v>9</v>
      </c>
    </row>
    <row r="4087" spans="1:6" x14ac:dyDescent="0.55000000000000004">
      <c r="A4087" t="s">
        <v>131</v>
      </c>
      <c r="B4087" t="s">
        <v>11</v>
      </c>
      <c r="C4087">
        <v>3291463.0134999999</v>
      </c>
      <c r="D4087" t="s">
        <v>257</v>
      </c>
      <c r="E4087">
        <v>2021</v>
      </c>
      <c r="F4087">
        <v>9</v>
      </c>
    </row>
    <row r="4088" spans="1:6" x14ac:dyDescent="0.55000000000000004">
      <c r="A4088" t="s">
        <v>131</v>
      </c>
      <c r="B4088" t="s">
        <v>12</v>
      </c>
      <c r="C4088">
        <v>4152</v>
      </c>
      <c r="D4088" t="s">
        <v>257</v>
      </c>
      <c r="E4088">
        <v>2021</v>
      </c>
      <c r="F4088">
        <v>9</v>
      </c>
    </row>
    <row r="4089" spans="1:6" x14ac:dyDescent="0.55000000000000004">
      <c r="A4089" t="s">
        <v>131</v>
      </c>
      <c r="B4089" t="s">
        <v>13</v>
      </c>
      <c r="C4089">
        <v>17235.216700000001</v>
      </c>
      <c r="D4089" t="s">
        <v>257</v>
      </c>
      <c r="E4089">
        <v>2021</v>
      </c>
      <c r="F4089">
        <v>9</v>
      </c>
    </row>
    <row r="4090" spans="1:6" x14ac:dyDescent="0.55000000000000004">
      <c r="A4090" t="s">
        <v>131</v>
      </c>
      <c r="B4090" t="s">
        <v>14</v>
      </c>
      <c r="C4090">
        <v>900</v>
      </c>
      <c r="D4090" t="s">
        <v>257</v>
      </c>
      <c r="E4090">
        <v>2021</v>
      </c>
      <c r="F4090">
        <v>9</v>
      </c>
    </row>
    <row r="4091" spans="1:6" x14ac:dyDescent="0.55000000000000004">
      <c r="A4091" t="s">
        <v>131</v>
      </c>
      <c r="B4091" t="s">
        <v>15</v>
      </c>
      <c r="C4091">
        <v>1096716.4743999999</v>
      </c>
      <c r="D4091" t="s">
        <v>257</v>
      </c>
      <c r="E4091">
        <v>2021</v>
      </c>
      <c r="F4091">
        <v>9</v>
      </c>
    </row>
    <row r="4092" spans="1:6" x14ac:dyDescent="0.55000000000000004">
      <c r="A4092" t="s">
        <v>131</v>
      </c>
      <c r="B4092" t="s">
        <v>16</v>
      </c>
      <c r="C4092">
        <v>7.0609999999999999</v>
      </c>
      <c r="D4092" t="s">
        <v>257</v>
      </c>
      <c r="E4092">
        <v>2021</v>
      </c>
      <c r="F4092">
        <v>9</v>
      </c>
    </row>
    <row r="4093" spans="1:6" x14ac:dyDescent="0.55000000000000004">
      <c r="A4093" t="s">
        <v>131</v>
      </c>
      <c r="B4093" t="s">
        <v>17</v>
      </c>
      <c r="C4093">
        <v>87635.164099999995</v>
      </c>
      <c r="D4093" t="s">
        <v>257</v>
      </c>
      <c r="E4093">
        <v>2021</v>
      </c>
      <c r="F4093">
        <v>9</v>
      </c>
    </row>
    <row r="4094" spans="1:6" x14ac:dyDescent="0.55000000000000004">
      <c r="A4094" t="s">
        <v>131</v>
      </c>
      <c r="B4094" t="s">
        <v>18</v>
      </c>
      <c r="C4094">
        <v>52530.002</v>
      </c>
      <c r="D4094" t="s">
        <v>257</v>
      </c>
      <c r="E4094">
        <v>2021</v>
      </c>
      <c r="F4094">
        <v>9</v>
      </c>
    </row>
    <row r="4095" spans="1:6" x14ac:dyDescent="0.55000000000000004">
      <c r="A4095" t="s">
        <v>131</v>
      </c>
      <c r="B4095" t="s">
        <v>19</v>
      </c>
      <c r="C4095">
        <v>2053.4454000000001</v>
      </c>
      <c r="D4095" t="s">
        <v>257</v>
      </c>
      <c r="E4095">
        <v>2021</v>
      </c>
      <c r="F4095">
        <v>9</v>
      </c>
    </row>
    <row r="4096" spans="1:6" x14ac:dyDescent="0.55000000000000004">
      <c r="A4096" t="s">
        <v>131</v>
      </c>
      <c r="B4096" t="s">
        <v>20</v>
      </c>
      <c r="C4096">
        <v>16000</v>
      </c>
      <c r="D4096" t="s">
        <v>257</v>
      </c>
      <c r="E4096">
        <v>2021</v>
      </c>
      <c r="F4096">
        <v>9</v>
      </c>
    </row>
    <row r="4097" spans="1:6" x14ac:dyDescent="0.55000000000000004">
      <c r="A4097" t="s">
        <v>131</v>
      </c>
      <c r="B4097" t="s">
        <v>21</v>
      </c>
      <c r="C4097">
        <v>3554.5841</v>
      </c>
      <c r="D4097" t="s">
        <v>257</v>
      </c>
      <c r="E4097">
        <v>2021</v>
      </c>
      <c r="F4097">
        <v>9</v>
      </c>
    </row>
    <row r="4098" spans="1:6" x14ac:dyDescent="0.55000000000000004">
      <c r="A4098" t="s">
        <v>131</v>
      </c>
      <c r="B4098" t="s">
        <v>22</v>
      </c>
      <c r="C4098">
        <v>34494.5942</v>
      </c>
      <c r="D4098" t="s">
        <v>257</v>
      </c>
      <c r="E4098">
        <v>2021</v>
      </c>
      <c r="F4098">
        <v>9</v>
      </c>
    </row>
    <row r="4099" spans="1:6" x14ac:dyDescent="0.55000000000000004">
      <c r="A4099" t="s">
        <v>131</v>
      </c>
      <c r="B4099" t="s">
        <v>23</v>
      </c>
      <c r="C4099">
        <v>20780.571499999998</v>
      </c>
      <c r="D4099" t="s">
        <v>257</v>
      </c>
      <c r="E4099">
        <v>2021</v>
      </c>
      <c r="F4099">
        <v>9</v>
      </c>
    </row>
    <row r="4100" spans="1:6" x14ac:dyDescent="0.55000000000000004">
      <c r="A4100" t="s">
        <v>131</v>
      </c>
      <c r="B4100" t="s">
        <v>24</v>
      </c>
      <c r="C4100">
        <v>0</v>
      </c>
      <c r="D4100" t="s">
        <v>257</v>
      </c>
      <c r="E4100">
        <v>2021</v>
      </c>
      <c r="F4100">
        <v>9</v>
      </c>
    </row>
    <row r="4101" spans="1:6" x14ac:dyDescent="0.55000000000000004">
      <c r="A4101" t="s">
        <v>131</v>
      </c>
      <c r="B4101" t="s">
        <v>25</v>
      </c>
      <c r="C4101">
        <v>415359.71669999999</v>
      </c>
      <c r="D4101" t="s">
        <v>257</v>
      </c>
      <c r="E4101">
        <v>2021</v>
      </c>
      <c r="F4101">
        <v>9</v>
      </c>
    </row>
    <row r="4102" spans="1:6" x14ac:dyDescent="0.55000000000000004">
      <c r="A4102" t="s">
        <v>131</v>
      </c>
      <c r="B4102" t="s">
        <v>26</v>
      </c>
      <c r="C4102">
        <v>0</v>
      </c>
      <c r="D4102" t="s">
        <v>257</v>
      </c>
      <c r="E4102">
        <v>2021</v>
      </c>
      <c r="F4102">
        <v>9</v>
      </c>
    </row>
    <row r="4103" spans="1:6" x14ac:dyDescent="0.55000000000000004">
      <c r="A4103" t="s">
        <v>131</v>
      </c>
      <c r="B4103" t="s">
        <v>27</v>
      </c>
      <c r="C4103">
        <v>465.7987</v>
      </c>
      <c r="D4103" t="s">
        <v>257</v>
      </c>
      <c r="E4103">
        <v>2021</v>
      </c>
      <c r="F4103">
        <v>9</v>
      </c>
    </row>
    <row r="4104" spans="1:6" x14ac:dyDescent="0.55000000000000004">
      <c r="A4104" t="s">
        <v>131</v>
      </c>
      <c r="B4104" t="s">
        <v>28</v>
      </c>
      <c r="C4104">
        <v>295833.88370000001</v>
      </c>
      <c r="D4104" t="s">
        <v>257</v>
      </c>
      <c r="E4104">
        <v>2021</v>
      </c>
      <c r="F4104">
        <v>9</v>
      </c>
    </row>
    <row r="4105" spans="1:6" x14ac:dyDescent="0.55000000000000004">
      <c r="A4105" t="s">
        <v>131</v>
      </c>
      <c r="B4105" t="s">
        <v>29</v>
      </c>
      <c r="C4105">
        <v>0</v>
      </c>
      <c r="D4105" t="s">
        <v>257</v>
      </c>
      <c r="E4105">
        <v>2021</v>
      </c>
      <c r="F4105">
        <v>9</v>
      </c>
    </row>
    <row r="4106" spans="1:6" x14ac:dyDescent="0.55000000000000004">
      <c r="A4106" t="s">
        <v>131</v>
      </c>
      <c r="B4106" t="s">
        <v>30</v>
      </c>
      <c r="C4106">
        <v>0</v>
      </c>
      <c r="D4106" t="s">
        <v>257</v>
      </c>
      <c r="E4106">
        <v>2021</v>
      </c>
      <c r="F4106">
        <v>9</v>
      </c>
    </row>
    <row r="4107" spans="1:6" x14ac:dyDescent="0.55000000000000004">
      <c r="A4107" t="s">
        <v>131</v>
      </c>
      <c r="B4107" t="s">
        <v>31</v>
      </c>
      <c r="C4107">
        <v>40</v>
      </c>
      <c r="D4107" t="s">
        <v>257</v>
      </c>
      <c r="E4107">
        <v>2021</v>
      </c>
      <c r="F4107">
        <v>9</v>
      </c>
    </row>
    <row r="4108" spans="1:6" x14ac:dyDescent="0.55000000000000004">
      <c r="A4108" t="s">
        <v>131</v>
      </c>
      <c r="B4108" t="s">
        <v>32</v>
      </c>
      <c r="C4108">
        <v>235050.15599999999</v>
      </c>
      <c r="D4108" t="s">
        <v>257</v>
      </c>
      <c r="E4108">
        <v>2021</v>
      </c>
      <c r="F4108">
        <v>9</v>
      </c>
    </row>
    <row r="4109" spans="1:6" x14ac:dyDescent="0.55000000000000004">
      <c r="A4109" t="s">
        <v>131</v>
      </c>
      <c r="B4109" t="s">
        <v>33</v>
      </c>
      <c r="C4109">
        <v>637563.6997</v>
      </c>
      <c r="D4109" t="s">
        <v>257</v>
      </c>
      <c r="E4109">
        <v>2021</v>
      </c>
      <c r="F4109">
        <v>9</v>
      </c>
    </row>
    <row r="4110" spans="1:6" x14ac:dyDescent="0.55000000000000004">
      <c r="A4110" t="s">
        <v>131</v>
      </c>
      <c r="B4110" t="s">
        <v>34</v>
      </c>
      <c r="C4110">
        <v>726229.77529999998</v>
      </c>
      <c r="D4110" t="s">
        <v>257</v>
      </c>
      <c r="E4110">
        <v>2021</v>
      </c>
      <c r="F4110">
        <v>9</v>
      </c>
    </row>
    <row r="4111" spans="1:6" x14ac:dyDescent="0.55000000000000004">
      <c r="A4111" t="s">
        <v>131</v>
      </c>
      <c r="B4111" t="s">
        <v>35</v>
      </c>
      <c r="C4111">
        <v>2030.1532</v>
      </c>
      <c r="D4111" t="s">
        <v>257</v>
      </c>
      <c r="E4111">
        <v>2021</v>
      </c>
      <c r="F4111">
        <v>9</v>
      </c>
    </row>
    <row r="4112" spans="1:6" x14ac:dyDescent="0.55000000000000004">
      <c r="A4112" t="s">
        <v>131</v>
      </c>
      <c r="B4112" t="s">
        <v>36</v>
      </c>
      <c r="C4112">
        <v>51544.092299999997</v>
      </c>
      <c r="D4112" t="s">
        <v>257</v>
      </c>
      <c r="E4112">
        <v>2021</v>
      </c>
      <c r="F4112">
        <v>9</v>
      </c>
    </row>
    <row r="4113" spans="1:6" x14ac:dyDescent="0.55000000000000004">
      <c r="A4113" t="s">
        <v>131</v>
      </c>
      <c r="B4113" t="s">
        <v>37</v>
      </c>
      <c r="C4113">
        <v>25599.9967</v>
      </c>
      <c r="D4113" t="s">
        <v>257</v>
      </c>
      <c r="E4113">
        <v>2021</v>
      </c>
      <c r="F4113">
        <v>9</v>
      </c>
    </row>
    <row r="4114" spans="1:6" x14ac:dyDescent="0.55000000000000004">
      <c r="A4114" t="s">
        <v>131</v>
      </c>
      <c r="B4114" t="s">
        <v>38</v>
      </c>
      <c r="C4114">
        <v>0</v>
      </c>
      <c r="D4114" t="s">
        <v>257</v>
      </c>
      <c r="E4114">
        <v>2021</v>
      </c>
      <c r="F4114">
        <v>9</v>
      </c>
    </row>
    <row r="4115" spans="1:6" x14ac:dyDescent="0.55000000000000004">
      <c r="A4115" t="s">
        <v>131</v>
      </c>
      <c r="B4115" t="s">
        <v>39</v>
      </c>
      <c r="C4115">
        <v>0</v>
      </c>
      <c r="D4115" t="s">
        <v>257</v>
      </c>
      <c r="E4115">
        <v>2021</v>
      </c>
      <c r="F4115">
        <v>9</v>
      </c>
    </row>
    <row r="4116" spans="1:6" x14ac:dyDescent="0.55000000000000004">
      <c r="A4116" t="s">
        <v>131</v>
      </c>
      <c r="B4116" t="s">
        <v>40</v>
      </c>
      <c r="C4116">
        <v>2181.9917999999998</v>
      </c>
      <c r="D4116" t="s">
        <v>257</v>
      </c>
      <c r="E4116">
        <v>2021</v>
      </c>
      <c r="F4116">
        <v>9</v>
      </c>
    </row>
    <row r="4117" spans="1:6" x14ac:dyDescent="0.55000000000000004">
      <c r="A4117" t="s">
        <v>131</v>
      </c>
      <c r="B4117" t="s">
        <v>41</v>
      </c>
      <c r="C4117">
        <v>189919.93979999999</v>
      </c>
      <c r="D4117" t="s">
        <v>257</v>
      </c>
      <c r="E4117">
        <v>2021</v>
      </c>
      <c r="F4117">
        <v>9</v>
      </c>
    </row>
    <row r="4118" spans="1:6" x14ac:dyDescent="0.55000000000000004">
      <c r="A4118" t="s">
        <v>131</v>
      </c>
      <c r="B4118" t="s">
        <v>42</v>
      </c>
      <c r="C4118">
        <v>217.6397</v>
      </c>
      <c r="D4118" t="s">
        <v>257</v>
      </c>
      <c r="E4118">
        <v>2021</v>
      </c>
      <c r="F4118">
        <v>9</v>
      </c>
    </row>
    <row r="4119" spans="1:6" x14ac:dyDescent="0.55000000000000004">
      <c r="A4119" t="s">
        <v>131</v>
      </c>
      <c r="B4119" t="s">
        <v>43</v>
      </c>
      <c r="C4119">
        <v>86683.889200000005</v>
      </c>
      <c r="D4119" t="s">
        <v>257</v>
      </c>
      <c r="E4119">
        <v>2021</v>
      </c>
      <c r="F4119">
        <v>9</v>
      </c>
    </row>
    <row r="4120" spans="1:6" x14ac:dyDescent="0.55000000000000004">
      <c r="A4120" t="s">
        <v>131</v>
      </c>
      <c r="B4120" t="s">
        <v>44</v>
      </c>
      <c r="C4120">
        <v>0</v>
      </c>
      <c r="D4120" t="s">
        <v>257</v>
      </c>
      <c r="E4120">
        <v>2021</v>
      </c>
      <c r="F4120">
        <v>9</v>
      </c>
    </row>
    <row r="4121" spans="1:6" x14ac:dyDescent="0.55000000000000004">
      <c r="A4121" t="s">
        <v>131</v>
      </c>
      <c r="B4121" t="s">
        <v>45</v>
      </c>
      <c r="C4121">
        <v>3551.9751999999999</v>
      </c>
      <c r="D4121" t="s">
        <v>257</v>
      </c>
      <c r="E4121">
        <v>2021</v>
      </c>
      <c r="F4121">
        <v>9</v>
      </c>
    </row>
    <row r="4122" spans="1:6" x14ac:dyDescent="0.55000000000000004">
      <c r="A4122" t="s">
        <v>131</v>
      </c>
      <c r="B4122" t="s">
        <v>46</v>
      </c>
      <c r="C4122">
        <v>143801.071</v>
      </c>
      <c r="D4122" t="s">
        <v>257</v>
      </c>
      <c r="E4122">
        <v>2021</v>
      </c>
      <c r="F4122">
        <v>9</v>
      </c>
    </row>
    <row r="4123" spans="1:6" x14ac:dyDescent="0.55000000000000004">
      <c r="A4123" t="s">
        <v>131</v>
      </c>
      <c r="B4123" t="s">
        <v>47</v>
      </c>
      <c r="C4123">
        <v>0</v>
      </c>
      <c r="D4123" t="s">
        <v>257</v>
      </c>
      <c r="E4123">
        <v>2021</v>
      </c>
      <c r="F4123">
        <v>9</v>
      </c>
    </row>
    <row r="4124" spans="1:6" x14ac:dyDescent="0.55000000000000004">
      <c r="A4124" t="s">
        <v>131</v>
      </c>
      <c r="B4124" t="s">
        <v>48</v>
      </c>
      <c r="C4124">
        <v>497486.69620000001</v>
      </c>
      <c r="D4124" t="s">
        <v>257</v>
      </c>
      <c r="E4124">
        <v>2021</v>
      </c>
      <c r="F4124">
        <v>9</v>
      </c>
    </row>
    <row r="4125" spans="1:6" x14ac:dyDescent="0.55000000000000004">
      <c r="A4125" t="s">
        <v>131</v>
      </c>
      <c r="B4125" t="s">
        <v>49</v>
      </c>
      <c r="C4125">
        <v>147.59200000000001</v>
      </c>
      <c r="D4125" t="s">
        <v>257</v>
      </c>
      <c r="E4125">
        <v>2021</v>
      </c>
      <c r="F4125">
        <v>9</v>
      </c>
    </row>
    <row r="4126" spans="1:6" x14ac:dyDescent="0.55000000000000004">
      <c r="A4126" t="s">
        <v>131</v>
      </c>
      <c r="B4126" t="s">
        <v>50</v>
      </c>
      <c r="C4126">
        <v>21838.688300000002</v>
      </c>
      <c r="D4126" t="s">
        <v>257</v>
      </c>
      <c r="E4126">
        <v>2021</v>
      </c>
      <c r="F4126">
        <v>9</v>
      </c>
    </row>
    <row r="4127" spans="1:6" x14ac:dyDescent="0.55000000000000004">
      <c r="A4127" t="s">
        <v>131</v>
      </c>
      <c r="B4127" t="s">
        <v>51</v>
      </c>
      <c r="C4127">
        <v>3000</v>
      </c>
      <c r="D4127" t="s">
        <v>257</v>
      </c>
      <c r="E4127">
        <v>2021</v>
      </c>
      <c r="F4127">
        <v>9</v>
      </c>
    </row>
    <row r="4128" spans="1:6" x14ac:dyDescent="0.55000000000000004">
      <c r="A4128" t="s">
        <v>131</v>
      </c>
      <c r="B4128" t="s">
        <v>52</v>
      </c>
      <c r="C4128">
        <v>133.04929999999999</v>
      </c>
      <c r="D4128" t="s">
        <v>257</v>
      </c>
      <c r="E4128">
        <v>2021</v>
      </c>
      <c r="F4128">
        <v>9</v>
      </c>
    </row>
    <row r="4129" spans="1:6" x14ac:dyDescent="0.55000000000000004">
      <c r="A4129" t="s">
        <v>131</v>
      </c>
      <c r="B4129" t="s">
        <v>53</v>
      </c>
      <c r="C4129">
        <v>58618.16</v>
      </c>
      <c r="D4129" t="s">
        <v>257</v>
      </c>
      <c r="E4129">
        <v>2021</v>
      </c>
      <c r="F4129">
        <v>9</v>
      </c>
    </row>
    <row r="4130" spans="1:6" x14ac:dyDescent="0.55000000000000004">
      <c r="A4130" t="s">
        <v>131</v>
      </c>
      <c r="B4130" t="s">
        <v>54</v>
      </c>
      <c r="C4130">
        <v>22835.314600000002</v>
      </c>
      <c r="D4130" t="s">
        <v>257</v>
      </c>
      <c r="E4130">
        <v>2021</v>
      </c>
      <c r="F4130">
        <v>9</v>
      </c>
    </row>
    <row r="4131" spans="1:6" x14ac:dyDescent="0.55000000000000004">
      <c r="A4131" t="s">
        <v>131</v>
      </c>
      <c r="B4131" t="s">
        <v>55</v>
      </c>
      <c r="C4131">
        <v>17528</v>
      </c>
      <c r="D4131" t="s">
        <v>257</v>
      </c>
      <c r="E4131">
        <v>2021</v>
      </c>
      <c r="F4131">
        <v>9</v>
      </c>
    </row>
    <row r="4132" spans="1:6" x14ac:dyDescent="0.55000000000000004">
      <c r="A4132" t="s">
        <v>131</v>
      </c>
      <c r="B4132" t="s">
        <v>56</v>
      </c>
      <c r="C4132">
        <v>1666.6667</v>
      </c>
      <c r="D4132" t="s">
        <v>257</v>
      </c>
      <c r="E4132">
        <v>2021</v>
      </c>
      <c r="F4132">
        <v>9</v>
      </c>
    </row>
    <row r="4133" spans="1:6" x14ac:dyDescent="0.55000000000000004">
      <c r="A4133" t="s">
        <v>131</v>
      </c>
      <c r="B4133" t="s">
        <v>57</v>
      </c>
      <c r="C4133">
        <v>264.54590000000002</v>
      </c>
      <c r="D4133" t="s">
        <v>257</v>
      </c>
      <c r="E4133">
        <v>2021</v>
      </c>
      <c r="F4133">
        <v>9</v>
      </c>
    </row>
    <row r="4134" spans="1:6" x14ac:dyDescent="0.55000000000000004">
      <c r="A4134" t="s">
        <v>131</v>
      </c>
      <c r="B4134" t="s">
        <v>58</v>
      </c>
      <c r="C4134">
        <v>585578</v>
      </c>
      <c r="D4134" t="s">
        <v>257</v>
      </c>
      <c r="E4134">
        <v>2021</v>
      </c>
      <c r="F4134">
        <v>9</v>
      </c>
    </row>
    <row r="4135" spans="1:6" x14ac:dyDescent="0.55000000000000004">
      <c r="A4135" t="s">
        <v>131</v>
      </c>
      <c r="B4135" t="s">
        <v>59</v>
      </c>
      <c r="C4135">
        <v>700</v>
      </c>
      <c r="D4135" t="s">
        <v>257</v>
      </c>
      <c r="E4135">
        <v>2021</v>
      </c>
      <c r="F4135">
        <v>9</v>
      </c>
    </row>
    <row r="4136" spans="1:6" x14ac:dyDescent="0.55000000000000004">
      <c r="A4136" t="s">
        <v>131</v>
      </c>
      <c r="B4136" t="s">
        <v>60</v>
      </c>
      <c r="C4136">
        <v>1717648.9405</v>
      </c>
      <c r="D4136" t="s">
        <v>257</v>
      </c>
      <c r="E4136">
        <v>2021</v>
      </c>
      <c r="F4136">
        <v>9</v>
      </c>
    </row>
    <row r="4137" spans="1:6" x14ac:dyDescent="0.55000000000000004">
      <c r="A4137" t="s">
        <v>131</v>
      </c>
      <c r="B4137" t="s">
        <v>61</v>
      </c>
      <c r="C4137">
        <v>5919.9952999999996</v>
      </c>
      <c r="D4137" t="s">
        <v>257</v>
      </c>
      <c r="E4137">
        <v>2021</v>
      </c>
      <c r="F4137">
        <v>9</v>
      </c>
    </row>
    <row r="4138" spans="1:6" x14ac:dyDescent="0.55000000000000004">
      <c r="A4138" t="s">
        <v>131</v>
      </c>
      <c r="B4138" t="s">
        <v>62</v>
      </c>
      <c r="C4138">
        <v>4383</v>
      </c>
      <c r="D4138" t="s">
        <v>257</v>
      </c>
      <c r="E4138">
        <v>2021</v>
      </c>
      <c r="F4138">
        <v>9</v>
      </c>
    </row>
    <row r="4139" spans="1:6" x14ac:dyDescent="0.55000000000000004">
      <c r="A4139" t="s">
        <v>131</v>
      </c>
      <c r="B4139" t="s">
        <v>63</v>
      </c>
      <c r="C4139">
        <v>0.95199999999999996</v>
      </c>
      <c r="D4139" t="s">
        <v>257</v>
      </c>
      <c r="E4139">
        <v>2021</v>
      </c>
      <c r="F4139">
        <v>9</v>
      </c>
    </row>
    <row r="4140" spans="1:6" x14ac:dyDescent="0.55000000000000004">
      <c r="A4140" t="s">
        <v>132</v>
      </c>
      <c r="B4140" t="s">
        <v>4</v>
      </c>
      <c r="C4140">
        <v>9741322.9992999993</v>
      </c>
      <c r="D4140" t="s">
        <v>258</v>
      </c>
      <c r="E4140">
        <v>2021</v>
      </c>
      <c r="F4140">
        <v>10</v>
      </c>
    </row>
    <row r="4141" spans="1:6" x14ac:dyDescent="0.55000000000000004">
      <c r="A4141" t="s">
        <v>132</v>
      </c>
      <c r="B4141" t="s">
        <v>5</v>
      </c>
      <c r="C4141">
        <v>1060885.3356999999</v>
      </c>
      <c r="D4141" t="s">
        <v>258</v>
      </c>
      <c r="E4141">
        <v>2021</v>
      </c>
      <c r="F4141">
        <v>10</v>
      </c>
    </row>
    <row r="4142" spans="1:6" x14ac:dyDescent="0.55000000000000004">
      <c r="A4142" t="s">
        <v>132</v>
      </c>
      <c r="B4142" t="s">
        <v>6</v>
      </c>
      <c r="C4142">
        <v>1580714.5089</v>
      </c>
      <c r="D4142" t="s">
        <v>258</v>
      </c>
      <c r="E4142">
        <v>2021</v>
      </c>
      <c r="F4142">
        <v>10</v>
      </c>
    </row>
    <row r="4143" spans="1:6" x14ac:dyDescent="0.55000000000000004">
      <c r="A4143" t="s">
        <v>132</v>
      </c>
      <c r="B4143" t="s">
        <v>7</v>
      </c>
      <c r="C4143">
        <v>3533600.1883</v>
      </c>
      <c r="D4143" t="s">
        <v>258</v>
      </c>
      <c r="E4143">
        <v>2021</v>
      </c>
      <c r="F4143">
        <v>10</v>
      </c>
    </row>
    <row r="4144" spans="1:6" x14ac:dyDescent="0.55000000000000004">
      <c r="A4144" t="s">
        <v>132</v>
      </c>
      <c r="B4144" t="s">
        <v>8</v>
      </c>
      <c r="C4144">
        <v>3566122.9663999998</v>
      </c>
      <c r="D4144" t="s">
        <v>258</v>
      </c>
      <c r="E4144">
        <v>2021</v>
      </c>
      <c r="F4144">
        <v>10</v>
      </c>
    </row>
    <row r="4145" spans="1:6" x14ac:dyDescent="0.55000000000000004">
      <c r="A4145" t="s">
        <v>132</v>
      </c>
      <c r="B4145" t="s">
        <v>9</v>
      </c>
      <c r="C4145">
        <v>3056.5509000000002</v>
      </c>
      <c r="D4145" t="s">
        <v>258</v>
      </c>
      <c r="E4145">
        <v>2021</v>
      </c>
      <c r="F4145">
        <v>10</v>
      </c>
    </row>
    <row r="4146" spans="1:6" x14ac:dyDescent="0.55000000000000004">
      <c r="A4146" t="s">
        <v>132</v>
      </c>
      <c r="B4146" t="s">
        <v>10</v>
      </c>
      <c r="C4146">
        <v>1833.85</v>
      </c>
      <c r="D4146" t="s">
        <v>258</v>
      </c>
      <c r="E4146">
        <v>2021</v>
      </c>
      <c r="F4146">
        <v>10</v>
      </c>
    </row>
    <row r="4147" spans="1:6" x14ac:dyDescent="0.55000000000000004">
      <c r="A4147" t="s">
        <v>132</v>
      </c>
      <c r="B4147" t="s">
        <v>11</v>
      </c>
      <c r="C4147">
        <v>3289593.2513000001</v>
      </c>
      <c r="D4147" t="s">
        <v>258</v>
      </c>
      <c r="E4147">
        <v>2021</v>
      </c>
      <c r="F4147">
        <v>10</v>
      </c>
    </row>
    <row r="4148" spans="1:6" x14ac:dyDescent="0.55000000000000004">
      <c r="A4148" t="s">
        <v>132</v>
      </c>
      <c r="B4148" t="s">
        <v>12</v>
      </c>
      <c r="C4148">
        <v>15398.9167</v>
      </c>
      <c r="D4148" t="s">
        <v>258</v>
      </c>
      <c r="E4148">
        <v>2021</v>
      </c>
      <c r="F4148">
        <v>10</v>
      </c>
    </row>
    <row r="4149" spans="1:6" x14ac:dyDescent="0.55000000000000004">
      <c r="A4149" t="s">
        <v>132</v>
      </c>
      <c r="B4149" t="s">
        <v>13</v>
      </c>
      <c r="C4149">
        <v>14100</v>
      </c>
      <c r="D4149" t="s">
        <v>258</v>
      </c>
      <c r="E4149">
        <v>2021</v>
      </c>
      <c r="F4149">
        <v>10</v>
      </c>
    </row>
    <row r="4150" spans="1:6" x14ac:dyDescent="0.55000000000000004">
      <c r="A4150" t="s">
        <v>132</v>
      </c>
      <c r="B4150" t="s">
        <v>14</v>
      </c>
      <c r="C4150">
        <v>900</v>
      </c>
      <c r="D4150" t="s">
        <v>258</v>
      </c>
      <c r="E4150">
        <v>2021</v>
      </c>
      <c r="F4150">
        <v>10</v>
      </c>
    </row>
    <row r="4151" spans="1:6" x14ac:dyDescent="0.55000000000000004">
      <c r="A4151" t="s">
        <v>132</v>
      </c>
      <c r="B4151" t="s">
        <v>15</v>
      </c>
      <c r="C4151">
        <v>987364.82059999998</v>
      </c>
      <c r="D4151" t="s">
        <v>258</v>
      </c>
      <c r="E4151">
        <v>2021</v>
      </c>
      <c r="F4151">
        <v>10</v>
      </c>
    </row>
    <row r="4152" spans="1:6" x14ac:dyDescent="0.55000000000000004">
      <c r="A4152" t="s">
        <v>132</v>
      </c>
      <c r="B4152" t="s">
        <v>16</v>
      </c>
      <c r="C4152">
        <v>7.0609999999999999</v>
      </c>
      <c r="D4152" t="s">
        <v>258</v>
      </c>
      <c r="E4152">
        <v>2021</v>
      </c>
      <c r="F4152">
        <v>10</v>
      </c>
    </row>
    <row r="4153" spans="1:6" x14ac:dyDescent="0.55000000000000004">
      <c r="A4153" t="s">
        <v>132</v>
      </c>
      <c r="B4153" t="s">
        <v>17</v>
      </c>
      <c r="C4153">
        <v>29626.155900000002</v>
      </c>
      <c r="D4153" t="s">
        <v>258</v>
      </c>
      <c r="E4153">
        <v>2021</v>
      </c>
      <c r="F4153">
        <v>10</v>
      </c>
    </row>
    <row r="4154" spans="1:6" x14ac:dyDescent="0.55000000000000004">
      <c r="A4154" t="s">
        <v>132</v>
      </c>
      <c r="B4154" t="s">
        <v>18</v>
      </c>
      <c r="C4154">
        <v>15925.6999</v>
      </c>
      <c r="D4154" t="s">
        <v>258</v>
      </c>
      <c r="E4154">
        <v>2021</v>
      </c>
      <c r="F4154">
        <v>10</v>
      </c>
    </row>
    <row r="4155" spans="1:6" x14ac:dyDescent="0.55000000000000004">
      <c r="A4155" t="s">
        <v>132</v>
      </c>
      <c r="B4155" t="s">
        <v>19</v>
      </c>
      <c r="C4155">
        <v>2053.4454000000001</v>
      </c>
      <c r="D4155" t="s">
        <v>258</v>
      </c>
      <c r="E4155">
        <v>2021</v>
      </c>
      <c r="F4155">
        <v>10</v>
      </c>
    </row>
    <row r="4156" spans="1:6" x14ac:dyDescent="0.55000000000000004">
      <c r="A4156" t="s">
        <v>132</v>
      </c>
      <c r="B4156" t="s">
        <v>20</v>
      </c>
      <c r="C4156">
        <v>9000</v>
      </c>
      <c r="D4156" t="s">
        <v>258</v>
      </c>
      <c r="E4156">
        <v>2021</v>
      </c>
      <c r="F4156">
        <v>10</v>
      </c>
    </row>
    <row r="4157" spans="1:6" x14ac:dyDescent="0.55000000000000004">
      <c r="A4157" t="s">
        <v>132</v>
      </c>
      <c r="B4157" t="s">
        <v>21</v>
      </c>
      <c r="C4157">
        <v>9984.8040000000001</v>
      </c>
      <c r="D4157" t="s">
        <v>258</v>
      </c>
      <c r="E4157">
        <v>2021</v>
      </c>
      <c r="F4157">
        <v>10</v>
      </c>
    </row>
    <row r="4158" spans="1:6" x14ac:dyDescent="0.55000000000000004">
      <c r="A4158" t="s">
        <v>132</v>
      </c>
      <c r="B4158" t="s">
        <v>22</v>
      </c>
      <c r="C4158">
        <v>47478.66</v>
      </c>
      <c r="D4158" t="s">
        <v>258</v>
      </c>
      <c r="E4158">
        <v>2021</v>
      </c>
      <c r="F4158">
        <v>10</v>
      </c>
    </row>
    <row r="4159" spans="1:6" x14ac:dyDescent="0.55000000000000004">
      <c r="A4159" t="s">
        <v>132</v>
      </c>
      <c r="B4159" t="s">
        <v>23</v>
      </c>
      <c r="C4159">
        <v>16201.4169</v>
      </c>
      <c r="D4159" t="s">
        <v>258</v>
      </c>
      <c r="E4159">
        <v>2021</v>
      </c>
      <c r="F4159">
        <v>10</v>
      </c>
    </row>
    <row r="4160" spans="1:6" x14ac:dyDescent="0.55000000000000004">
      <c r="A4160" t="s">
        <v>132</v>
      </c>
      <c r="B4160" t="s">
        <v>24</v>
      </c>
      <c r="C4160">
        <v>0</v>
      </c>
      <c r="D4160" t="s">
        <v>258</v>
      </c>
      <c r="E4160">
        <v>2021</v>
      </c>
      <c r="F4160">
        <v>10</v>
      </c>
    </row>
    <row r="4161" spans="1:6" x14ac:dyDescent="0.55000000000000004">
      <c r="A4161" t="s">
        <v>132</v>
      </c>
      <c r="B4161" t="s">
        <v>25</v>
      </c>
      <c r="C4161">
        <v>415359.70409999997</v>
      </c>
      <c r="D4161" t="s">
        <v>258</v>
      </c>
      <c r="E4161">
        <v>2021</v>
      </c>
      <c r="F4161">
        <v>10</v>
      </c>
    </row>
    <row r="4162" spans="1:6" x14ac:dyDescent="0.55000000000000004">
      <c r="A4162" t="s">
        <v>132</v>
      </c>
      <c r="B4162" t="s">
        <v>26</v>
      </c>
      <c r="C4162">
        <v>0</v>
      </c>
      <c r="D4162" t="s">
        <v>258</v>
      </c>
      <c r="E4162">
        <v>2021</v>
      </c>
      <c r="F4162">
        <v>10</v>
      </c>
    </row>
    <row r="4163" spans="1:6" x14ac:dyDescent="0.55000000000000004">
      <c r="A4163" t="s">
        <v>132</v>
      </c>
      <c r="B4163" t="s">
        <v>27</v>
      </c>
      <c r="C4163">
        <v>50.613300000000002</v>
      </c>
      <c r="D4163" t="s">
        <v>258</v>
      </c>
      <c r="E4163">
        <v>2021</v>
      </c>
      <c r="F4163">
        <v>10</v>
      </c>
    </row>
    <row r="4164" spans="1:6" x14ac:dyDescent="0.55000000000000004">
      <c r="A4164" t="s">
        <v>132</v>
      </c>
      <c r="B4164" t="s">
        <v>28</v>
      </c>
      <c r="C4164">
        <v>129518.0949</v>
      </c>
      <c r="D4164" t="s">
        <v>258</v>
      </c>
      <c r="E4164">
        <v>2021</v>
      </c>
      <c r="F4164">
        <v>10</v>
      </c>
    </row>
    <row r="4165" spans="1:6" x14ac:dyDescent="0.55000000000000004">
      <c r="A4165" t="s">
        <v>132</v>
      </c>
      <c r="B4165" t="s">
        <v>29</v>
      </c>
      <c r="C4165">
        <v>0</v>
      </c>
      <c r="D4165" t="s">
        <v>258</v>
      </c>
      <c r="E4165">
        <v>2021</v>
      </c>
      <c r="F4165">
        <v>10</v>
      </c>
    </row>
    <row r="4166" spans="1:6" x14ac:dyDescent="0.55000000000000004">
      <c r="A4166" t="s">
        <v>132</v>
      </c>
      <c r="B4166" t="s">
        <v>30</v>
      </c>
      <c r="C4166">
        <v>191.5583</v>
      </c>
      <c r="D4166" t="s">
        <v>258</v>
      </c>
      <c r="E4166">
        <v>2021</v>
      </c>
      <c r="F4166">
        <v>10</v>
      </c>
    </row>
    <row r="4167" spans="1:6" x14ac:dyDescent="0.55000000000000004">
      <c r="A4167" t="s">
        <v>132</v>
      </c>
      <c r="B4167" t="s">
        <v>31</v>
      </c>
      <c r="C4167">
        <v>399.99990000000003</v>
      </c>
      <c r="D4167" t="s">
        <v>258</v>
      </c>
      <c r="E4167">
        <v>2021</v>
      </c>
      <c r="F4167">
        <v>10</v>
      </c>
    </row>
    <row r="4168" spans="1:6" x14ac:dyDescent="0.55000000000000004">
      <c r="A4168" t="s">
        <v>132</v>
      </c>
      <c r="B4168" t="s">
        <v>32</v>
      </c>
      <c r="C4168">
        <v>80328.259999999995</v>
      </c>
      <c r="D4168" t="s">
        <v>258</v>
      </c>
      <c r="E4168">
        <v>2021</v>
      </c>
      <c r="F4168">
        <v>10</v>
      </c>
    </row>
    <row r="4169" spans="1:6" x14ac:dyDescent="0.55000000000000004">
      <c r="A4169" t="s">
        <v>132</v>
      </c>
      <c r="B4169" t="s">
        <v>33</v>
      </c>
      <c r="C4169">
        <v>473047.63380000001</v>
      </c>
      <c r="D4169" t="s">
        <v>258</v>
      </c>
      <c r="E4169">
        <v>2021</v>
      </c>
      <c r="F4169">
        <v>10</v>
      </c>
    </row>
    <row r="4170" spans="1:6" x14ac:dyDescent="0.55000000000000004">
      <c r="A4170" t="s">
        <v>132</v>
      </c>
      <c r="B4170" t="s">
        <v>34</v>
      </c>
      <c r="C4170">
        <v>836143.2</v>
      </c>
      <c r="D4170" t="s">
        <v>258</v>
      </c>
      <c r="E4170">
        <v>2021</v>
      </c>
      <c r="F4170">
        <v>10</v>
      </c>
    </row>
    <row r="4171" spans="1:6" x14ac:dyDescent="0.55000000000000004">
      <c r="A4171" t="s">
        <v>132</v>
      </c>
      <c r="B4171" t="s">
        <v>35</v>
      </c>
      <c r="C4171">
        <v>1542.7044000000001</v>
      </c>
      <c r="D4171" t="s">
        <v>258</v>
      </c>
      <c r="E4171">
        <v>2021</v>
      </c>
      <c r="F4171">
        <v>10</v>
      </c>
    </row>
    <row r="4172" spans="1:6" x14ac:dyDescent="0.55000000000000004">
      <c r="A4172" t="s">
        <v>132</v>
      </c>
      <c r="B4172" t="s">
        <v>36</v>
      </c>
      <c r="C4172">
        <v>47432.185100000002</v>
      </c>
      <c r="D4172" t="s">
        <v>258</v>
      </c>
      <c r="E4172">
        <v>2021</v>
      </c>
      <c r="F4172">
        <v>10</v>
      </c>
    </row>
    <row r="4173" spans="1:6" x14ac:dyDescent="0.55000000000000004">
      <c r="A4173" t="s">
        <v>132</v>
      </c>
      <c r="B4173" t="s">
        <v>37</v>
      </c>
      <c r="C4173">
        <v>27999.992300000002</v>
      </c>
      <c r="D4173" t="s">
        <v>258</v>
      </c>
      <c r="E4173">
        <v>2021</v>
      </c>
      <c r="F4173">
        <v>10</v>
      </c>
    </row>
    <row r="4174" spans="1:6" x14ac:dyDescent="0.55000000000000004">
      <c r="A4174" t="s">
        <v>132</v>
      </c>
      <c r="B4174" t="s">
        <v>38</v>
      </c>
      <c r="C4174">
        <v>0</v>
      </c>
      <c r="D4174" t="s">
        <v>258</v>
      </c>
      <c r="E4174">
        <v>2021</v>
      </c>
      <c r="F4174">
        <v>10</v>
      </c>
    </row>
    <row r="4175" spans="1:6" x14ac:dyDescent="0.55000000000000004">
      <c r="A4175" t="s">
        <v>132</v>
      </c>
      <c r="B4175" t="s">
        <v>39</v>
      </c>
      <c r="C4175">
        <v>2.9762</v>
      </c>
      <c r="D4175" t="s">
        <v>258</v>
      </c>
      <c r="E4175">
        <v>2021</v>
      </c>
      <c r="F4175">
        <v>10</v>
      </c>
    </row>
    <row r="4176" spans="1:6" x14ac:dyDescent="0.55000000000000004">
      <c r="A4176" t="s">
        <v>132</v>
      </c>
      <c r="B4176" t="s">
        <v>40</v>
      </c>
      <c r="C4176">
        <v>1402.55</v>
      </c>
      <c r="D4176" t="s">
        <v>258</v>
      </c>
      <c r="E4176">
        <v>2021</v>
      </c>
      <c r="F4176">
        <v>10</v>
      </c>
    </row>
    <row r="4177" spans="1:6" x14ac:dyDescent="0.55000000000000004">
      <c r="A4177" t="s">
        <v>132</v>
      </c>
      <c r="B4177" t="s">
        <v>41</v>
      </c>
      <c r="C4177">
        <v>227852.68669999999</v>
      </c>
      <c r="D4177" t="s">
        <v>258</v>
      </c>
      <c r="E4177">
        <v>2021</v>
      </c>
      <c r="F4177">
        <v>10</v>
      </c>
    </row>
    <row r="4178" spans="1:6" x14ac:dyDescent="0.55000000000000004">
      <c r="A4178" t="s">
        <v>132</v>
      </c>
      <c r="B4178" t="s">
        <v>42</v>
      </c>
      <c r="C4178">
        <v>28</v>
      </c>
      <c r="D4178" t="s">
        <v>258</v>
      </c>
      <c r="E4178">
        <v>2021</v>
      </c>
      <c r="F4178">
        <v>10</v>
      </c>
    </row>
    <row r="4179" spans="1:6" x14ac:dyDescent="0.55000000000000004">
      <c r="A4179" t="s">
        <v>132</v>
      </c>
      <c r="B4179" t="s">
        <v>43</v>
      </c>
      <c r="C4179">
        <v>74488.598199999993</v>
      </c>
      <c r="D4179" t="s">
        <v>258</v>
      </c>
      <c r="E4179">
        <v>2021</v>
      </c>
      <c r="F4179">
        <v>10</v>
      </c>
    </row>
    <row r="4180" spans="1:6" x14ac:dyDescent="0.55000000000000004">
      <c r="A4180" t="s">
        <v>132</v>
      </c>
      <c r="B4180" t="s">
        <v>44</v>
      </c>
      <c r="C4180">
        <v>0</v>
      </c>
      <c r="D4180" t="s">
        <v>258</v>
      </c>
      <c r="E4180">
        <v>2021</v>
      </c>
      <c r="F4180">
        <v>10</v>
      </c>
    </row>
    <row r="4181" spans="1:6" x14ac:dyDescent="0.55000000000000004">
      <c r="A4181" t="s">
        <v>132</v>
      </c>
      <c r="B4181" t="s">
        <v>45</v>
      </c>
      <c r="C4181">
        <v>3131.7712999999999</v>
      </c>
      <c r="D4181" t="s">
        <v>258</v>
      </c>
      <c r="E4181">
        <v>2021</v>
      </c>
      <c r="F4181">
        <v>10</v>
      </c>
    </row>
    <row r="4182" spans="1:6" x14ac:dyDescent="0.55000000000000004">
      <c r="A4182" t="s">
        <v>132</v>
      </c>
      <c r="B4182" t="s">
        <v>46</v>
      </c>
      <c r="C4182">
        <v>81159.666700000002</v>
      </c>
      <c r="D4182" t="s">
        <v>258</v>
      </c>
      <c r="E4182">
        <v>2021</v>
      </c>
      <c r="F4182">
        <v>10</v>
      </c>
    </row>
    <row r="4183" spans="1:6" x14ac:dyDescent="0.55000000000000004">
      <c r="A4183" t="s">
        <v>132</v>
      </c>
      <c r="B4183" t="s">
        <v>47</v>
      </c>
      <c r="C4183">
        <v>0.41670000000000001</v>
      </c>
      <c r="D4183" t="s">
        <v>258</v>
      </c>
      <c r="E4183">
        <v>2021</v>
      </c>
      <c r="F4183">
        <v>10</v>
      </c>
    </row>
    <row r="4184" spans="1:6" x14ac:dyDescent="0.55000000000000004">
      <c r="A4184" t="s">
        <v>132</v>
      </c>
      <c r="B4184" t="s">
        <v>48</v>
      </c>
      <c r="C4184">
        <v>529995.72439999995</v>
      </c>
      <c r="D4184" t="s">
        <v>258</v>
      </c>
      <c r="E4184">
        <v>2021</v>
      </c>
      <c r="F4184">
        <v>10</v>
      </c>
    </row>
    <row r="4185" spans="1:6" x14ac:dyDescent="0.55000000000000004">
      <c r="A4185" t="s">
        <v>132</v>
      </c>
      <c r="B4185" t="s">
        <v>49</v>
      </c>
      <c r="C4185">
        <v>2.4108999999999998</v>
      </c>
      <c r="D4185" t="s">
        <v>258</v>
      </c>
      <c r="E4185">
        <v>2021</v>
      </c>
      <c r="F4185">
        <v>10</v>
      </c>
    </row>
    <row r="4186" spans="1:6" x14ac:dyDescent="0.55000000000000004">
      <c r="A4186" t="s">
        <v>132</v>
      </c>
      <c r="B4186" t="s">
        <v>50</v>
      </c>
      <c r="C4186">
        <v>41666.815199999997</v>
      </c>
      <c r="D4186" t="s">
        <v>258</v>
      </c>
      <c r="E4186">
        <v>2021</v>
      </c>
      <c r="F4186">
        <v>10</v>
      </c>
    </row>
    <row r="4187" spans="1:6" x14ac:dyDescent="0.55000000000000004">
      <c r="A4187" t="s">
        <v>132</v>
      </c>
      <c r="B4187" t="s">
        <v>51</v>
      </c>
      <c r="C4187">
        <v>3100</v>
      </c>
      <c r="D4187" t="s">
        <v>258</v>
      </c>
      <c r="E4187">
        <v>2021</v>
      </c>
      <c r="F4187">
        <v>10</v>
      </c>
    </row>
    <row r="4188" spans="1:6" x14ac:dyDescent="0.55000000000000004">
      <c r="A4188" t="s">
        <v>132</v>
      </c>
      <c r="B4188" t="s">
        <v>52</v>
      </c>
      <c r="C4188">
        <v>133.04929999999999</v>
      </c>
      <c r="D4188" t="s">
        <v>258</v>
      </c>
      <c r="E4188">
        <v>2021</v>
      </c>
      <c r="F4188">
        <v>10</v>
      </c>
    </row>
    <row r="4189" spans="1:6" x14ac:dyDescent="0.55000000000000004">
      <c r="A4189" t="s">
        <v>132</v>
      </c>
      <c r="B4189" t="s">
        <v>53</v>
      </c>
      <c r="C4189">
        <v>73991.25</v>
      </c>
      <c r="D4189" t="s">
        <v>258</v>
      </c>
      <c r="E4189">
        <v>2021</v>
      </c>
      <c r="F4189">
        <v>10</v>
      </c>
    </row>
    <row r="4190" spans="1:6" x14ac:dyDescent="0.55000000000000004">
      <c r="A4190" t="s">
        <v>132</v>
      </c>
      <c r="B4190" t="s">
        <v>54</v>
      </c>
      <c r="C4190">
        <v>18206.183099999998</v>
      </c>
      <c r="D4190" t="s">
        <v>258</v>
      </c>
      <c r="E4190">
        <v>2021</v>
      </c>
      <c r="F4190">
        <v>10</v>
      </c>
    </row>
    <row r="4191" spans="1:6" x14ac:dyDescent="0.55000000000000004">
      <c r="A4191" t="s">
        <v>132</v>
      </c>
      <c r="B4191" t="s">
        <v>55</v>
      </c>
      <c r="C4191">
        <v>21419.0167</v>
      </c>
      <c r="D4191" t="s">
        <v>258</v>
      </c>
      <c r="E4191">
        <v>2021</v>
      </c>
      <c r="F4191">
        <v>10</v>
      </c>
    </row>
    <row r="4192" spans="1:6" x14ac:dyDescent="0.55000000000000004">
      <c r="A4192" t="s">
        <v>132</v>
      </c>
      <c r="B4192" t="s">
        <v>56</v>
      </c>
      <c r="C4192">
        <v>83.333299999999994</v>
      </c>
      <c r="D4192" t="s">
        <v>258</v>
      </c>
      <c r="E4192">
        <v>2021</v>
      </c>
      <c r="F4192">
        <v>10</v>
      </c>
    </row>
    <row r="4193" spans="1:6" x14ac:dyDescent="0.55000000000000004">
      <c r="A4193" t="s">
        <v>132</v>
      </c>
      <c r="B4193" t="s">
        <v>57</v>
      </c>
      <c r="C4193">
        <v>108.55589999999999</v>
      </c>
      <c r="D4193" t="s">
        <v>258</v>
      </c>
      <c r="E4193">
        <v>2021</v>
      </c>
      <c r="F4193">
        <v>10</v>
      </c>
    </row>
    <row r="4194" spans="1:6" x14ac:dyDescent="0.55000000000000004">
      <c r="A4194" t="s">
        <v>132</v>
      </c>
      <c r="B4194" t="s">
        <v>58</v>
      </c>
      <c r="C4194">
        <v>486534</v>
      </c>
      <c r="D4194" t="s">
        <v>258</v>
      </c>
      <c r="E4194">
        <v>2021</v>
      </c>
      <c r="F4194">
        <v>10</v>
      </c>
    </row>
    <row r="4195" spans="1:6" x14ac:dyDescent="0.55000000000000004">
      <c r="A4195" t="s">
        <v>132</v>
      </c>
      <c r="B4195" t="s">
        <v>59</v>
      </c>
      <c r="C4195">
        <v>11100</v>
      </c>
      <c r="D4195" t="s">
        <v>258</v>
      </c>
      <c r="E4195">
        <v>2021</v>
      </c>
      <c r="F4195">
        <v>10</v>
      </c>
    </row>
    <row r="4196" spans="1:6" x14ac:dyDescent="0.55000000000000004">
      <c r="A4196" t="s">
        <v>132</v>
      </c>
      <c r="B4196" t="s">
        <v>60</v>
      </c>
      <c r="C4196">
        <v>1705717.4205</v>
      </c>
      <c r="D4196" t="s">
        <v>258</v>
      </c>
      <c r="E4196">
        <v>2021</v>
      </c>
      <c r="F4196">
        <v>10</v>
      </c>
    </row>
    <row r="4197" spans="1:6" x14ac:dyDescent="0.55000000000000004">
      <c r="A4197" t="s">
        <v>132</v>
      </c>
      <c r="B4197" t="s">
        <v>61</v>
      </c>
      <c r="C4197">
        <v>4259.9955</v>
      </c>
      <c r="D4197" t="s">
        <v>258</v>
      </c>
      <c r="E4197">
        <v>2021</v>
      </c>
      <c r="F4197">
        <v>10</v>
      </c>
    </row>
    <row r="4198" spans="1:6" x14ac:dyDescent="0.55000000000000004">
      <c r="A4198" t="s">
        <v>132</v>
      </c>
      <c r="B4198" t="s">
        <v>62</v>
      </c>
      <c r="C4198">
        <v>2400</v>
      </c>
      <c r="D4198" t="s">
        <v>258</v>
      </c>
      <c r="E4198">
        <v>2021</v>
      </c>
      <c r="F4198">
        <v>10</v>
      </c>
    </row>
    <row r="4199" spans="1:6" x14ac:dyDescent="0.55000000000000004">
      <c r="A4199" t="s">
        <v>132</v>
      </c>
      <c r="B4199" t="s">
        <v>63</v>
      </c>
      <c r="C4199">
        <v>0</v>
      </c>
      <c r="D4199" t="s">
        <v>258</v>
      </c>
      <c r="E4199">
        <v>2021</v>
      </c>
      <c r="F4199">
        <v>10</v>
      </c>
    </row>
    <row r="4200" spans="1:6" x14ac:dyDescent="0.55000000000000004">
      <c r="A4200" t="s">
        <v>133</v>
      </c>
      <c r="B4200" t="s">
        <v>4</v>
      </c>
      <c r="C4200">
        <v>9756505.9453999996</v>
      </c>
      <c r="D4200" t="s">
        <v>259</v>
      </c>
      <c r="E4200">
        <v>2021</v>
      </c>
      <c r="F4200">
        <v>11</v>
      </c>
    </row>
    <row r="4201" spans="1:6" x14ac:dyDescent="0.55000000000000004">
      <c r="A4201" t="s">
        <v>133</v>
      </c>
      <c r="B4201" t="s">
        <v>5</v>
      </c>
      <c r="C4201">
        <v>1222751.057</v>
      </c>
      <c r="D4201" t="s">
        <v>259</v>
      </c>
      <c r="E4201">
        <v>2021</v>
      </c>
      <c r="F4201">
        <v>11</v>
      </c>
    </row>
    <row r="4202" spans="1:6" x14ac:dyDescent="0.55000000000000004">
      <c r="A4202" t="s">
        <v>133</v>
      </c>
      <c r="B4202" t="s">
        <v>6</v>
      </c>
      <c r="C4202">
        <v>1550303.2988</v>
      </c>
      <c r="D4202" t="s">
        <v>259</v>
      </c>
      <c r="E4202">
        <v>2021</v>
      </c>
      <c r="F4202">
        <v>11</v>
      </c>
    </row>
    <row r="4203" spans="1:6" x14ac:dyDescent="0.55000000000000004">
      <c r="A4203" t="s">
        <v>133</v>
      </c>
      <c r="B4203" t="s">
        <v>7</v>
      </c>
      <c r="C4203">
        <v>3233907.8791</v>
      </c>
      <c r="D4203" t="s">
        <v>259</v>
      </c>
      <c r="E4203">
        <v>2021</v>
      </c>
      <c r="F4203">
        <v>11</v>
      </c>
    </row>
    <row r="4204" spans="1:6" x14ac:dyDescent="0.55000000000000004">
      <c r="A4204" t="s">
        <v>133</v>
      </c>
      <c r="B4204" t="s">
        <v>8</v>
      </c>
      <c r="C4204">
        <v>3749543.7105</v>
      </c>
      <c r="D4204" t="s">
        <v>259</v>
      </c>
      <c r="E4204">
        <v>2021</v>
      </c>
      <c r="F4204">
        <v>11</v>
      </c>
    </row>
    <row r="4205" spans="1:6" x14ac:dyDescent="0.55000000000000004">
      <c r="A4205" t="s">
        <v>133</v>
      </c>
      <c r="B4205" t="s">
        <v>9</v>
      </c>
      <c r="C4205">
        <v>2568.6799999999998</v>
      </c>
      <c r="D4205" t="s">
        <v>259</v>
      </c>
      <c r="E4205">
        <v>2021</v>
      </c>
      <c r="F4205">
        <v>11</v>
      </c>
    </row>
    <row r="4206" spans="1:6" x14ac:dyDescent="0.55000000000000004">
      <c r="A4206" t="s">
        <v>133</v>
      </c>
      <c r="B4206" t="s">
        <v>10</v>
      </c>
      <c r="C4206">
        <v>4560.5333000000001</v>
      </c>
      <c r="D4206" t="s">
        <v>259</v>
      </c>
      <c r="E4206">
        <v>2021</v>
      </c>
      <c r="F4206">
        <v>11</v>
      </c>
    </row>
    <row r="4207" spans="1:6" x14ac:dyDescent="0.55000000000000004">
      <c r="A4207" t="s">
        <v>133</v>
      </c>
      <c r="B4207" t="s">
        <v>11</v>
      </c>
      <c r="C4207">
        <v>3257808.9846000001</v>
      </c>
      <c r="D4207" t="s">
        <v>259</v>
      </c>
      <c r="E4207">
        <v>2021</v>
      </c>
      <c r="F4207">
        <v>11</v>
      </c>
    </row>
    <row r="4208" spans="1:6" x14ac:dyDescent="0.55000000000000004">
      <c r="A4208" t="s">
        <v>133</v>
      </c>
      <c r="B4208" t="s">
        <v>12</v>
      </c>
      <c r="C4208">
        <v>23320.916700000002</v>
      </c>
      <c r="D4208" t="s">
        <v>259</v>
      </c>
      <c r="E4208">
        <v>2021</v>
      </c>
      <c r="F4208">
        <v>11</v>
      </c>
    </row>
    <row r="4209" spans="1:6" x14ac:dyDescent="0.55000000000000004">
      <c r="A4209" t="s">
        <v>133</v>
      </c>
      <c r="B4209" t="s">
        <v>13</v>
      </c>
      <c r="C4209">
        <v>10900</v>
      </c>
      <c r="D4209" t="s">
        <v>259</v>
      </c>
      <c r="E4209">
        <v>2021</v>
      </c>
      <c r="F4209">
        <v>11</v>
      </c>
    </row>
    <row r="4210" spans="1:6" x14ac:dyDescent="0.55000000000000004">
      <c r="A4210" t="s">
        <v>133</v>
      </c>
      <c r="B4210" t="s">
        <v>14</v>
      </c>
      <c r="C4210">
        <v>400</v>
      </c>
      <c r="D4210" t="s">
        <v>259</v>
      </c>
      <c r="E4210">
        <v>2021</v>
      </c>
      <c r="F4210">
        <v>11</v>
      </c>
    </row>
    <row r="4211" spans="1:6" x14ac:dyDescent="0.55000000000000004">
      <c r="A4211" t="s">
        <v>133</v>
      </c>
      <c r="B4211" t="s">
        <v>15</v>
      </c>
      <c r="C4211">
        <v>1145130.4284000001</v>
      </c>
      <c r="D4211" t="s">
        <v>259</v>
      </c>
      <c r="E4211">
        <v>2021</v>
      </c>
      <c r="F4211">
        <v>11</v>
      </c>
    </row>
    <row r="4212" spans="1:6" x14ac:dyDescent="0.55000000000000004">
      <c r="A4212" t="s">
        <v>133</v>
      </c>
      <c r="B4212" t="s">
        <v>16</v>
      </c>
      <c r="C4212">
        <v>7.0609999999999999</v>
      </c>
      <c r="D4212" t="s">
        <v>259</v>
      </c>
      <c r="E4212">
        <v>2021</v>
      </c>
      <c r="F4212">
        <v>11</v>
      </c>
    </row>
    <row r="4213" spans="1:6" x14ac:dyDescent="0.55000000000000004">
      <c r="A4213" t="s">
        <v>133</v>
      </c>
      <c r="B4213" t="s">
        <v>17</v>
      </c>
      <c r="C4213">
        <v>13051.636</v>
      </c>
      <c r="D4213" t="s">
        <v>259</v>
      </c>
      <c r="E4213">
        <v>2021</v>
      </c>
      <c r="F4213">
        <v>11</v>
      </c>
    </row>
    <row r="4214" spans="1:6" x14ac:dyDescent="0.55000000000000004">
      <c r="A4214" t="s">
        <v>133</v>
      </c>
      <c r="B4214" t="s">
        <v>18</v>
      </c>
      <c r="C4214">
        <v>64309.682000000001</v>
      </c>
      <c r="D4214" t="s">
        <v>259</v>
      </c>
      <c r="E4214">
        <v>2021</v>
      </c>
      <c r="F4214">
        <v>11</v>
      </c>
    </row>
    <row r="4215" spans="1:6" x14ac:dyDescent="0.55000000000000004">
      <c r="A4215" t="s">
        <v>133</v>
      </c>
      <c r="B4215" t="s">
        <v>19</v>
      </c>
      <c r="C4215">
        <v>2053.4454000000001</v>
      </c>
      <c r="D4215" t="s">
        <v>259</v>
      </c>
      <c r="E4215">
        <v>2021</v>
      </c>
      <c r="F4215">
        <v>11</v>
      </c>
    </row>
    <row r="4216" spans="1:6" x14ac:dyDescent="0.55000000000000004">
      <c r="A4216" t="s">
        <v>133</v>
      </c>
      <c r="B4216" t="s">
        <v>20</v>
      </c>
      <c r="C4216">
        <v>14000</v>
      </c>
      <c r="D4216" t="s">
        <v>259</v>
      </c>
      <c r="E4216">
        <v>2021</v>
      </c>
      <c r="F4216">
        <v>11</v>
      </c>
    </row>
    <row r="4217" spans="1:6" x14ac:dyDescent="0.55000000000000004">
      <c r="A4217" t="s">
        <v>133</v>
      </c>
      <c r="B4217" t="s">
        <v>21</v>
      </c>
      <c r="C4217">
        <v>7015.0541000000003</v>
      </c>
      <c r="D4217" t="s">
        <v>259</v>
      </c>
      <c r="E4217">
        <v>2021</v>
      </c>
      <c r="F4217">
        <v>11</v>
      </c>
    </row>
    <row r="4218" spans="1:6" x14ac:dyDescent="0.55000000000000004">
      <c r="A4218" t="s">
        <v>133</v>
      </c>
      <c r="B4218" t="s">
        <v>22</v>
      </c>
      <c r="C4218">
        <v>50070.785799999998</v>
      </c>
      <c r="D4218" t="s">
        <v>259</v>
      </c>
      <c r="E4218">
        <v>2021</v>
      </c>
      <c r="F4218">
        <v>11</v>
      </c>
    </row>
    <row r="4219" spans="1:6" x14ac:dyDescent="0.55000000000000004">
      <c r="A4219" t="s">
        <v>133</v>
      </c>
      <c r="B4219" t="s">
        <v>23</v>
      </c>
      <c r="C4219">
        <v>5342.9816000000001</v>
      </c>
      <c r="D4219" t="s">
        <v>259</v>
      </c>
      <c r="E4219">
        <v>2021</v>
      </c>
      <c r="F4219">
        <v>11</v>
      </c>
    </row>
    <row r="4220" spans="1:6" x14ac:dyDescent="0.55000000000000004">
      <c r="A4220" t="s">
        <v>133</v>
      </c>
      <c r="B4220" t="s">
        <v>24</v>
      </c>
      <c r="C4220">
        <v>0</v>
      </c>
      <c r="D4220" t="s">
        <v>259</v>
      </c>
      <c r="E4220">
        <v>2021</v>
      </c>
      <c r="F4220">
        <v>11</v>
      </c>
    </row>
    <row r="4221" spans="1:6" x14ac:dyDescent="0.55000000000000004">
      <c r="A4221" t="s">
        <v>133</v>
      </c>
      <c r="B4221" t="s">
        <v>25</v>
      </c>
      <c r="C4221">
        <v>216646.36670000001</v>
      </c>
      <c r="D4221" t="s">
        <v>259</v>
      </c>
      <c r="E4221">
        <v>2021</v>
      </c>
      <c r="F4221">
        <v>11</v>
      </c>
    </row>
    <row r="4222" spans="1:6" x14ac:dyDescent="0.55000000000000004">
      <c r="A4222" t="s">
        <v>133</v>
      </c>
      <c r="B4222" t="s">
        <v>26</v>
      </c>
      <c r="C4222">
        <v>0</v>
      </c>
      <c r="D4222" t="s">
        <v>259</v>
      </c>
      <c r="E4222">
        <v>2021</v>
      </c>
      <c r="F4222">
        <v>11</v>
      </c>
    </row>
    <row r="4223" spans="1:6" x14ac:dyDescent="0.55000000000000004">
      <c r="A4223" t="s">
        <v>133</v>
      </c>
      <c r="B4223" t="s">
        <v>27</v>
      </c>
      <c r="C4223">
        <v>355.86</v>
      </c>
      <c r="D4223" t="s">
        <v>259</v>
      </c>
      <c r="E4223">
        <v>2021</v>
      </c>
      <c r="F4223">
        <v>11</v>
      </c>
    </row>
    <row r="4224" spans="1:6" x14ac:dyDescent="0.55000000000000004">
      <c r="A4224" t="s">
        <v>133</v>
      </c>
      <c r="B4224" t="s">
        <v>28</v>
      </c>
      <c r="C4224">
        <v>58804.662300000004</v>
      </c>
      <c r="D4224" t="s">
        <v>259</v>
      </c>
      <c r="E4224">
        <v>2021</v>
      </c>
      <c r="F4224">
        <v>11</v>
      </c>
    </row>
    <row r="4225" spans="1:6" x14ac:dyDescent="0.55000000000000004">
      <c r="A4225" t="s">
        <v>133</v>
      </c>
      <c r="B4225" t="s">
        <v>29</v>
      </c>
      <c r="C4225">
        <v>0</v>
      </c>
      <c r="D4225" t="s">
        <v>259</v>
      </c>
      <c r="E4225">
        <v>2021</v>
      </c>
      <c r="F4225">
        <v>11</v>
      </c>
    </row>
    <row r="4226" spans="1:6" x14ac:dyDescent="0.55000000000000004">
      <c r="A4226" t="s">
        <v>133</v>
      </c>
      <c r="B4226" t="s">
        <v>30</v>
      </c>
      <c r="C4226">
        <v>78.13</v>
      </c>
      <c r="D4226" t="s">
        <v>259</v>
      </c>
      <c r="E4226">
        <v>2021</v>
      </c>
      <c r="F4226">
        <v>11</v>
      </c>
    </row>
    <row r="4227" spans="1:6" x14ac:dyDescent="0.55000000000000004">
      <c r="A4227" t="s">
        <v>133</v>
      </c>
      <c r="B4227" t="s">
        <v>31</v>
      </c>
      <c r="C4227">
        <v>8</v>
      </c>
      <c r="D4227" t="s">
        <v>259</v>
      </c>
      <c r="E4227">
        <v>2021</v>
      </c>
      <c r="F4227">
        <v>11</v>
      </c>
    </row>
    <row r="4228" spans="1:6" x14ac:dyDescent="0.55000000000000004">
      <c r="A4228" t="s">
        <v>133</v>
      </c>
      <c r="B4228" t="s">
        <v>32</v>
      </c>
      <c r="C4228">
        <v>103948.39</v>
      </c>
      <c r="D4228" t="s">
        <v>259</v>
      </c>
      <c r="E4228">
        <v>2021</v>
      </c>
      <c r="F4228">
        <v>11</v>
      </c>
    </row>
    <row r="4229" spans="1:6" x14ac:dyDescent="0.55000000000000004">
      <c r="A4229" t="s">
        <v>133</v>
      </c>
      <c r="B4229" t="s">
        <v>33</v>
      </c>
      <c r="C4229">
        <v>586304.94839999999</v>
      </c>
      <c r="D4229" t="s">
        <v>259</v>
      </c>
      <c r="E4229">
        <v>2021</v>
      </c>
      <c r="F4229">
        <v>11</v>
      </c>
    </row>
    <row r="4230" spans="1:6" x14ac:dyDescent="0.55000000000000004">
      <c r="A4230" t="s">
        <v>133</v>
      </c>
      <c r="B4230" t="s">
        <v>34</v>
      </c>
      <c r="C4230">
        <v>595428.8358</v>
      </c>
      <c r="D4230" t="s">
        <v>259</v>
      </c>
      <c r="E4230">
        <v>2021</v>
      </c>
      <c r="F4230">
        <v>11</v>
      </c>
    </row>
    <row r="4231" spans="1:6" x14ac:dyDescent="0.55000000000000004">
      <c r="A4231" t="s">
        <v>133</v>
      </c>
      <c r="B4231" t="s">
        <v>35</v>
      </c>
      <c r="C4231">
        <v>657.06579999999997</v>
      </c>
      <c r="D4231" t="s">
        <v>259</v>
      </c>
      <c r="E4231">
        <v>2021</v>
      </c>
      <c r="F4231">
        <v>11</v>
      </c>
    </row>
    <row r="4232" spans="1:6" x14ac:dyDescent="0.55000000000000004">
      <c r="A4232" t="s">
        <v>133</v>
      </c>
      <c r="B4232" t="s">
        <v>36</v>
      </c>
      <c r="C4232">
        <v>38695.911899999999</v>
      </c>
      <c r="D4232" t="s">
        <v>259</v>
      </c>
      <c r="E4232">
        <v>2021</v>
      </c>
      <c r="F4232">
        <v>11</v>
      </c>
    </row>
    <row r="4233" spans="1:6" x14ac:dyDescent="0.55000000000000004">
      <c r="A4233" t="s">
        <v>133</v>
      </c>
      <c r="B4233" t="s">
        <v>37</v>
      </c>
      <c r="C4233">
        <v>67500.002399999998</v>
      </c>
      <c r="D4233" t="s">
        <v>259</v>
      </c>
      <c r="E4233">
        <v>2021</v>
      </c>
      <c r="F4233">
        <v>11</v>
      </c>
    </row>
    <row r="4234" spans="1:6" x14ac:dyDescent="0.55000000000000004">
      <c r="A4234" t="s">
        <v>133</v>
      </c>
      <c r="B4234" t="s">
        <v>38</v>
      </c>
      <c r="C4234">
        <v>0</v>
      </c>
      <c r="D4234" t="s">
        <v>259</v>
      </c>
      <c r="E4234">
        <v>2021</v>
      </c>
      <c r="F4234">
        <v>11</v>
      </c>
    </row>
    <row r="4235" spans="1:6" x14ac:dyDescent="0.55000000000000004">
      <c r="A4235" t="s">
        <v>133</v>
      </c>
      <c r="B4235" t="s">
        <v>39</v>
      </c>
      <c r="C4235">
        <v>30.601500000000001</v>
      </c>
      <c r="D4235" t="s">
        <v>259</v>
      </c>
      <c r="E4235">
        <v>2021</v>
      </c>
      <c r="F4235">
        <v>11</v>
      </c>
    </row>
    <row r="4236" spans="1:6" x14ac:dyDescent="0.55000000000000004">
      <c r="A4236" t="s">
        <v>133</v>
      </c>
      <c r="B4236" t="s">
        <v>40</v>
      </c>
      <c r="C4236">
        <v>3802.5571</v>
      </c>
      <c r="D4236" t="s">
        <v>259</v>
      </c>
      <c r="E4236">
        <v>2021</v>
      </c>
      <c r="F4236">
        <v>11</v>
      </c>
    </row>
    <row r="4237" spans="1:6" x14ac:dyDescent="0.55000000000000004">
      <c r="A4237" t="s">
        <v>133</v>
      </c>
      <c r="B4237" t="s">
        <v>41</v>
      </c>
      <c r="C4237">
        <v>190903.5147</v>
      </c>
      <c r="D4237" t="s">
        <v>259</v>
      </c>
      <c r="E4237">
        <v>2021</v>
      </c>
      <c r="F4237">
        <v>11</v>
      </c>
    </row>
    <row r="4238" spans="1:6" x14ac:dyDescent="0.55000000000000004">
      <c r="A4238" t="s">
        <v>133</v>
      </c>
      <c r="B4238" t="s">
        <v>42</v>
      </c>
      <c r="C4238">
        <v>18.966699999999999</v>
      </c>
      <c r="D4238" t="s">
        <v>259</v>
      </c>
      <c r="E4238">
        <v>2021</v>
      </c>
      <c r="F4238">
        <v>11</v>
      </c>
    </row>
    <row r="4239" spans="1:6" x14ac:dyDescent="0.55000000000000004">
      <c r="A4239" t="s">
        <v>133</v>
      </c>
      <c r="B4239" t="s">
        <v>43</v>
      </c>
      <c r="C4239">
        <v>63754.339800000002</v>
      </c>
      <c r="D4239" t="s">
        <v>259</v>
      </c>
      <c r="E4239">
        <v>2021</v>
      </c>
      <c r="F4239">
        <v>11</v>
      </c>
    </row>
    <row r="4240" spans="1:6" x14ac:dyDescent="0.55000000000000004">
      <c r="A4240" t="s">
        <v>133</v>
      </c>
      <c r="B4240" t="s">
        <v>44</v>
      </c>
      <c r="C4240">
        <v>0</v>
      </c>
      <c r="D4240" t="s">
        <v>259</v>
      </c>
      <c r="E4240">
        <v>2021</v>
      </c>
      <c r="F4240">
        <v>11</v>
      </c>
    </row>
    <row r="4241" spans="1:6" x14ac:dyDescent="0.55000000000000004">
      <c r="A4241" t="s">
        <v>133</v>
      </c>
      <c r="B4241" t="s">
        <v>45</v>
      </c>
      <c r="C4241">
        <v>1952.8207</v>
      </c>
      <c r="D4241" t="s">
        <v>259</v>
      </c>
      <c r="E4241">
        <v>2021</v>
      </c>
      <c r="F4241">
        <v>11</v>
      </c>
    </row>
    <row r="4242" spans="1:6" x14ac:dyDescent="0.55000000000000004">
      <c r="A4242" t="s">
        <v>133</v>
      </c>
      <c r="B4242" t="s">
        <v>46</v>
      </c>
      <c r="C4242">
        <v>83000</v>
      </c>
      <c r="D4242" t="s">
        <v>259</v>
      </c>
      <c r="E4242">
        <v>2021</v>
      </c>
      <c r="F4242">
        <v>11</v>
      </c>
    </row>
    <row r="4243" spans="1:6" x14ac:dyDescent="0.55000000000000004">
      <c r="A4243" t="s">
        <v>133</v>
      </c>
      <c r="B4243" t="s">
        <v>47</v>
      </c>
      <c r="C4243">
        <v>0.5</v>
      </c>
      <c r="D4243" t="s">
        <v>259</v>
      </c>
      <c r="E4243">
        <v>2021</v>
      </c>
      <c r="F4243">
        <v>11</v>
      </c>
    </row>
    <row r="4244" spans="1:6" x14ac:dyDescent="0.55000000000000004">
      <c r="A4244" t="s">
        <v>133</v>
      </c>
      <c r="B4244" t="s">
        <v>48</v>
      </c>
      <c r="C4244">
        <v>603833.29350000003</v>
      </c>
      <c r="D4244" t="s">
        <v>259</v>
      </c>
      <c r="E4244">
        <v>2021</v>
      </c>
      <c r="F4244">
        <v>11</v>
      </c>
    </row>
    <row r="4245" spans="1:6" x14ac:dyDescent="0.55000000000000004">
      <c r="A4245" t="s">
        <v>133</v>
      </c>
      <c r="B4245" t="s">
        <v>49</v>
      </c>
      <c r="C4245">
        <v>1065.1247000000001</v>
      </c>
      <c r="D4245" t="s">
        <v>259</v>
      </c>
      <c r="E4245">
        <v>2021</v>
      </c>
      <c r="F4245">
        <v>11</v>
      </c>
    </row>
    <row r="4246" spans="1:6" x14ac:dyDescent="0.55000000000000004">
      <c r="A4246" t="s">
        <v>133</v>
      </c>
      <c r="B4246" t="s">
        <v>50</v>
      </c>
      <c r="C4246">
        <v>20857.3361</v>
      </c>
      <c r="D4246" t="s">
        <v>259</v>
      </c>
      <c r="E4246">
        <v>2021</v>
      </c>
      <c r="F4246">
        <v>11</v>
      </c>
    </row>
    <row r="4247" spans="1:6" x14ac:dyDescent="0.55000000000000004">
      <c r="A4247" t="s">
        <v>133</v>
      </c>
      <c r="B4247" t="s">
        <v>51</v>
      </c>
      <c r="C4247">
        <v>1800</v>
      </c>
      <c r="D4247" t="s">
        <v>259</v>
      </c>
      <c r="E4247">
        <v>2021</v>
      </c>
      <c r="F4247">
        <v>11</v>
      </c>
    </row>
    <row r="4248" spans="1:6" x14ac:dyDescent="0.55000000000000004">
      <c r="A4248" t="s">
        <v>133</v>
      </c>
      <c r="B4248" t="s">
        <v>52</v>
      </c>
      <c r="C4248">
        <v>133.04929999999999</v>
      </c>
      <c r="D4248" t="s">
        <v>259</v>
      </c>
      <c r="E4248">
        <v>2021</v>
      </c>
      <c r="F4248">
        <v>11</v>
      </c>
    </row>
    <row r="4249" spans="1:6" x14ac:dyDescent="0.55000000000000004">
      <c r="A4249" t="s">
        <v>133</v>
      </c>
      <c r="B4249" t="s">
        <v>53</v>
      </c>
      <c r="C4249">
        <v>97961.246700000003</v>
      </c>
      <c r="D4249" t="s">
        <v>259</v>
      </c>
      <c r="E4249">
        <v>2021</v>
      </c>
      <c r="F4249">
        <v>11</v>
      </c>
    </row>
    <row r="4250" spans="1:6" x14ac:dyDescent="0.55000000000000004">
      <c r="A4250" t="s">
        <v>133</v>
      </c>
      <c r="B4250" t="s">
        <v>54</v>
      </c>
      <c r="C4250">
        <v>18717.0507</v>
      </c>
      <c r="D4250" t="s">
        <v>259</v>
      </c>
      <c r="E4250">
        <v>2021</v>
      </c>
      <c r="F4250">
        <v>11</v>
      </c>
    </row>
    <row r="4251" spans="1:6" x14ac:dyDescent="0.55000000000000004">
      <c r="A4251" t="s">
        <v>133</v>
      </c>
      <c r="B4251" t="s">
        <v>55</v>
      </c>
      <c r="C4251">
        <v>23571.333299999998</v>
      </c>
      <c r="D4251" t="s">
        <v>259</v>
      </c>
      <c r="E4251">
        <v>2021</v>
      </c>
      <c r="F4251">
        <v>11</v>
      </c>
    </row>
    <row r="4252" spans="1:6" x14ac:dyDescent="0.55000000000000004">
      <c r="A4252" t="s">
        <v>133</v>
      </c>
      <c r="B4252" t="s">
        <v>56</v>
      </c>
      <c r="C4252">
        <v>320</v>
      </c>
      <c r="D4252" t="s">
        <v>259</v>
      </c>
      <c r="E4252">
        <v>2021</v>
      </c>
      <c r="F4252">
        <v>11</v>
      </c>
    </row>
    <row r="4253" spans="1:6" x14ac:dyDescent="0.55000000000000004">
      <c r="A4253" t="s">
        <v>133</v>
      </c>
      <c r="B4253" t="s">
        <v>57</v>
      </c>
      <c r="C4253">
        <v>692.16330000000005</v>
      </c>
      <c r="D4253" t="s">
        <v>259</v>
      </c>
      <c r="E4253">
        <v>2021</v>
      </c>
      <c r="F4253">
        <v>11</v>
      </c>
    </row>
    <row r="4254" spans="1:6" x14ac:dyDescent="0.55000000000000004">
      <c r="A4254" t="s">
        <v>133</v>
      </c>
      <c r="B4254" t="s">
        <v>58</v>
      </c>
      <c r="C4254">
        <v>524902.01</v>
      </c>
      <c r="D4254" t="s">
        <v>259</v>
      </c>
      <c r="E4254">
        <v>2021</v>
      </c>
      <c r="F4254">
        <v>11</v>
      </c>
    </row>
    <row r="4255" spans="1:6" x14ac:dyDescent="0.55000000000000004">
      <c r="A4255" t="s">
        <v>133</v>
      </c>
      <c r="B4255" t="s">
        <v>59</v>
      </c>
      <c r="C4255">
        <v>700</v>
      </c>
      <c r="D4255" t="s">
        <v>259</v>
      </c>
      <c r="E4255">
        <v>2021</v>
      </c>
      <c r="F4255">
        <v>11</v>
      </c>
    </row>
    <row r="4256" spans="1:6" x14ac:dyDescent="0.55000000000000004">
      <c r="A4256" t="s">
        <v>133</v>
      </c>
      <c r="B4256" t="s">
        <v>60</v>
      </c>
      <c r="C4256">
        <v>1839000.0089</v>
      </c>
      <c r="D4256" t="s">
        <v>259</v>
      </c>
      <c r="E4256">
        <v>2021</v>
      </c>
      <c r="F4256">
        <v>11</v>
      </c>
    </row>
    <row r="4257" spans="1:6" x14ac:dyDescent="0.55000000000000004">
      <c r="A4257" t="s">
        <v>133</v>
      </c>
      <c r="B4257" t="s">
        <v>61</v>
      </c>
      <c r="C4257">
        <v>4249.9994999999999</v>
      </c>
      <c r="D4257" t="s">
        <v>259</v>
      </c>
      <c r="E4257">
        <v>2021</v>
      </c>
      <c r="F4257">
        <v>11</v>
      </c>
    </row>
    <row r="4258" spans="1:6" x14ac:dyDescent="0.55000000000000004">
      <c r="A4258" t="s">
        <v>133</v>
      </c>
      <c r="B4258" t="s">
        <v>62</v>
      </c>
      <c r="C4258">
        <v>5311.6666999999998</v>
      </c>
      <c r="D4258" t="s">
        <v>259</v>
      </c>
      <c r="E4258">
        <v>2021</v>
      </c>
      <c r="F4258">
        <v>11</v>
      </c>
    </row>
    <row r="4259" spans="1:6" x14ac:dyDescent="0.55000000000000004">
      <c r="A4259" t="s">
        <v>133</v>
      </c>
      <c r="B4259" t="s">
        <v>63</v>
      </c>
      <c r="C4259">
        <v>960</v>
      </c>
      <c r="D4259" t="s">
        <v>259</v>
      </c>
      <c r="E4259">
        <v>2021</v>
      </c>
      <c r="F4259">
        <v>11</v>
      </c>
    </row>
    <row r="4260" spans="1:6" x14ac:dyDescent="0.55000000000000004">
      <c r="A4260" t="s">
        <v>134</v>
      </c>
      <c r="B4260" t="s">
        <v>4</v>
      </c>
      <c r="C4260">
        <v>12156255.9998</v>
      </c>
      <c r="D4260" t="s">
        <v>260</v>
      </c>
      <c r="E4260">
        <v>2021</v>
      </c>
      <c r="F4260">
        <v>12</v>
      </c>
    </row>
    <row r="4261" spans="1:6" x14ac:dyDescent="0.55000000000000004">
      <c r="A4261" t="s">
        <v>134</v>
      </c>
      <c r="B4261" t="s">
        <v>5</v>
      </c>
      <c r="C4261">
        <v>1268549.6721999999</v>
      </c>
      <c r="D4261" t="s">
        <v>260</v>
      </c>
      <c r="E4261">
        <v>2021</v>
      </c>
      <c r="F4261">
        <v>12</v>
      </c>
    </row>
    <row r="4262" spans="1:6" x14ac:dyDescent="0.55000000000000004">
      <c r="A4262" t="s">
        <v>134</v>
      </c>
      <c r="B4262" t="s">
        <v>6</v>
      </c>
      <c r="C4262">
        <v>2004883.8033</v>
      </c>
      <c r="D4262" t="s">
        <v>260</v>
      </c>
      <c r="E4262">
        <v>2021</v>
      </c>
      <c r="F4262">
        <v>12</v>
      </c>
    </row>
    <row r="4263" spans="1:6" x14ac:dyDescent="0.55000000000000004">
      <c r="A4263" t="s">
        <v>134</v>
      </c>
      <c r="B4263" t="s">
        <v>7</v>
      </c>
      <c r="C4263">
        <v>3957020.3196</v>
      </c>
      <c r="D4263" t="s">
        <v>260</v>
      </c>
      <c r="E4263">
        <v>2021</v>
      </c>
      <c r="F4263">
        <v>12</v>
      </c>
    </row>
    <row r="4264" spans="1:6" x14ac:dyDescent="0.55000000000000004">
      <c r="A4264" t="s">
        <v>134</v>
      </c>
      <c r="B4264" t="s">
        <v>8</v>
      </c>
      <c r="C4264">
        <v>4925802.2046999997</v>
      </c>
      <c r="D4264" t="s">
        <v>260</v>
      </c>
      <c r="E4264">
        <v>2021</v>
      </c>
      <c r="F4264">
        <v>12</v>
      </c>
    </row>
    <row r="4265" spans="1:6" x14ac:dyDescent="0.55000000000000004">
      <c r="A4265" t="s">
        <v>134</v>
      </c>
      <c r="B4265" t="s">
        <v>9</v>
      </c>
      <c r="C4265">
        <v>1270.9332999999999</v>
      </c>
      <c r="D4265" t="s">
        <v>260</v>
      </c>
      <c r="E4265">
        <v>2021</v>
      </c>
      <c r="F4265">
        <v>12</v>
      </c>
    </row>
    <row r="4266" spans="1:6" x14ac:dyDescent="0.55000000000000004">
      <c r="A4266" t="s">
        <v>134</v>
      </c>
      <c r="B4266" t="s">
        <v>10</v>
      </c>
      <c r="C4266">
        <v>4085.2</v>
      </c>
      <c r="D4266" t="s">
        <v>260</v>
      </c>
      <c r="E4266">
        <v>2021</v>
      </c>
      <c r="F4266">
        <v>12</v>
      </c>
    </row>
    <row r="4267" spans="1:6" x14ac:dyDescent="0.55000000000000004">
      <c r="A4267" t="s">
        <v>134</v>
      </c>
      <c r="B4267" t="s">
        <v>11</v>
      </c>
      <c r="C4267">
        <v>3944334.0693000001</v>
      </c>
      <c r="D4267" t="s">
        <v>260</v>
      </c>
      <c r="E4267">
        <v>2021</v>
      </c>
      <c r="F4267">
        <v>12</v>
      </c>
    </row>
    <row r="4268" spans="1:6" x14ac:dyDescent="0.55000000000000004">
      <c r="A4268" t="s">
        <v>134</v>
      </c>
      <c r="B4268" t="s">
        <v>12</v>
      </c>
      <c r="C4268">
        <v>16324.0833</v>
      </c>
      <c r="D4268" t="s">
        <v>260</v>
      </c>
      <c r="E4268">
        <v>2021</v>
      </c>
      <c r="F4268">
        <v>12</v>
      </c>
    </row>
    <row r="4269" spans="1:6" x14ac:dyDescent="0.55000000000000004">
      <c r="A4269" t="s">
        <v>134</v>
      </c>
      <c r="B4269" t="s">
        <v>13</v>
      </c>
      <c r="C4269">
        <v>8000</v>
      </c>
      <c r="D4269" t="s">
        <v>260</v>
      </c>
      <c r="E4269">
        <v>2021</v>
      </c>
      <c r="F4269">
        <v>12</v>
      </c>
    </row>
    <row r="4270" spans="1:6" x14ac:dyDescent="0.55000000000000004">
      <c r="A4270" t="s">
        <v>134</v>
      </c>
      <c r="B4270" t="s">
        <v>14</v>
      </c>
      <c r="C4270">
        <v>700</v>
      </c>
      <c r="D4270" t="s">
        <v>260</v>
      </c>
      <c r="E4270">
        <v>2021</v>
      </c>
      <c r="F4270">
        <v>12</v>
      </c>
    </row>
    <row r="4271" spans="1:6" x14ac:dyDescent="0.55000000000000004">
      <c r="A4271" t="s">
        <v>134</v>
      </c>
      <c r="B4271" t="s">
        <v>15</v>
      </c>
      <c r="C4271">
        <v>1175946.2982000001</v>
      </c>
      <c r="D4271" t="s">
        <v>260</v>
      </c>
      <c r="E4271">
        <v>2021</v>
      </c>
      <c r="F4271">
        <v>12</v>
      </c>
    </row>
    <row r="4272" spans="1:6" x14ac:dyDescent="0.55000000000000004">
      <c r="A4272" t="s">
        <v>134</v>
      </c>
      <c r="B4272" t="s">
        <v>16</v>
      </c>
      <c r="C4272">
        <v>7.0609999999999999</v>
      </c>
      <c r="D4272" t="s">
        <v>260</v>
      </c>
      <c r="E4272">
        <v>2021</v>
      </c>
      <c r="F4272">
        <v>12</v>
      </c>
    </row>
    <row r="4273" spans="1:6" x14ac:dyDescent="0.55000000000000004">
      <c r="A4273" t="s">
        <v>134</v>
      </c>
      <c r="B4273" t="s">
        <v>17</v>
      </c>
      <c r="C4273">
        <v>41521.8462</v>
      </c>
      <c r="D4273" t="s">
        <v>260</v>
      </c>
      <c r="E4273">
        <v>2021</v>
      </c>
      <c r="F4273">
        <v>12</v>
      </c>
    </row>
    <row r="4274" spans="1:6" x14ac:dyDescent="0.55000000000000004">
      <c r="A4274" t="s">
        <v>134</v>
      </c>
      <c r="B4274" t="s">
        <v>18</v>
      </c>
      <c r="C4274">
        <v>33035.5504</v>
      </c>
      <c r="D4274" t="s">
        <v>260</v>
      </c>
      <c r="E4274">
        <v>2021</v>
      </c>
      <c r="F4274">
        <v>12</v>
      </c>
    </row>
    <row r="4275" spans="1:6" x14ac:dyDescent="0.55000000000000004">
      <c r="A4275" t="s">
        <v>134</v>
      </c>
      <c r="B4275" t="s">
        <v>19</v>
      </c>
      <c r="C4275">
        <v>2053.4454000000001</v>
      </c>
      <c r="D4275" t="s">
        <v>260</v>
      </c>
      <c r="E4275">
        <v>2021</v>
      </c>
      <c r="F4275">
        <v>12</v>
      </c>
    </row>
    <row r="4276" spans="1:6" x14ac:dyDescent="0.55000000000000004">
      <c r="A4276" t="s">
        <v>134</v>
      </c>
      <c r="B4276" t="s">
        <v>20</v>
      </c>
      <c r="C4276">
        <v>9500</v>
      </c>
      <c r="D4276" t="s">
        <v>260</v>
      </c>
      <c r="E4276">
        <v>2021</v>
      </c>
      <c r="F4276">
        <v>12</v>
      </c>
    </row>
    <row r="4277" spans="1:6" x14ac:dyDescent="0.55000000000000004">
      <c r="A4277" t="s">
        <v>134</v>
      </c>
      <c r="B4277" t="s">
        <v>21</v>
      </c>
      <c r="C4277">
        <v>5186.2335999999996</v>
      </c>
      <c r="D4277" t="s">
        <v>260</v>
      </c>
      <c r="E4277">
        <v>2021</v>
      </c>
      <c r="F4277">
        <v>12</v>
      </c>
    </row>
    <row r="4278" spans="1:6" x14ac:dyDescent="0.55000000000000004">
      <c r="A4278" t="s">
        <v>134</v>
      </c>
      <c r="B4278" t="s">
        <v>22</v>
      </c>
      <c r="C4278">
        <v>105091.79580000001</v>
      </c>
      <c r="D4278" t="s">
        <v>260</v>
      </c>
      <c r="E4278">
        <v>2021</v>
      </c>
      <c r="F4278">
        <v>12</v>
      </c>
    </row>
    <row r="4279" spans="1:6" x14ac:dyDescent="0.55000000000000004">
      <c r="A4279" t="s">
        <v>134</v>
      </c>
      <c r="B4279" t="s">
        <v>23</v>
      </c>
      <c r="C4279">
        <v>6905.3033999999998</v>
      </c>
      <c r="D4279" t="s">
        <v>260</v>
      </c>
      <c r="E4279">
        <v>2021</v>
      </c>
      <c r="F4279">
        <v>12</v>
      </c>
    </row>
    <row r="4280" spans="1:6" x14ac:dyDescent="0.55000000000000004">
      <c r="A4280" t="s">
        <v>134</v>
      </c>
      <c r="B4280" t="s">
        <v>24</v>
      </c>
      <c r="C4280">
        <v>0</v>
      </c>
      <c r="D4280" t="s">
        <v>260</v>
      </c>
      <c r="E4280">
        <v>2021</v>
      </c>
      <c r="F4280">
        <v>12</v>
      </c>
    </row>
    <row r="4281" spans="1:6" x14ac:dyDescent="0.55000000000000004">
      <c r="A4281" t="s">
        <v>134</v>
      </c>
      <c r="B4281" t="s">
        <v>25</v>
      </c>
      <c r="C4281">
        <v>260000</v>
      </c>
      <c r="D4281" t="s">
        <v>260</v>
      </c>
      <c r="E4281">
        <v>2021</v>
      </c>
      <c r="F4281">
        <v>12</v>
      </c>
    </row>
    <row r="4282" spans="1:6" x14ac:dyDescent="0.55000000000000004">
      <c r="A4282" t="s">
        <v>134</v>
      </c>
      <c r="B4282" t="s">
        <v>26</v>
      </c>
      <c r="C4282">
        <v>0</v>
      </c>
      <c r="D4282" t="s">
        <v>260</v>
      </c>
      <c r="E4282">
        <v>2021</v>
      </c>
      <c r="F4282">
        <v>12</v>
      </c>
    </row>
    <row r="4283" spans="1:6" x14ac:dyDescent="0.55000000000000004">
      <c r="A4283" t="s">
        <v>134</v>
      </c>
      <c r="B4283" t="s">
        <v>27</v>
      </c>
      <c r="C4283">
        <v>838.5</v>
      </c>
      <c r="D4283" t="s">
        <v>260</v>
      </c>
      <c r="E4283">
        <v>2021</v>
      </c>
      <c r="F4283">
        <v>12</v>
      </c>
    </row>
    <row r="4284" spans="1:6" x14ac:dyDescent="0.55000000000000004">
      <c r="A4284" t="s">
        <v>134</v>
      </c>
      <c r="B4284" t="s">
        <v>28</v>
      </c>
      <c r="C4284">
        <v>109598.3692</v>
      </c>
      <c r="D4284" t="s">
        <v>260</v>
      </c>
      <c r="E4284">
        <v>2021</v>
      </c>
      <c r="F4284">
        <v>12</v>
      </c>
    </row>
    <row r="4285" spans="1:6" x14ac:dyDescent="0.55000000000000004">
      <c r="A4285" t="s">
        <v>134</v>
      </c>
      <c r="B4285" t="s">
        <v>29</v>
      </c>
      <c r="C4285">
        <v>82591.103199999998</v>
      </c>
      <c r="D4285" t="s">
        <v>260</v>
      </c>
      <c r="E4285">
        <v>2021</v>
      </c>
      <c r="F4285">
        <v>12</v>
      </c>
    </row>
    <row r="4286" spans="1:6" x14ac:dyDescent="0.55000000000000004">
      <c r="A4286" t="s">
        <v>134</v>
      </c>
      <c r="B4286" t="s">
        <v>30</v>
      </c>
      <c r="C4286">
        <v>0</v>
      </c>
      <c r="D4286" t="s">
        <v>260</v>
      </c>
      <c r="E4286">
        <v>2021</v>
      </c>
      <c r="F4286">
        <v>12</v>
      </c>
    </row>
    <row r="4287" spans="1:6" x14ac:dyDescent="0.55000000000000004">
      <c r="A4287" t="s">
        <v>134</v>
      </c>
      <c r="B4287" t="s">
        <v>31</v>
      </c>
      <c r="C4287">
        <v>30</v>
      </c>
      <c r="D4287" t="s">
        <v>260</v>
      </c>
      <c r="E4287">
        <v>2021</v>
      </c>
      <c r="F4287">
        <v>12</v>
      </c>
    </row>
    <row r="4288" spans="1:6" x14ac:dyDescent="0.55000000000000004">
      <c r="A4288" t="s">
        <v>134</v>
      </c>
      <c r="B4288" t="s">
        <v>32</v>
      </c>
      <c r="C4288">
        <v>296222.6887</v>
      </c>
      <c r="D4288" t="s">
        <v>260</v>
      </c>
      <c r="E4288">
        <v>2021</v>
      </c>
      <c r="F4288">
        <v>12</v>
      </c>
    </row>
    <row r="4289" spans="1:6" x14ac:dyDescent="0.55000000000000004">
      <c r="A4289" t="s">
        <v>134</v>
      </c>
      <c r="B4289" t="s">
        <v>33</v>
      </c>
      <c r="C4289">
        <v>683550.78319999995</v>
      </c>
      <c r="D4289" t="s">
        <v>260</v>
      </c>
      <c r="E4289">
        <v>2021</v>
      </c>
      <c r="F4289">
        <v>12</v>
      </c>
    </row>
    <row r="4290" spans="1:6" x14ac:dyDescent="0.55000000000000004">
      <c r="A4290" t="s">
        <v>134</v>
      </c>
      <c r="B4290" t="s">
        <v>34</v>
      </c>
      <c r="C4290">
        <v>685764.97840000002</v>
      </c>
      <c r="D4290" t="s">
        <v>260</v>
      </c>
      <c r="E4290">
        <v>2021</v>
      </c>
      <c r="F4290">
        <v>12</v>
      </c>
    </row>
    <row r="4291" spans="1:6" x14ac:dyDescent="0.55000000000000004">
      <c r="A4291" t="s">
        <v>134</v>
      </c>
      <c r="B4291" t="s">
        <v>35</v>
      </c>
      <c r="C4291">
        <v>610.00369999999998</v>
      </c>
      <c r="D4291" t="s">
        <v>260</v>
      </c>
      <c r="E4291">
        <v>2021</v>
      </c>
      <c r="F4291">
        <v>12</v>
      </c>
    </row>
    <row r="4292" spans="1:6" x14ac:dyDescent="0.55000000000000004">
      <c r="A4292" t="s">
        <v>134</v>
      </c>
      <c r="B4292" t="s">
        <v>36</v>
      </c>
      <c r="C4292">
        <v>6163.2740000000003</v>
      </c>
      <c r="D4292" t="s">
        <v>260</v>
      </c>
      <c r="E4292">
        <v>2021</v>
      </c>
      <c r="F4292">
        <v>12</v>
      </c>
    </row>
    <row r="4293" spans="1:6" x14ac:dyDescent="0.55000000000000004">
      <c r="A4293" t="s">
        <v>134</v>
      </c>
      <c r="B4293" t="s">
        <v>37</v>
      </c>
      <c r="C4293">
        <v>29100.014299999999</v>
      </c>
      <c r="D4293" t="s">
        <v>260</v>
      </c>
      <c r="E4293">
        <v>2021</v>
      </c>
      <c r="F4293">
        <v>12</v>
      </c>
    </row>
    <row r="4294" spans="1:6" x14ac:dyDescent="0.55000000000000004">
      <c r="A4294" t="s">
        <v>134</v>
      </c>
      <c r="B4294" t="s">
        <v>38</v>
      </c>
      <c r="C4294">
        <v>0</v>
      </c>
      <c r="D4294" t="s">
        <v>260</v>
      </c>
      <c r="E4294">
        <v>2021</v>
      </c>
      <c r="F4294">
        <v>12</v>
      </c>
    </row>
    <row r="4295" spans="1:6" x14ac:dyDescent="0.55000000000000004">
      <c r="A4295" t="s">
        <v>134</v>
      </c>
      <c r="B4295" t="s">
        <v>39</v>
      </c>
      <c r="C4295">
        <v>4.6699999999999998E-2</v>
      </c>
      <c r="D4295" t="s">
        <v>260</v>
      </c>
      <c r="E4295">
        <v>2021</v>
      </c>
      <c r="F4295">
        <v>12</v>
      </c>
    </row>
    <row r="4296" spans="1:6" x14ac:dyDescent="0.55000000000000004">
      <c r="A4296" t="s">
        <v>134</v>
      </c>
      <c r="B4296" t="s">
        <v>40</v>
      </c>
      <c r="C4296">
        <v>1649.7722000000001</v>
      </c>
      <c r="D4296" t="s">
        <v>260</v>
      </c>
      <c r="E4296">
        <v>2021</v>
      </c>
      <c r="F4296">
        <v>12</v>
      </c>
    </row>
    <row r="4297" spans="1:6" x14ac:dyDescent="0.55000000000000004">
      <c r="A4297" t="s">
        <v>134</v>
      </c>
      <c r="B4297" t="s">
        <v>41</v>
      </c>
      <c r="C4297">
        <v>189000.00700000001</v>
      </c>
      <c r="D4297" t="s">
        <v>260</v>
      </c>
      <c r="E4297">
        <v>2021</v>
      </c>
      <c r="F4297">
        <v>12</v>
      </c>
    </row>
    <row r="4298" spans="1:6" x14ac:dyDescent="0.55000000000000004">
      <c r="A4298" t="s">
        <v>134</v>
      </c>
      <c r="B4298" t="s">
        <v>42</v>
      </c>
      <c r="C4298">
        <v>37.392600000000002</v>
      </c>
      <c r="D4298" t="s">
        <v>260</v>
      </c>
      <c r="E4298">
        <v>2021</v>
      </c>
      <c r="F4298">
        <v>12</v>
      </c>
    </row>
    <row r="4299" spans="1:6" x14ac:dyDescent="0.55000000000000004">
      <c r="A4299" t="s">
        <v>134</v>
      </c>
      <c r="B4299" t="s">
        <v>43</v>
      </c>
      <c r="C4299">
        <v>159034.02600000001</v>
      </c>
      <c r="D4299" t="s">
        <v>260</v>
      </c>
      <c r="E4299">
        <v>2021</v>
      </c>
      <c r="F4299">
        <v>12</v>
      </c>
    </row>
    <row r="4300" spans="1:6" x14ac:dyDescent="0.55000000000000004">
      <c r="A4300" t="s">
        <v>134</v>
      </c>
      <c r="B4300" t="s">
        <v>44</v>
      </c>
      <c r="C4300">
        <v>0</v>
      </c>
      <c r="D4300" t="s">
        <v>260</v>
      </c>
      <c r="E4300">
        <v>2021</v>
      </c>
      <c r="F4300">
        <v>12</v>
      </c>
    </row>
    <row r="4301" spans="1:6" x14ac:dyDescent="0.55000000000000004">
      <c r="A4301" t="s">
        <v>134</v>
      </c>
      <c r="B4301" t="s">
        <v>45</v>
      </c>
      <c r="C4301">
        <v>1885.6433</v>
      </c>
      <c r="D4301" t="s">
        <v>260</v>
      </c>
      <c r="E4301">
        <v>2021</v>
      </c>
      <c r="F4301">
        <v>12</v>
      </c>
    </row>
    <row r="4302" spans="1:6" x14ac:dyDescent="0.55000000000000004">
      <c r="A4302" t="s">
        <v>134</v>
      </c>
      <c r="B4302" t="s">
        <v>46</v>
      </c>
      <c r="C4302">
        <v>68000</v>
      </c>
      <c r="D4302" t="s">
        <v>260</v>
      </c>
      <c r="E4302">
        <v>2021</v>
      </c>
      <c r="F4302">
        <v>12</v>
      </c>
    </row>
    <row r="4303" spans="1:6" x14ac:dyDescent="0.55000000000000004">
      <c r="A4303" t="s">
        <v>134</v>
      </c>
      <c r="B4303" t="s">
        <v>47</v>
      </c>
      <c r="C4303">
        <v>0</v>
      </c>
      <c r="D4303" t="s">
        <v>260</v>
      </c>
      <c r="E4303">
        <v>2021</v>
      </c>
      <c r="F4303">
        <v>12</v>
      </c>
    </row>
    <row r="4304" spans="1:6" x14ac:dyDescent="0.55000000000000004">
      <c r="A4304" t="s">
        <v>134</v>
      </c>
      <c r="B4304" t="s">
        <v>48</v>
      </c>
      <c r="C4304">
        <v>536391.69620000001</v>
      </c>
      <c r="D4304" t="s">
        <v>260</v>
      </c>
      <c r="E4304">
        <v>2021</v>
      </c>
      <c r="F4304">
        <v>12</v>
      </c>
    </row>
    <row r="4305" spans="1:6" x14ac:dyDescent="0.55000000000000004">
      <c r="A4305" t="s">
        <v>134</v>
      </c>
      <c r="B4305" t="s">
        <v>49</v>
      </c>
      <c r="C4305">
        <v>319.8</v>
      </c>
      <c r="D4305" t="s">
        <v>260</v>
      </c>
      <c r="E4305">
        <v>2021</v>
      </c>
      <c r="F4305">
        <v>12</v>
      </c>
    </row>
    <row r="4306" spans="1:6" x14ac:dyDescent="0.55000000000000004">
      <c r="A4306" t="s">
        <v>134</v>
      </c>
      <c r="B4306" t="s">
        <v>50</v>
      </c>
      <c r="C4306">
        <v>71398.249599999996</v>
      </c>
      <c r="D4306" t="s">
        <v>260</v>
      </c>
      <c r="E4306">
        <v>2021</v>
      </c>
      <c r="F4306">
        <v>12</v>
      </c>
    </row>
    <row r="4307" spans="1:6" x14ac:dyDescent="0.55000000000000004">
      <c r="A4307" t="s">
        <v>134</v>
      </c>
      <c r="B4307" t="s">
        <v>51</v>
      </c>
      <c r="C4307">
        <v>1900</v>
      </c>
      <c r="D4307" t="s">
        <v>260</v>
      </c>
      <c r="E4307">
        <v>2021</v>
      </c>
      <c r="F4307">
        <v>12</v>
      </c>
    </row>
    <row r="4308" spans="1:6" x14ac:dyDescent="0.55000000000000004">
      <c r="A4308" t="s">
        <v>134</v>
      </c>
      <c r="B4308" t="s">
        <v>52</v>
      </c>
      <c r="C4308">
        <v>133.04929999999999</v>
      </c>
      <c r="D4308" t="s">
        <v>260</v>
      </c>
      <c r="E4308">
        <v>2021</v>
      </c>
      <c r="F4308">
        <v>12</v>
      </c>
    </row>
    <row r="4309" spans="1:6" x14ac:dyDescent="0.55000000000000004">
      <c r="A4309" t="s">
        <v>134</v>
      </c>
      <c r="B4309" t="s">
        <v>53</v>
      </c>
      <c r="C4309">
        <v>111552.5333</v>
      </c>
      <c r="D4309" t="s">
        <v>260</v>
      </c>
      <c r="E4309">
        <v>2021</v>
      </c>
      <c r="F4309">
        <v>12</v>
      </c>
    </row>
    <row r="4310" spans="1:6" x14ac:dyDescent="0.55000000000000004">
      <c r="A4310" t="s">
        <v>134</v>
      </c>
      <c r="B4310" t="s">
        <v>54</v>
      </c>
      <c r="C4310">
        <v>19718.718099999998</v>
      </c>
      <c r="D4310" t="s">
        <v>260</v>
      </c>
      <c r="E4310">
        <v>2021</v>
      </c>
      <c r="F4310">
        <v>12</v>
      </c>
    </row>
    <row r="4311" spans="1:6" x14ac:dyDescent="0.55000000000000004">
      <c r="A4311" t="s">
        <v>134</v>
      </c>
      <c r="B4311" t="s">
        <v>55</v>
      </c>
      <c r="C4311">
        <v>15747</v>
      </c>
      <c r="D4311" t="s">
        <v>260</v>
      </c>
      <c r="E4311">
        <v>2021</v>
      </c>
      <c r="F4311">
        <v>12</v>
      </c>
    </row>
    <row r="4312" spans="1:6" x14ac:dyDescent="0.55000000000000004">
      <c r="A4312" t="s">
        <v>134</v>
      </c>
      <c r="B4312" t="s">
        <v>56</v>
      </c>
      <c r="C4312">
        <v>2.0667</v>
      </c>
      <c r="D4312" t="s">
        <v>260</v>
      </c>
      <c r="E4312">
        <v>2021</v>
      </c>
      <c r="F4312">
        <v>12</v>
      </c>
    </row>
    <row r="4313" spans="1:6" x14ac:dyDescent="0.55000000000000004">
      <c r="A4313" t="s">
        <v>134</v>
      </c>
      <c r="B4313" t="s">
        <v>57</v>
      </c>
      <c r="C4313">
        <v>200.9973</v>
      </c>
      <c r="D4313" t="s">
        <v>260</v>
      </c>
      <c r="E4313">
        <v>2021</v>
      </c>
      <c r="F4313">
        <v>12</v>
      </c>
    </row>
    <row r="4314" spans="1:6" x14ac:dyDescent="0.55000000000000004">
      <c r="A4314" t="s">
        <v>134</v>
      </c>
      <c r="B4314" t="s">
        <v>58</v>
      </c>
      <c r="C4314">
        <v>536569</v>
      </c>
      <c r="D4314" t="s">
        <v>260</v>
      </c>
      <c r="E4314">
        <v>2021</v>
      </c>
      <c r="F4314">
        <v>12</v>
      </c>
    </row>
    <row r="4315" spans="1:6" x14ac:dyDescent="0.55000000000000004">
      <c r="A4315" t="s">
        <v>134</v>
      </c>
      <c r="B4315" t="s">
        <v>59</v>
      </c>
      <c r="C4315">
        <v>20600</v>
      </c>
      <c r="D4315" t="s">
        <v>260</v>
      </c>
      <c r="E4315">
        <v>2021</v>
      </c>
      <c r="F4315">
        <v>12</v>
      </c>
    </row>
    <row r="4316" spans="1:6" x14ac:dyDescent="0.55000000000000004">
      <c r="A4316" t="s">
        <v>134</v>
      </c>
      <c r="B4316" t="s">
        <v>60</v>
      </c>
      <c r="C4316">
        <v>2902556.4635000001</v>
      </c>
      <c r="D4316" t="s">
        <v>260</v>
      </c>
      <c r="E4316">
        <v>2021</v>
      </c>
      <c r="F4316">
        <v>12</v>
      </c>
    </row>
    <row r="4317" spans="1:6" x14ac:dyDescent="0.55000000000000004">
      <c r="A4317" t="s">
        <v>134</v>
      </c>
      <c r="B4317" t="s">
        <v>61</v>
      </c>
      <c r="C4317">
        <v>4270.0033999999996</v>
      </c>
      <c r="D4317" t="s">
        <v>260</v>
      </c>
      <c r="E4317">
        <v>2021</v>
      </c>
      <c r="F4317">
        <v>12</v>
      </c>
    </row>
    <row r="4318" spans="1:6" x14ac:dyDescent="0.55000000000000004">
      <c r="A4318" t="s">
        <v>134</v>
      </c>
      <c r="B4318" t="s">
        <v>62</v>
      </c>
      <c r="C4318">
        <v>6858</v>
      </c>
      <c r="D4318" t="s">
        <v>260</v>
      </c>
      <c r="E4318">
        <v>2021</v>
      </c>
      <c r="F4318">
        <v>12</v>
      </c>
    </row>
    <row r="4319" spans="1:6" x14ac:dyDescent="0.55000000000000004">
      <c r="A4319" t="s">
        <v>134</v>
      </c>
      <c r="B4319" t="s">
        <v>63</v>
      </c>
      <c r="C4319">
        <v>0</v>
      </c>
      <c r="D4319" t="s">
        <v>260</v>
      </c>
      <c r="E4319">
        <v>2021</v>
      </c>
      <c r="F4319">
        <v>12</v>
      </c>
    </row>
    <row r="4320" spans="1:6" x14ac:dyDescent="0.55000000000000004">
      <c r="A4320" t="s">
        <v>135</v>
      </c>
      <c r="B4320" t="s">
        <v>4</v>
      </c>
      <c r="C4320">
        <v>11384353.9892</v>
      </c>
      <c r="D4320" t="s">
        <v>261</v>
      </c>
      <c r="E4320">
        <v>2022</v>
      </c>
      <c r="F4320">
        <v>1</v>
      </c>
    </row>
    <row r="4321" spans="1:6" x14ac:dyDescent="0.55000000000000004">
      <c r="A4321" t="s">
        <v>135</v>
      </c>
      <c r="B4321" t="s">
        <v>5</v>
      </c>
      <c r="C4321">
        <v>1192387.3814000001</v>
      </c>
      <c r="D4321" t="s">
        <v>261</v>
      </c>
      <c r="E4321">
        <v>2022</v>
      </c>
      <c r="F4321">
        <v>1</v>
      </c>
    </row>
    <row r="4322" spans="1:6" x14ac:dyDescent="0.55000000000000004">
      <c r="A4322" t="s">
        <v>135</v>
      </c>
      <c r="B4322" t="s">
        <v>6</v>
      </c>
      <c r="C4322">
        <v>2114672.0287000001</v>
      </c>
      <c r="D4322" t="s">
        <v>261</v>
      </c>
      <c r="E4322">
        <v>2022</v>
      </c>
      <c r="F4322">
        <v>1</v>
      </c>
    </row>
    <row r="4323" spans="1:6" x14ac:dyDescent="0.55000000000000004">
      <c r="A4323" t="s">
        <v>135</v>
      </c>
      <c r="B4323" t="s">
        <v>7</v>
      </c>
      <c r="C4323">
        <v>3648697.963</v>
      </c>
      <c r="D4323" t="s">
        <v>261</v>
      </c>
      <c r="E4323">
        <v>2022</v>
      </c>
      <c r="F4323">
        <v>1</v>
      </c>
    </row>
    <row r="4324" spans="1:6" x14ac:dyDescent="0.55000000000000004">
      <c r="A4324" t="s">
        <v>135</v>
      </c>
      <c r="B4324" t="s">
        <v>8</v>
      </c>
      <c r="C4324">
        <v>4428596.6161000002</v>
      </c>
      <c r="D4324" t="s">
        <v>261</v>
      </c>
      <c r="E4324">
        <v>2022</v>
      </c>
      <c r="F4324">
        <v>1</v>
      </c>
    </row>
    <row r="4325" spans="1:6" x14ac:dyDescent="0.55000000000000004">
      <c r="A4325" t="s">
        <v>135</v>
      </c>
      <c r="B4325" t="s">
        <v>9</v>
      </c>
      <c r="C4325">
        <v>2061.3332999999998</v>
      </c>
      <c r="D4325" t="s">
        <v>261</v>
      </c>
      <c r="E4325">
        <v>2022</v>
      </c>
      <c r="F4325">
        <v>1</v>
      </c>
    </row>
    <row r="4326" spans="1:6" x14ac:dyDescent="0.55000000000000004">
      <c r="A4326" t="s">
        <v>135</v>
      </c>
      <c r="B4326" t="s">
        <v>10</v>
      </c>
      <c r="C4326">
        <v>4563.4832999999999</v>
      </c>
      <c r="D4326" t="s">
        <v>261</v>
      </c>
      <c r="E4326">
        <v>2022</v>
      </c>
      <c r="F4326">
        <v>1</v>
      </c>
    </row>
    <row r="4327" spans="1:6" x14ac:dyDescent="0.55000000000000004">
      <c r="A4327" t="s">
        <v>135</v>
      </c>
      <c r="B4327" t="s">
        <v>11</v>
      </c>
      <c r="C4327">
        <v>3468385.6348999999</v>
      </c>
      <c r="D4327" t="s">
        <v>261</v>
      </c>
      <c r="E4327">
        <v>2022</v>
      </c>
      <c r="F4327">
        <v>1</v>
      </c>
    </row>
    <row r="4328" spans="1:6" x14ac:dyDescent="0.55000000000000004">
      <c r="A4328" t="s">
        <v>135</v>
      </c>
      <c r="B4328" t="s">
        <v>12</v>
      </c>
      <c r="C4328">
        <v>6000.5433000000003</v>
      </c>
      <c r="D4328" t="s">
        <v>261</v>
      </c>
      <c r="E4328">
        <v>2022</v>
      </c>
      <c r="F4328">
        <v>1</v>
      </c>
    </row>
    <row r="4329" spans="1:6" x14ac:dyDescent="0.55000000000000004">
      <c r="A4329" t="s">
        <v>135</v>
      </c>
      <c r="B4329" t="s">
        <v>13</v>
      </c>
      <c r="C4329">
        <v>10900</v>
      </c>
      <c r="D4329" t="s">
        <v>261</v>
      </c>
      <c r="E4329">
        <v>2022</v>
      </c>
      <c r="F4329">
        <v>1</v>
      </c>
    </row>
    <row r="4330" spans="1:6" x14ac:dyDescent="0.55000000000000004">
      <c r="A4330" t="s">
        <v>135</v>
      </c>
      <c r="B4330" t="s">
        <v>14</v>
      </c>
      <c r="C4330">
        <v>1200</v>
      </c>
      <c r="D4330" t="s">
        <v>261</v>
      </c>
      <c r="E4330">
        <v>2022</v>
      </c>
      <c r="F4330">
        <v>1</v>
      </c>
    </row>
    <row r="4331" spans="1:6" x14ac:dyDescent="0.55000000000000004">
      <c r="A4331" t="s">
        <v>135</v>
      </c>
      <c r="B4331" t="s">
        <v>15</v>
      </c>
      <c r="C4331">
        <v>1045119.4758</v>
      </c>
      <c r="D4331" t="s">
        <v>261</v>
      </c>
      <c r="E4331">
        <v>2022</v>
      </c>
      <c r="F4331">
        <v>1</v>
      </c>
    </row>
    <row r="4332" spans="1:6" x14ac:dyDescent="0.55000000000000004">
      <c r="A4332" t="s">
        <v>135</v>
      </c>
      <c r="B4332" t="s">
        <v>16</v>
      </c>
      <c r="C4332">
        <v>0.82650000000000001</v>
      </c>
      <c r="D4332" t="s">
        <v>261</v>
      </c>
      <c r="E4332">
        <v>2022</v>
      </c>
      <c r="F4332">
        <v>1</v>
      </c>
    </row>
    <row r="4333" spans="1:6" x14ac:dyDescent="0.55000000000000004">
      <c r="A4333" t="s">
        <v>135</v>
      </c>
      <c r="B4333" t="s">
        <v>17</v>
      </c>
      <c r="C4333">
        <v>63646.703600000001</v>
      </c>
      <c r="D4333" t="s">
        <v>261</v>
      </c>
      <c r="E4333">
        <v>2022</v>
      </c>
      <c r="F4333">
        <v>1</v>
      </c>
    </row>
    <row r="4334" spans="1:6" x14ac:dyDescent="0.55000000000000004">
      <c r="A4334" t="s">
        <v>135</v>
      </c>
      <c r="B4334" t="s">
        <v>18</v>
      </c>
      <c r="C4334">
        <v>44176.150099999999</v>
      </c>
      <c r="D4334" t="s">
        <v>261</v>
      </c>
      <c r="E4334">
        <v>2022</v>
      </c>
      <c r="F4334">
        <v>1</v>
      </c>
    </row>
    <row r="4335" spans="1:6" x14ac:dyDescent="0.55000000000000004">
      <c r="A4335" t="s">
        <v>135</v>
      </c>
      <c r="B4335" t="s">
        <v>19</v>
      </c>
      <c r="C4335">
        <v>1385.5616</v>
      </c>
      <c r="D4335" t="s">
        <v>261</v>
      </c>
      <c r="E4335">
        <v>2022</v>
      </c>
      <c r="F4335">
        <v>1</v>
      </c>
    </row>
    <row r="4336" spans="1:6" x14ac:dyDescent="0.55000000000000004">
      <c r="A4336" t="s">
        <v>135</v>
      </c>
      <c r="B4336" t="s">
        <v>20</v>
      </c>
      <c r="C4336">
        <v>10000</v>
      </c>
      <c r="D4336" t="s">
        <v>261</v>
      </c>
      <c r="E4336">
        <v>2022</v>
      </c>
      <c r="F4336">
        <v>1</v>
      </c>
    </row>
    <row r="4337" spans="1:6" x14ac:dyDescent="0.55000000000000004">
      <c r="A4337" t="s">
        <v>135</v>
      </c>
      <c r="B4337" t="s">
        <v>21</v>
      </c>
      <c r="C4337">
        <v>2492.6062999999999</v>
      </c>
      <c r="D4337" t="s">
        <v>261</v>
      </c>
      <c r="E4337">
        <v>2022</v>
      </c>
      <c r="F4337">
        <v>1</v>
      </c>
    </row>
    <row r="4338" spans="1:6" x14ac:dyDescent="0.55000000000000004">
      <c r="A4338" t="s">
        <v>135</v>
      </c>
      <c r="B4338" t="s">
        <v>22</v>
      </c>
      <c r="C4338">
        <v>17380.144</v>
      </c>
      <c r="D4338" t="s">
        <v>261</v>
      </c>
      <c r="E4338">
        <v>2022</v>
      </c>
      <c r="F4338">
        <v>1</v>
      </c>
    </row>
    <row r="4339" spans="1:6" x14ac:dyDescent="0.55000000000000004">
      <c r="A4339" t="s">
        <v>135</v>
      </c>
      <c r="B4339" t="s">
        <v>23</v>
      </c>
      <c r="C4339">
        <v>22370.584699999999</v>
      </c>
      <c r="D4339" t="s">
        <v>261</v>
      </c>
      <c r="E4339">
        <v>2022</v>
      </c>
      <c r="F4339">
        <v>1</v>
      </c>
    </row>
    <row r="4340" spans="1:6" x14ac:dyDescent="0.55000000000000004">
      <c r="A4340" t="s">
        <v>135</v>
      </c>
      <c r="B4340" t="s">
        <v>24</v>
      </c>
      <c r="C4340">
        <v>0</v>
      </c>
      <c r="D4340" t="s">
        <v>261</v>
      </c>
      <c r="E4340">
        <v>2022</v>
      </c>
      <c r="F4340">
        <v>1</v>
      </c>
    </row>
    <row r="4341" spans="1:6" x14ac:dyDescent="0.55000000000000004">
      <c r="A4341" t="s">
        <v>135</v>
      </c>
      <c r="B4341" t="s">
        <v>25</v>
      </c>
      <c r="C4341">
        <v>240000</v>
      </c>
      <c r="D4341" t="s">
        <v>261</v>
      </c>
      <c r="E4341">
        <v>2022</v>
      </c>
      <c r="F4341">
        <v>1</v>
      </c>
    </row>
    <row r="4342" spans="1:6" x14ac:dyDescent="0.55000000000000004">
      <c r="A4342" t="s">
        <v>135</v>
      </c>
      <c r="B4342" t="s">
        <v>26</v>
      </c>
      <c r="C4342">
        <v>0</v>
      </c>
      <c r="D4342" t="s">
        <v>261</v>
      </c>
      <c r="E4342">
        <v>2022</v>
      </c>
      <c r="F4342">
        <v>1</v>
      </c>
    </row>
    <row r="4343" spans="1:6" x14ac:dyDescent="0.55000000000000004">
      <c r="A4343" t="s">
        <v>135</v>
      </c>
      <c r="B4343" t="s">
        <v>27</v>
      </c>
      <c r="C4343">
        <v>295.69139999999999</v>
      </c>
      <c r="D4343" t="s">
        <v>261</v>
      </c>
      <c r="E4343">
        <v>2022</v>
      </c>
      <c r="F4343">
        <v>1</v>
      </c>
    </row>
    <row r="4344" spans="1:6" x14ac:dyDescent="0.55000000000000004">
      <c r="A4344" t="s">
        <v>135</v>
      </c>
      <c r="B4344" t="s">
        <v>28</v>
      </c>
      <c r="C4344">
        <v>226107.40100000001</v>
      </c>
      <c r="D4344" t="s">
        <v>261</v>
      </c>
      <c r="E4344">
        <v>2022</v>
      </c>
      <c r="F4344">
        <v>1</v>
      </c>
    </row>
    <row r="4345" spans="1:6" x14ac:dyDescent="0.55000000000000004">
      <c r="A4345" t="s">
        <v>135</v>
      </c>
      <c r="B4345" t="s">
        <v>29</v>
      </c>
      <c r="C4345">
        <v>46542.853999999999</v>
      </c>
      <c r="D4345" t="s">
        <v>261</v>
      </c>
      <c r="E4345">
        <v>2022</v>
      </c>
      <c r="F4345">
        <v>1</v>
      </c>
    </row>
    <row r="4346" spans="1:6" x14ac:dyDescent="0.55000000000000004">
      <c r="A4346" t="s">
        <v>135</v>
      </c>
      <c r="B4346" t="s">
        <v>30</v>
      </c>
      <c r="C4346">
        <v>0.39</v>
      </c>
      <c r="D4346" t="s">
        <v>261</v>
      </c>
      <c r="E4346">
        <v>2022</v>
      </c>
      <c r="F4346">
        <v>1</v>
      </c>
    </row>
    <row r="4347" spans="1:6" x14ac:dyDescent="0.55000000000000004">
      <c r="A4347" t="s">
        <v>135</v>
      </c>
      <c r="B4347" t="s">
        <v>31</v>
      </c>
      <c r="C4347">
        <v>10</v>
      </c>
      <c r="D4347" t="s">
        <v>261</v>
      </c>
      <c r="E4347">
        <v>2022</v>
      </c>
      <c r="F4347">
        <v>1</v>
      </c>
    </row>
    <row r="4348" spans="1:6" x14ac:dyDescent="0.55000000000000004">
      <c r="A4348" t="s">
        <v>135</v>
      </c>
      <c r="B4348" t="s">
        <v>32</v>
      </c>
      <c r="C4348">
        <v>506462.58</v>
      </c>
      <c r="D4348" t="s">
        <v>261</v>
      </c>
      <c r="E4348">
        <v>2022</v>
      </c>
      <c r="F4348">
        <v>1</v>
      </c>
    </row>
    <row r="4349" spans="1:6" x14ac:dyDescent="0.55000000000000004">
      <c r="A4349" t="s">
        <v>135</v>
      </c>
      <c r="B4349" t="s">
        <v>33</v>
      </c>
      <c r="C4349">
        <v>559145.97649999999</v>
      </c>
      <c r="D4349" t="s">
        <v>261</v>
      </c>
      <c r="E4349">
        <v>2022</v>
      </c>
      <c r="F4349">
        <v>1</v>
      </c>
    </row>
    <row r="4350" spans="1:6" x14ac:dyDescent="0.55000000000000004">
      <c r="A4350" t="s">
        <v>135</v>
      </c>
      <c r="B4350" t="s">
        <v>34</v>
      </c>
      <c r="C4350">
        <v>719261.63309999998</v>
      </c>
      <c r="D4350" t="s">
        <v>261</v>
      </c>
      <c r="E4350">
        <v>2022</v>
      </c>
      <c r="F4350">
        <v>1</v>
      </c>
    </row>
    <row r="4351" spans="1:6" x14ac:dyDescent="0.55000000000000004">
      <c r="A4351" t="s">
        <v>135</v>
      </c>
      <c r="B4351" t="s">
        <v>35</v>
      </c>
      <c r="C4351">
        <v>536.42219999999998</v>
      </c>
      <c r="D4351" t="s">
        <v>261</v>
      </c>
      <c r="E4351">
        <v>2022</v>
      </c>
      <c r="F4351">
        <v>1</v>
      </c>
    </row>
    <row r="4352" spans="1:6" x14ac:dyDescent="0.55000000000000004">
      <c r="A4352" t="s">
        <v>135</v>
      </c>
      <c r="B4352" t="s">
        <v>36</v>
      </c>
      <c r="C4352">
        <v>43594.8056</v>
      </c>
      <c r="D4352" t="s">
        <v>261</v>
      </c>
      <c r="E4352">
        <v>2022</v>
      </c>
      <c r="F4352">
        <v>1</v>
      </c>
    </row>
    <row r="4353" spans="1:6" x14ac:dyDescent="0.55000000000000004">
      <c r="A4353" t="s">
        <v>135</v>
      </c>
      <c r="B4353" t="s">
        <v>37</v>
      </c>
      <c r="C4353">
        <v>28299.997299999999</v>
      </c>
      <c r="D4353" t="s">
        <v>261</v>
      </c>
      <c r="E4353">
        <v>2022</v>
      </c>
      <c r="F4353">
        <v>1</v>
      </c>
    </row>
    <row r="4354" spans="1:6" x14ac:dyDescent="0.55000000000000004">
      <c r="A4354" t="s">
        <v>135</v>
      </c>
      <c r="B4354" t="s">
        <v>38</v>
      </c>
      <c r="C4354">
        <v>0</v>
      </c>
      <c r="D4354" t="s">
        <v>261</v>
      </c>
      <c r="E4354">
        <v>2022</v>
      </c>
      <c r="F4354">
        <v>1</v>
      </c>
    </row>
    <row r="4355" spans="1:6" x14ac:dyDescent="0.55000000000000004">
      <c r="A4355" t="s">
        <v>135</v>
      </c>
      <c r="B4355" t="s">
        <v>39</v>
      </c>
      <c r="C4355">
        <v>0.33329999999999999</v>
      </c>
      <c r="D4355" t="s">
        <v>261</v>
      </c>
      <c r="E4355">
        <v>2022</v>
      </c>
      <c r="F4355">
        <v>1</v>
      </c>
    </row>
    <row r="4356" spans="1:6" x14ac:dyDescent="0.55000000000000004">
      <c r="A4356" t="s">
        <v>135</v>
      </c>
      <c r="B4356" t="s">
        <v>40</v>
      </c>
      <c r="C4356">
        <v>768.19870000000003</v>
      </c>
      <c r="D4356" t="s">
        <v>261</v>
      </c>
      <c r="E4356">
        <v>2022</v>
      </c>
      <c r="F4356">
        <v>1</v>
      </c>
    </row>
    <row r="4357" spans="1:6" x14ac:dyDescent="0.55000000000000004">
      <c r="A4357" t="s">
        <v>135</v>
      </c>
      <c r="B4357" t="s">
        <v>41</v>
      </c>
      <c r="C4357">
        <v>156000.003</v>
      </c>
      <c r="D4357" t="s">
        <v>261</v>
      </c>
      <c r="E4357">
        <v>2022</v>
      </c>
      <c r="F4357">
        <v>1</v>
      </c>
    </row>
    <row r="4358" spans="1:6" x14ac:dyDescent="0.55000000000000004">
      <c r="A4358" t="s">
        <v>135</v>
      </c>
      <c r="B4358" t="s">
        <v>42</v>
      </c>
      <c r="C4358">
        <v>13.903</v>
      </c>
      <c r="D4358" t="s">
        <v>261</v>
      </c>
      <c r="E4358">
        <v>2022</v>
      </c>
      <c r="F4358">
        <v>1</v>
      </c>
    </row>
    <row r="4359" spans="1:6" x14ac:dyDescent="0.55000000000000004">
      <c r="A4359" t="s">
        <v>135</v>
      </c>
      <c r="B4359" t="s">
        <v>43</v>
      </c>
      <c r="C4359">
        <v>253265.2427</v>
      </c>
      <c r="D4359" t="s">
        <v>261</v>
      </c>
      <c r="E4359">
        <v>2022</v>
      </c>
      <c r="F4359">
        <v>1</v>
      </c>
    </row>
    <row r="4360" spans="1:6" x14ac:dyDescent="0.55000000000000004">
      <c r="A4360" t="s">
        <v>135</v>
      </c>
      <c r="B4360" t="s">
        <v>44</v>
      </c>
      <c r="C4360">
        <v>0</v>
      </c>
      <c r="D4360" t="s">
        <v>261</v>
      </c>
      <c r="E4360">
        <v>2022</v>
      </c>
      <c r="F4360">
        <v>1</v>
      </c>
    </row>
    <row r="4361" spans="1:6" x14ac:dyDescent="0.55000000000000004">
      <c r="A4361" t="s">
        <v>135</v>
      </c>
      <c r="B4361" t="s">
        <v>45</v>
      </c>
      <c r="C4361">
        <v>684.68640000000005</v>
      </c>
      <c r="D4361" t="s">
        <v>261</v>
      </c>
      <c r="E4361">
        <v>2022</v>
      </c>
      <c r="F4361">
        <v>1</v>
      </c>
    </row>
    <row r="4362" spans="1:6" x14ac:dyDescent="0.55000000000000004">
      <c r="A4362" t="s">
        <v>135</v>
      </c>
      <c r="B4362" t="s">
        <v>46</v>
      </c>
      <c r="C4362">
        <v>43000</v>
      </c>
      <c r="D4362" t="s">
        <v>261</v>
      </c>
      <c r="E4362">
        <v>2022</v>
      </c>
      <c r="F4362">
        <v>1</v>
      </c>
    </row>
    <row r="4363" spans="1:6" x14ac:dyDescent="0.55000000000000004">
      <c r="A4363" t="s">
        <v>135</v>
      </c>
      <c r="B4363" t="s">
        <v>47</v>
      </c>
      <c r="C4363">
        <v>9.9199999999999997E-2</v>
      </c>
      <c r="D4363" t="s">
        <v>261</v>
      </c>
      <c r="E4363">
        <v>2022</v>
      </c>
      <c r="F4363">
        <v>1</v>
      </c>
    </row>
    <row r="4364" spans="1:6" x14ac:dyDescent="0.55000000000000004">
      <c r="A4364" t="s">
        <v>135</v>
      </c>
      <c r="B4364" t="s">
        <v>48</v>
      </c>
      <c r="C4364">
        <v>435961.0246</v>
      </c>
      <c r="D4364" t="s">
        <v>261</v>
      </c>
      <c r="E4364">
        <v>2022</v>
      </c>
      <c r="F4364">
        <v>1</v>
      </c>
    </row>
    <row r="4365" spans="1:6" x14ac:dyDescent="0.55000000000000004">
      <c r="A4365" t="s">
        <v>135</v>
      </c>
      <c r="B4365" t="s">
        <v>49</v>
      </c>
      <c r="C4365">
        <v>2097.5367999999999</v>
      </c>
      <c r="D4365" t="s">
        <v>261</v>
      </c>
      <c r="E4365">
        <v>2022</v>
      </c>
      <c r="F4365">
        <v>1</v>
      </c>
    </row>
    <row r="4366" spans="1:6" x14ac:dyDescent="0.55000000000000004">
      <c r="A4366" t="s">
        <v>135</v>
      </c>
      <c r="B4366" t="s">
        <v>50</v>
      </c>
      <c r="C4366">
        <v>9169.5717000000004</v>
      </c>
      <c r="D4366" t="s">
        <v>261</v>
      </c>
      <c r="E4366">
        <v>2022</v>
      </c>
      <c r="F4366">
        <v>1</v>
      </c>
    </row>
    <row r="4367" spans="1:6" x14ac:dyDescent="0.55000000000000004">
      <c r="A4367" t="s">
        <v>135</v>
      </c>
      <c r="B4367" t="s">
        <v>51</v>
      </c>
      <c r="C4367">
        <v>100</v>
      </c>
      <c r="D4367" t="s">
        <v>261</v>
      </c>
      <c r="E4367">
        <v>2022</v>
      </c>
      <c r="F4367">
        <v>1</v>
      </c>
    </row>
    <row r="4368" spans="1:6" x14ac:dyDescent="0.55000000000000004">
      <c r="A4368" t="s">
        <v>135</v>
      </c>
      <c r="B4368" t="s">
        <v>52</v>
      </c>
      <c r="C4368">
        <v>46.8919</v>
      </c>
      <c r="D4368" t="s">
        <v>261</v>
      </c>
      <c r="E4368">
        <v>2022</v>
      </c>
      <c r="F4368">
        <v>1</v>
      </c>
    </row>
    <row r="4369" spans="1:6" x14ac:dyDescent="0.55000000000000004">
      <c r="A4369" t="s">
        <v>135</v>
      </c>
      <c r="B4369" t="s">
        <v>53</v>
      </c>
      <c r="C4369">
        <v>130275.76669999999</v>
      </c>
      <c r="D4369" t="s">
        <v>261</v>
      </c>
      <c r="E4369">
        <v>2022</v>
      </c>
      <c r="F4369">
        <v>1</v>
      </c>
    </row>
    <row r="4370" spans="1:6" x14ac:dyDescent="0.55000000000000004">
      <c r="A4370" t="s">
        <v>135</v>
      </c>
      <c r="B4370" t="s">
        <v>54</v>
      </c>
      <c r="C4370">
        <v>14972.2299</v>
      </c>
      <c r="D4370" t="s">
        <v>261</v>
      </c>
      <c r="E4370">
        <v>2022</v>
      </c>
      <c r="F4370">
        <v>1</v>
      </c>
    </row>
    <row r="4371" spans="1:6" x14ac:dyDescent="0.55000000000000004">
      <c r="A4371" t="s">
        <v>135</v>
      </c>
      <c r="B4371" t="s">
        <v>55</v>
      </c>
      <c r="C4371">
        <v>7262.2332999999999</v>
      </c>
      <c r="D4371" t="s">
        <v>261</v>
      </c>
      <c r="E4371">
        <v>2022</v>
      </c>
      <c r="F4371">
        <v>1</v>
      </c>
    </row>
    <row r="4372" spans="1:6" x14ac:dyDescent="0.55000000000000004">
      <c r="A4372" t="s">
        <v>135</v>
      </c>
      <c r="B4372" t="s">
        <v>56</v>
      </c>
      <c r="C4372">
        <v>9154.8333000000002</v>
      </c>
      <c r="D4372" t="s">
        <v>261</v>
      </c>
      <c r="E4372">
        <v>2022</v>
      </c>
      <c r="F4372">
        <v>1</v>
      </c>
    </row>
    <row r="4373" spans="1:6" x14ac:dyDescent="0.55000000000000004">
      <c r="A4373" t="s">
        <v>135</v>
      </c>
      <c r="B4373" t="s">
        <v>57</v>
      </c>
      <c r="C4373">
        <v>154.3861</v>
      </c>
      <c r="D4373" t="s">
        <v>261</v>
      </c>
      <c r="E4373">
        <v>2022</v>
      </c>
      <c r="F4373">
        <v>1</v>
      </c>
    </row>
    <row r="4374" spans="1:6" x14ac:dyDescent="0.55000000000000004">
      <c r="A4374" t="s">
        <v>135</v>
      </c>
      <c r="B4374" t="s">
        <v>58</v>
      </c>
      <c r="C4374">
        <v>402212</v>
      </c>
      <c r="D4374" t="s">
        <v>261</v>
      </c>
      <c r="E4374">
        <v>2022</v>
      </c>
      <c r="F4374">
        <v>1</v>
      </c>
    </row>
    <row r="4375" spans="1:6" x14ac:dyDescent="0.55000000000000004">
      <c r="A4375" t="s">
        <v>135</v>
      </c>
      <c r="B4375" t="s">
        <v>59</v>
      </c>
      <c r="C4375">
        <v>33500</v>
      </c>
      <c r="D4375" t="s">
        <v>261</v>
      </c>
      <c r="E4375">
        <v>2022</v>
      </c>
      <c r="F4375">
        <v>1</v>
      </c>
    </row>
    <row r="4376" spans="1:6" x14ac:dyDescent="0.55000000000000004">
      <c r="A4376" t="s">
        <v>135</v>
      </c>
      <c r="B4376" t="s">
        <v>60</v>
      </c>
      <c r="C4376">
        <v>2802413.5269999998</v>
      </c>
      <c r="D4376" t="s">
        <v>261</v>
      </c>
      <c r="E4376">
        <v>2022</v>
      </c>
      <c r="F4376">
        <v>1</v>
      </c>
    </row>
    <row r="4377" spans="1:6" x14ac:dyDescent="0.55000000000000004">
      <c r="A4377" t="s">
        <v>135</v>
      </c>
      <c r="B4377" t="s">
        <v>61</v>
      </c>
      <c r="C4377">
        <v>3740.0034999999998</v>
      </c>
      <c r="D4377" t="s">
        <v>261</v>
      </c>
      <c r="E4377">
        <v>2022</v>
      </c>
      <c r="F4377">
        <v>1</v>
      </c>
    </row>
    <row r="4378" spans="1:6" x14ac:dyDescent="0.55000000000000004">
      <c r="A4378" t="s">
        <v>135</v>
      </c>
      <c r="B4378" t="s">
        <v>62</v>
      </c>
      <c r="C4378">
        <v>8980.7196000000004</v>
      </c>
      <c r="D4378" t="s">
        <v>261</v>
      </c>
      <c r="E4378">
        <v>2022</v>
      </c>
      <c r="F4378">
        <v>1</v>
      </c>
    </row>
    <row r="4379" spans="1:6" x14ac:dyDescent="0.55000000000000004">
      <c r="A4379" t="s">
        <v>135</v>
      </c>
      <c r="B4379" t="s">
        <v>63</v>
      </c>
      <c r="C4379">
        <v>640</v>
      </c>
      <c r="D4379" t="s">
        <v>261</v>
      </c>
      <c r="E4379">
        <v>2022</v>
      </c>
      <c r="F4379">
        <v>1</v>
      </c>
    </row>
    <row r="4380" spans="1:6" x14ac:dyDescent="0.55000000000000004">
      <c r="A4380" t="s">
        <v>136</v>
      </c>
      <c r="B4380" t="s">
        <v>4</v>
      </c>
      <c r="C4380">
        <v>10875161.5551</v>
      </c>
      <c r="D4380" t="s">
        <v>262</v>
      </c>
      <c r="E4380">
        <v>2022</v>
      </c>
      <c r="F4380">
        <v>2</v>
      </c>
    </row>
    <row r="4381" spans="1:6" x14ac:dyDescent="0.55000000000000004">
      <c r="A4381" t="s">
        <v>136</v>
      </c>
      <c r="B4381" t="s">
        <v>5</v>
      </c>
      <c r="C4381">
        <v>1149034.0027999999</v>
      </c>
      <c r="D4381" t="s">
        <v>262</v>
      </c>
      <c r="E4381">
        <v>2022</v>
      </c>
      <c r="F4381">
        <v>2</v>
      </c>
    </row>
    <row r="4382" spans="1:6" x14ac:dyDescent="0.55000000000000004">
      <c r="A4382" t="s">
        <v>136</v>
      </c>
      <c r="B4382" t="s">
        <v>6</v>
      </c>
      <c r="C4382">
        <v>2265864.5761000002</v>
      </c>
      <c r="D4382" t="s">
        <v>262</v>
      </c>
      <c r="E4382">
        <v>2022</v>
      </c>
      <c r="F4382">
        <v>2</v>
      </c>
    </row>
    <row r="4383" spans="1:6" x14ac:dyDescent="0.55000000000000004">
      <c r="A4383" t="s">
        <v>136</v>
      </c>
      <c r="B4383" t="s">
        <v>7</v>
      </c>
      <c r="C4383">
        <v>3603022.5367999999</v>
      </c>
      <c r="D4383" t="s">
        <v>262</v>
      </c>
      <c r="E4383">
        <v>2022</v>
      </c>
      <c r="F4383">
        <v>2</v>
      </c>
    </row>
    <row r="4384" spans="1:6" x14ac:dyDescent="0.55000000000000004">
      <c r="A4384" t="s">
        <v>136</v>
      </c>
      <c r="B4384" t="s">
        <v>8</v>
      </c>
      <c r="C4384">
        <v>3857240.4394</v>
      </c>
      <c r="D4384" t="s">
        <v>262</v>
      </c>
      <c r="E4384">
        <v>2022</v>
      </c>
      <c r="F4384">
        <v>2</v>
      </c>
    </row>
    <row r="4385" spans="1:6" x14ac:dyDescent="0.55000000000000004">
      <c r="A4385" t="s">
        <v>136</v>
      </c>
      <c r="B4385" t="s">
        <v>9</v>
      </c>
      <c r="C4385">
        <v>1176.04</v>
      </c>
      <c r="D4385" t="s">
        <v>262</v>
      </c>
      <c r="E4385">
        <v>2022</v>
      </c>
      <c r="F4385">
        <v>2</v>
      </c>
    </row>
    <row r="4386" spans="1:6" x14ac:dyDescent="0.55000000000000004">
      <c r="A4386" t="s">
        <v>136</v>
      </c>
      <c r="B4386" t="s">
        <v>10</v>
      </c>
      <c r="C4386">
        <v>4177.2332999999999</v>
      </c>
      <c r="D4386" t="s">
        <v>262</v>
      </c>
      <c r="E4386">
        <v>2022</v>
      </c>
      <c r="F4386">
        <v>2</v>
      </c>
    </row>
    <row r="4387" spans="1:6" x14ac:dyDescent="0.55000000000000004">
      <c r="A4387" t="s">
        <v>136</v>
      </c>
      <c r="B4387" t="s">
        <v>11</v>
      </c>
      <c r="C4387">
        <v>3536274.5621000002</v>
      </c>
      <c r="D4387" t="s">
        <v>262</v>
      </c>
      <c r="E4387">
        <v>2022</v>
      </c>
      <c r="F4387">
        <v>2</v>
      </c>
    </row>
    <row r="4388" spans="1:6" x14ac:dyDescent="0.55000000000000004">
      <c r="A4388" t="s">
        <v>136</v>
      </c>
      <c r="B4388" t="s">
        <v>12</v>
      </c>
      <c r="C4388">
        <v>12418.283299999999</v>
      </c>
      <c r="D4388" t="s">
        <v>262</v>
      </c>
      <c r="E4388">
        <v>2022</v>
      </c>
      <c r="F4388">
        <v>2</v>
      </c>
    </row>
    <row r="4389" spans="1:6" x14ac:dyDescent="0.55000000000000004">
      <c r="A4389" t="s">
        <v>136</v>
      </c>
      <c r="B4389" t="s">
        <v>13</v>
      </c>
      <c r="C4389">
        <v>7600</v>
      </c>
      <c r="D4389" t="s">
        <v>262</v>
      </c>
      <c r="E4389">
        <v>2022</v>
      </c>
      <c r="F4389">
        <v>2</v>
      </c>
    </row>
    <row r="4390" spans="1:6" x14ac:dyDescent="0.55000000000000004">
      <c r="A4390" t="s">
        <v>136</v>
      </c>
      <c r="B4390" t="s">
        <v>14</v>
      </c>
      <c r="C4390">
        <v>3000</v>
      </c>
      <c r="D4390" t="s">
        <v>262</v>
      </c>
      <c r="E4390">
        <v>2022</v>
      </c>
      <c r="F4390">
        <v>2</v>
      </c>
    </row>
    <row r="4391" spans="1:6" x14ac:dyDescent="0.55000000000000004">
      <c r="A4391" t="s">
        <v>136</v>
      </c>
      <c r="B4391" t="s">
        <v>15</v>
      </c>
      <c r="C4391">
        <v>991120.58880000003</v>
      </c>
      <c r="D4391" t="s">
        <v>262</v>
      </c>
      <c r="E4391">
        <v>2022</v>
      </c>
      <c r="F4391">
        <v>2</v>
      </c>
    </row>
    <row r="4392" spans="1:6" x14ac:dyDescent="0.55000000000000004">
      <c r="A4392" t="s">
        <v>136</v>
      </c>
      <c r="B4392" t="s">
        <v>16</v>
      </c>
      <c r="C4392">
        <v>0.82650000000000001</v>
      </c>
      <c r="D4392" t="s">
        <v>262</v>
      </c>
      <c r="E4392">
        <v>2022</v>
      </c>
      <c r="F4392">
        <v>2</v>
      </c>
    </row>
    <row r="4393" spans="1:6" x14ac:dyDescent="0.55000000000000004">
      <c r="A4393" t="s">
        <v>136</v>
      </c>
      <c r="B4393" t="s">
        <v>17</v>
      </c>
      <c r="C4393">
        <v>73477.295599999998</v>
      </c>
      <c r="D4393" t="s">
        <v>262</v>
      </c>
      <c r="E4393">
        <v>2022</v>
      </c>
      <c r="F4393">
        <v>2</v>
      </c>
    </row>
    <row r="4394" spans="1:6" x14ac:dyDescent="0.55000000000000004">
      <c r="A4394" t="s">
        <v>136</v>
      </c>
      <c r="B4394" t="s">
        <v>18</v>
      </c>
      <c r="C4394">
        <v>45359.866000000002</v>
      </c>
      <c r="D4394" t="s">
        <v>262</v>
      </c>
      <c r="E4394">
        <v>2022</v>
      </c>
      <c r="F4394">
        <v>2</v>
      </c>
    </row>
    <row r="4395" spans="1:6" x14ac:dyDescent="0.55000000000000004">
      <c r="A4395" t="s">
        <v>136</v>
      </c>
      <c r="B4395" t="s">
        <v>19</v>
      </c>
      <c r="C4395">
        <v>1385.5616</v>
      </c>
      <c r="D4395" t="s">
        <v>262</v>
      </c>
      <c r="E4395">
        <v>2022</v>
      </c>
      <c r="F4395">
        <v>2</v>
      </c>
    </row>
    <row r="4396" spans="1:6" x14ac:dyDescent="0.55000000000000004">
      <c r="A4396" t="s">
        <v>136</v>
      </c>
      <c r="B4396" t="s">
        <v>20</v>
      </c>
      <c r="C4396">
        <v>13000</v>
      </c>
      <c r="D4396" t="s">
        <v>262</v>
      </c>
      <c r="E4396">
        <v>2022</v>
      </c>
      <c r="F4396">
        <v>2</v>
      </c>
    </row>
    <row r="4397" spans="1:6" x14ac:dyDescent="0.55000000000000004">
      <c r="A4397" t="s">
        <v>136</v>
      </c>
      <c r="B4397" t="s">
        <v>21</v>
      </c>
      <c r="C4397">
        <v>1792.3895</v>
      </c>
      <c r="D4397" t="s">
        <v>262</v>
      </c>
      <c r="E4397">
        <v>2022</v>
      </c>
      <c r="F4397">
        <v>2</v>
      </c>
    </row>
    <row r="4398" spans="1:6" x14ac:dyDescent="0.55000000000000004">
      <c r="A4398" t="s">
        <v>136</v>
      </c>
      <c r="B4398" t="s">
        <v>22</v>
      </c>
      <c r="C4398">
        <v>18459.765299999999</v>
      </c>
      <c r="D4398" t="s">
        <v>262</v>
      </c>
      <c r="E4398">
        <v>2022</v>
      </c>
      <c r="F4398">
        <v>2</v>
      </c>
    </row>
    <row r="4399" spans="1:6" x14ac:dyDescent="0.55000000000000004">
      <c r="A4399" t="s">
        <v>136</v>
      </c>
      <c r="B4399" t="s">
        <v>23</v>
      </c>
      <c r="C4399">
        <v>55492.850400000003</v>
      </c>
      <c r="D4399" t="s">
        <v>262</v>
      </c>
      <c r="E4399">
        <v>2022</v>
      </c>
      <c r="F4399">
        <v>2</v>
      </c>
    </row>
    <row r="4400" spans="1:6" x14ac:dyDescent="0.55000000000000004">
      <c r="A4400" t="s">
        <v>136</v>
      </c>
      <c r="B4400" t="s">
        <v>24</v>
      </c>
      <c r="C4400">
        <v>0</v>
      </c>
      <c r="D4400" t="s">
        <v>262</v>
      </c>
      <c r="E4400">
        <v>2022</v>
      </c>
      <c r="F4400">
        <v>2</v>
      </c>
    </row>
    <row r="4401" spans="1:6" x14ac:dyDescent="0.55000000000000004">
      <c r="A4401" t="s">
        <v>136</v>
      </c>
      <c r="B4401" t="s">
        <v>25</v>
      </c>
      <c r="C4401">
        <v>210000</v>
      </c>
      <c r="D4401" t="s">
        <v>262</v>
      </c>
      <c r="E4401">
        <v>2022</v>
      </c>
      <c r="F4401">
        <v>2</v>
      </c>
    </row>
    <row r="4402" spans="1:6" x14ac:dyDescent="0.55000000000000004">
      <c r="A4402" t="s">
        <v>136</v>
      </c>
      <c r="B4402" t="s">
        <v>26</v>
      </c>
      <c r="C4402">
        <v>0</v>
      </c>
      <c r="D4402" t="s">
        <v>262</v>
      </c>
      <c r="E4402">
        <v>2022</v>
      </c>
      <c r="F4402">
        <v>2</v>
      </c>
    </row>
    <row r="4403" spans="1:6" x14ac:dyDescent="0.55000000000000004">
      <c r="A4403" t="s">
        <v>136</v>
      </c>
      <c r="B4403" t="s">
        <v>27</v>
      </c>
      <c r="C4403">
        <v>11.641299999999999</v>
      </c>
      <c r="D4403" t="s">
        <v>262</v>
      </c>
      <c r="E4403">
        <v>2022</v>
      </c>
      <c r="F4403">
        <v>2</v>
      </c>
    </row>
    <row r="4404" spans="1:6" x14ac:dyDescent="0.55000000000000004">
      <c r="A4404" t="s">
        <v>136</v>
      </c>
      <c r="B4404" t="s">
        <v>28</v>
      </c>
      <c r="C4404">
        <v>334009.60859999998</v>
      </c>
      <c r="D4404" t="s">
        <v>262</v>
      </c>
      <c r="E4404">
        <v>2022</v>
      </c>
      <c r="F4404">
        <v>2</v>
      </c>
    </row>
    <row r="4405" spans="1:6" x14ac:dyDescent="0.55000000000000004">
      <c r="A4405" t="s">
        <v>136</v>
      </c>
      <c r="B4405" t="s">
        <v>29</v>
      </c>
      <c r="C4405">
        <v>37727.407500000001</v>
      </c>
      <c r="D4405" t="s">
        <v>262</v>
      </c>
      <c r="E4405">
        <v>2022</v>
      </c>
      <c r="F4405">
        <v>2</v>
      </c>
    </row>
    <row r="4406" spans="1:6" x14ac:dyDescent="0.55000000000000004">
      <c r="A4406" t="s">
        <v>136</v>
      </c>
      <c r="B4406" t="s">
        <v>30</v>
      </c>
      <c r="C4406">
        <v>0</v>
      </c>
      <c r="D4406" t="s">
        <v>262</v>
      </c>
      <c r="E4406">
        <v>2022</v>
      </c>
      <c r="F4406">
        <v>2</v>
      </c>
    </row>
    <row r="4407" spans="1:6" x14ac:dyDescent="0.55000000000000004">
      <c r="A4407" t="s">
        <v>136</v>
      </c>
      <c r="B4407" t="s">
        <v>31</v>
      </c>
      <c r="C4407">
        <v>89.995999999999995</v>
      </c>
      <c r="D4407" t="s">
        <v>262</v>
      </c>
      <c r="E4407">
        <v>2022</v>
      </c>
      <c r="F4407">
        <v>2</v>
      </c>
    </row>
    <row r="4408" spans="1:6" x14ac:dyDescent="0.55000000000000004">
      <c r="A4408" t="s">
        <v>136</v>
      </c>
      <c r="B4408" t="s">
        <v>32</v>
      </c>
      <c r="C4408">
        <v>502521.00469999999</v>
      </c>
      <c r="D4408" t="s">
        <v>262</v>
      </c>
      <c r="E4408">
        <v>2022</v>
      </c>
      <c r="F4408">
        <v>2</v>
      </c>
    </row>
    <row r="4409" spans="1:6" x14ac:dyDescent="0.55000000000000004">
      <c r="A4409" t="s">
        <v>136</v>
      </c>
      <c r="B4409" t="s">
        <v>33</v>
      </c>
      <c r="C4409">
        <v>544253.91480000003</v>
      </c>
      <c r="D4409" t="s">
        <v>262</v>
      </c>
      <c r="E4409">
        <v>2022</v>
      </c>
      <c r="F4409">
        <v>2</v>
      </c>
    </row>
    <row r="4410" spans="1:6" x14ac:dyDescent="0.55000000000000004">
      <c r="A4410" t="s">
        <v>136</v>
      </c>
      <c r="B4410" t="s">
        <v>34</v>
      </c>
      <c r="C4410">
        <v>485016.48509999999</v>
      </c>
      <c r="D4410" t="s">
        <v>262</v>
      </c>
      <c r="E4410">
        <v>2022</v>
      </c>
      <c r="F4410">
        <v>2</v>
      </c>
    </row>
    <row r="4411" spans="1:6" x14ac:dyDescent="0.55000000000000004">
      <c r="A4411" t="s">
        <v>136</v>
      </c>
      <c r="B4411" t="s">
        <v>35</v>
      </c>
      <c r="C4411">
        <v>650.00789999999995</v>
      </c>
      <c r="D4411" t="s">
        <v>262</v>
      </c>
      <c r="E4411">
        <v>2022</v>
      </c>
      <c r="F4411">
        <v>2</v>
      </c>
    </row>
    <row r="4412" spans="1:6" x14ac:dyDescent="0.55000000000000004">
      <c r="A4412" t="s">
        <v>136</v>
      </c>
      <c r="B4412" t="s">
        <v>36</v>
      </c>
      <c r="C4412">
        <v>85459.723299999998</v>
      </c>
      <c r="D4412" t="s">
        <v>262</v>
      </c>
      <c r="E4412">
        <v>2022</v>
      </c>
      <c r="F4412">
        <v>2</v>
      </c>
    </row>
    <row r="4413" spans="1:6" x14ac:dyDescent="0.55000000000000004">
      <c r="A4413" t="s">
        <v>136</v>
      </c>
      <c r="B4413" t="s">
        <v>37</v>
      </c>
      <c r="C4413">
        <v>37099.991000000002</v>
      </c>
      <c r="D4413" t="s">
        <v>262</v>
      </c>
      <c r="E4413">
        <v>2022</v>
      </c>
      <c r="F4413">
        <v>2</v>
      </c>
    </row>
    <row r="4414" spans="1:6" x14ac:dyDescent="0.55000000000000004">
      <c r="A4414" t="s">
        <v>136</v>
      </c>
      <c r="B4414" t="s">
        <v>38</v>
      </c>
      <c r="C4414">
        <v>0</v>
      </c>
      <c r="D4414" t="s">
        <v>262</v>
      </c>
      <c r="E4414">
        <v>2022</v>
      </c>
      <c r="F4414">
        <v>2</v>
      </c>
    </row>
    <row r="4415" spans="1:6" x14ac:dyDescent="0.55000000000000004">
      <c r="A4415" t="s">
        <v>136</v>
      </c>
      <c r="B4415" t="s">
        <v>39</v>
      </c>
      <c r="C4415">
        <v>1.7659</v>
      </c>
      <c r="D4415" t="s">
        <v>262</v>
      </c>
      <c r="E4415">
        <v>2022</v>
      </c>
      <c r="F4415">
        <v>2</v>
      </c>
    </row>
    <row r="4416" spans="1:6" x14ac:dyDescent="0.55000000000000004">
      <c r="A4416" t="s">
        <v>136</v>
      </c>
      <c r="B4416" t="s">
        <v>40</v>
      </c>
      <c r="C4416">
        <v>768.19870000000003</v>
      </c>
      <c r="D4416" t="s">
        <v>262</v>
      </c>
      <c r="E4416">
        <v>2022</v>
      </c>
      <c r="F4416">
        <v>2</v>
      </c>
    </row>
    <row r="4417" spans="1:6" x14ac:dyDescent="0.55000000000000004">
      <c r="A4417" t="s">
        <v>136</v>
      </c>
      <c r="B4417" t="s">
        <v>41</v>
      </c>
      <c r="C4417">
        <v>206999.99609999999</v>
      </c>
      <c r="D4417" t="s">
        <v>262</v>
      </c>
      <c r="E4417">
        <v>2022</v>
      </c>
      <c r="F4417">
        <v>2</v>
      </c>
    </row>
    <row r="4418" spans="1:6" x14ac:dyDescent="0.55000000000000004">
      <c r="A4418" t="s">
        <v>136</v>
      </c>
      <c r="B4418" t="s">
        <v>42</v>
      </c>
      <c r="C4418">
        <v>97.3</v>
      </c>
      <c r="D4418" t="s">
        <v>262</v>
      </c>
      <c r="E4418">
        <v>2022</v>
      </c>
      <c r="F4418">
        <v>2</v>
      </c>
    </row>
    <row r="4419" spans="1:6" x14ac:dyDescent="0.55000000000000004">
      <c r="A4419" t="s">
        <v>136</v>
      </c>
      <c r="B4419" t="s">
        <v>43</v>
      </c>
      <c r="C4419">
        <v>206309.98759999999</v>
      </c>
      <c r="D4419" t="s">
        <v>262</v>
      </c>
      <c r="E4419">
        <v>2022</v>
      </c>
      <c r="F4419">
        <v>2</v>
      </c>
    </row>
    <row r="4420" spans="1:6" x14ac:dyDescent="0.55000000000000004">
      <c r="A4420" t="s">
        <v>136</v>
      </c>
      <c r="B4420" t="s">
        <v>44</v>
      </c>
      <c r="C4420">
        <v>0</v>
      </c>
      <c r="D4420" t="s">
        <v>262</v>
      </c>
      <c r="E4420">
        <v>2022</v>
      </c>
      <c r="F4420">
        <v>2</v>
      </c>
    </row>
    <row r="4421" spans="1:6" x14ac:dyDescent="0.55000000000000004">
      <c r="A4421" t="s">
        <v>136</v>
      </c>
      <c r="B4421" t="s">
        <v>45</v>
      </c>
      <c r="C4421">
        <v>2681.3249000000001</v>
      </c>
      <c r="D4421" t="s">
        <v>262</v>
      </c>
      <c r="E4421">
        <v>2022</v>
      </c>
      <c r="F4421">
        <v>2</v>
      </c>
    </row>
    <row r="4422" spans="1:6" x14ac:dyDescent="0.55000000000000004">
      <c r="A4422" t="s">
        <v>136</v>
      </c>
      <c r="B4422" t="s">
        <v>46</v>
      </c>
      <c r="C4422">
        <v>43000</v>
      </c>
      <c r="D4422" t="s">
        <v>262</v>
      </c>
      <c r="E4422">
        <v>2022</v>
      </c>
      <c r="F4422">
        <v>2</v>
      </c>
    </row>
    <row r="4423" spans="1:6" x14ac:dyDescent="0.55000000000000004">
      <c r="A4423" t="s">
        <v>136</v>
      </c>
      <c r="B4423" t="s">
        <v>47</v>
      </c>
      <c r="C4423">
        <v>0.41670000000000001</v>
      </c>
      <c r="D4423" t="s">
        <v>262</v>
      </c>
      <c r="E4423">
        <v>2022</v>
      </c>
      <c r="F4423">
        <v>2</v>
      </c>
    </row>
    <row r="4424" spans="1:6" x14ac:dyDescent="0.55000000000000004">
      <c r="A4424" t="s">
        <v>136</v>
      </c>
      <c r="B4424" t="s">
        <v>48</v>
      </c>
      <c r="C4424">
        <v>369631.49219999998</v>
      </c>
      <c r="D4424" t="s">
        <v>262</v>
      </c>
      <c r="E4424">
        <v>2022</v>
      </c>
      <c r="F4424">
        <v>2</v>
      </c>
    </row>
    <row r="4425" spans="1:6" x14ac:dyDescent="0.55000000000000004">
      <c r="A4425" t="s">
        <v>136</v>
      </c>
      <c r="B4425" t="s">
        <v>49</v>
      </c>
      <c r="C4425">
        <v>77.272000000000006</v>
      </c>
      <c r="D4425" t="s">
        <v>262</v>
      </c>
      <c r="E4425">
        <v>2022</v>
      </c>
      <c r="F4425">
        <v>2</v>
      </c>
    </row>
    <row r="4426" spans="1:6" x14ac:dyDescent="0.55000000000000004">
      <c r="A4426" t="s">
        <v>136</v>
      </c>
      <c r="B4426" t="s">
        <v>50</v>
      </c>
      <c r="C4426">
        <v>10677.8015</v>
      </c>
      <c r="D4426" t="s">
        <v>262</v>
      </c>
      <c r="E4426">
        <v>2022</v>
      </c>
      <c r="F4426">
        <v>2</v>
      </c>
    </row>
    <row r="4427" spans="1:6" x14ac:dyDescent="0.55000000000000004">
      <c r="A4427" t="s">
        <v>136</v>
      </c>
      <c r="B4427" t="s">
        <v>51</v>
      </c>
      <c r="C4427">
        <v>400</v>
      </c>
      <c r="D4427" t="s">
        <v>262</v>
      </c>
      <c r="E4427">
        <v>2022</v>
      </c>
      <c r="F4427">
        <v>2</v>
      </c>
    </row>
    <row r="4428" spans="1:6" x14ac:dyDescent="0.55000000000000004">
      <c r="A4428" t="s">
        <v>136</v>
      </c>
      <c r="B4428" t="s">
        <v>52</v>
      </c>
      <c r="C4428">
        <v>46.8919</v>
      </c>
      <c r="D4428" t="s">
        <v>262</v>
      </c>
      <c r="E4428">
        <v>2022</v>
      </c>
      <c r="F4428">
        <v>2</v>
      </c>
    </row>
    <row r="4429" spans="1:6" x14ac:dyDescent="0.55000000000000004">
      <c r="A4429" t="s">
        <v>136</v>
      </c>
      <c r="B4429" t="s">
        <v>53</v>
      </c>
      <c r="C4429">
        <v>126836.35739999999</v>
      </c>
      <c r="D4429" t="s">
        <v>262</v>
      </c>
      <c r="E4429">
        <v>2022</v>
      </c>
      <c r="F4429">
        <v>2</v>
      </c>
    </row>
    <row r="4430" spans="1:6" x14ac:dyDescent="0.55000000000000004">
      <c r="A4430" t="s">
        <v>136</v>
      </c>
      <c r="B4430" t="s">
        <v>54</v>
      </c>
      <c r="C4430">
        <v>16762.917399999998</v>
      </c>
      <c r="D4430" t="s">
        <v>262</v>
      </c>
      <c r="E4430">
        <v>2022</v>
      </c>
      <c r="F4430">
        <v>2</v>
      </c>
    </row>
    <row r="4431" spans="1:6" x14ac:dyDescent="0.55000000000000004">
      <c r="A4431" t="s">
        <v>136</v>
      </c>
      <c r="B4431" t="s">
        <v>55</v>
      </c>
      <c r="C4431">
        <v>10513.8333</v>
      </c>
      <c r="D4431" t="s">
        <v>262</v>
      </c>
      <c r="E4431">
        <v>2022</v>
      </c>
      <c r="F4431">
        <v>2</v>
      </c>
    </row>
    <row r="4432" spans="1:6" x14ac:dyDescent="0.55000000000000004">
      <c r="A4432" t="s">
        <v>136</v>
      </c>
      <c r="B4432" t="s">
        <v>56</v>
      </c>
      <c r="C4432">
        <v>8636.6666999999998</v>
      </c>
      <c r="D4432" t="s">
        <v>262</v>
      </c>
      <c r="E4432">
        <v>2022</v>
      </c>
      <c r="F4432">
        <v>2</v>
      </c>
    </row>
    <row r="4433" spans="1:6" x14ac:dyDescent="0.55000000000000004">
      <c r="A4433" t="s">
        <v>136</v>
      </c>
      <c r="B4433" t="s">
        <v>57</v>
      </c>
      <c r="C4433">
        <v>154.3861</v>
      </c>
      <c r="D4433" t="s">
        <v>262</v>
      </c>
      <c r="E4433">
        <v>2022</v>
      </c>
      <c r="F4433">
        <v>2</v>
      </c>
    </row>
    <row r="4434" spans="1:6" x14ac:dyDescent="0.55000000000000004">
      <c r="A4434" t="s">
        <v>136</v>
      </c>
      <c r="B4434" t="s">
        <v>58</v>
      </c>
      <c r="C4434">
        <v>448957.01</v>
      </c>
      <c r="D4434" t="s">
        <v>262</v>
      </c>
      <c r="E4434">
        <v>2022</v>
      </c>
      <c r="F4434">
        <v>2</v>
      </c>
    </row>
    <row r="4435" spans="1:6" x14ac:dyDescent="0.55000000000000004">
      <c r="A4435" t="s">
        <v>136</v>
      </c>
      <c r="B4435" t="s">
        <v>59</v>
      </c>
      <c r="C4435">
        <v>14200</v>
      </c>
      <c r="D4435" t="s">
        <v>262</v>
      </c>
      <c r="E4435">
        <v>2022</v>
      </c>
      <c r="F4435">
        <v>2</v>
      </c>
    </row>
    <row r="4436" spans="1:6" x14ac:dyDescent="0.55000000000000004">
      <c r="A4436" t="s">
        <v>136</v>
      </c>
      <c r="B4436" t="s">
        <v>60</v>
      </c>
      <c r="C4436">
        <v>2392967.2239999999</v>
      </c>
      <c r="D4436" t="s">
        <v>262</v>
      </c>
      <c r="E4436">
        <v>2022</v>
      </c>
      <c r="F4436">
        <v>2</v>
      </c>
    </row>
    <row r="4437" spans="1:6" x14ac:dyDescent="0.55000000000000004">
      <c r="A4437" t="s">
        <v>136</v>
      </c>
      <c r="B4437" t="s">
        <v>61</v>
      </c>
      <c r="C4437">
        <v>4670.0033999999996</v>
      </c>
      <c r="D4437" t="s">
        <v>262</v>
      </c>
      <c r="E4437">
        <v>2022</v>
      </c>
      <c r="F4437">
        <v>2</v>
      </c>
    </row>
    <row r="4438" spans="1:6" x14ac:dyDescent="0.55000000000000004">
      <c r="A4438" t="s">
        <v>136</v>
      </c>
      <c r="B4438" t="s">
        <v>62</v>
      </c>
      <c r="C4438">
        <v>9195.6666999999998</v>
      </c>
      <c r="D4438" t="s">
        <v>262</v>
      </c>
      <c r="E4438">
        <v>2022</v>
      </c>
      <c r="F4438">
        <v>2</v>
      </c>
    </row>
    <row r="4439" spans="1:6" x14ac:dyDescent="0.55000000000000004">
      <c r="A4439" t="s">
        <v>136</v>
      </c>
      <c r="B4439" t="s">
        <v>63</v>
      </c>
      <c r="C4439">
        <v>0</v>
      </c>
      <c r="D4439" t="s">
        <v>262</v>
      </c>
      <c r="E4439">
        <v>2022</v>
      </c>
      <c r="F4439">
        <v>2</v>
      </c>
    </row>
    <row r="4440" spans="1:6" x14ac:dyDescent="0.55000000000000004">
      <c r="A4440" t="s">
        <v>137</v>
      </c>
      <c r="B4440" t="s">
        <v>4</v>
      </c>
      <c r="C4440">
        <v>13575386.5962</v>
      </c>
      <c r="D4440" t="s">
        <v>263</v>
      </c>
      <c r="E4440">
        <v>2022</v>
      </c>
      <c r="F4440">
        <v>3</v>
      </c>
    </row>
    <row r="4441" spans="1:6" x14ac:dyDescent="0.55000000000000004">
      <c r="A4441" t="s">
        <v>137</v>
      </c>
      <c r="B4441" t="s">
        <v>5</v>
      </c>
      <c r="C4441">
        <v>1281229.7213999999</v>
      </c>
      <c r="D4441" t="s">
        <v>263</v>
      </c>
      <c r="E4441">
        <v>2022</v>
      </c>
      <c r="F4441">
        <v>3</v>
      </c>
    </row>
    <row r="4442" spans="1:6" x14ac:dyDescent="0.55000000000000004">
      <c r="A4442" t="s">
        <v>137</v>
      </c>
      <c r="B4442" t="s">
        <v>6</v>
      </c>
      <c r="C4442">
        <v>2789468.5707</v>
      </c>
      <c r="D4442" t="s">
        <v>263</v>
      </c>
      <c r="E4442">
        <v>2022</v>
      </c>
      <c r="F4442">
        <v>3</v>
      </c>
    </row>
    <row r="4443" spans="1:6" x14ac:dyDescent="0.55000000000000004">
      <c r="A4443" t="s">
        <v>137</v>
      </c>
      <c r="B4443" t="s">
        <v>7</v>
      </c>
      <c r="C4443">
        <v>4036226.8070999999</v>
      </c>
      <c r="D4443" t="s">
        <v>263</v>
      </c>
      <c r="E4443">
        <v>2022</v>
      </c>
      <c r="F4443">
        <v>3</v>
      </c>
    </row>
    <row r="4444" spans="1:6" x14ac:dyDescent="0.55000000000000004">
      <c r="A4444" t="s">
        <v>137</v>
      </c>
      <c r="B4444" t="s">
        <v>8</v>
      </c>
      <c r="C4444">
        <v>5468461.4970000004</v>
      </c>
      <c r="D4444" t="s">
        <v>263</v>
      </c>
      <c r="E4444">
        <v>2022</v>
      </c>
      <c r="F4444">
        <v>3</v>
      </c>
    </row>
    <row r="4445" spans="1:6" x14ac:dyDescent="0.55000000000000004">
      <c r="A4445" t="s">
        <v>137</v>
      </c>
      <c r="B4445" t="s">
        <v>9</v>
      </c>
      <c r="C4445">
        <v>2225.6233000000002</v>
      </c>
      <c r="D4445" t="s">
        <v>263</v>
      </c>
      <c r="E4445">
        <v>2022</v>
      </c>
      <c r="F4445">
        <v>3</v>
      </c>
    </row>
    <row r="4446" spans="1:6" x14ac:dyDescent="0.55000000000000004">
      <c r="A4446" t="s">
        <v>137</v>
      </c>
      <c r="B4446" t="s">
        <v>10</v>
      </c>
      <c r="C4446">
        <v>5641.65</v>
      </c>
      <c r="D4446" t="s">
        <v>263</v>
      </c>
      <c r="E4446">
        <v>2022</v>
      </c>
      <c r="F4446">
        <v>3</v>
      </c>
    </row>
    <row r="4447" spans="1:6" x14ac:dyDescent="0.55000000000000004">
      <c r="A4447" t="s">
        <v>137</v>
      </c>
      <c r="B4447" t="s">
        <v>11</v>
      </c>
      <c r="C4447">
        <v>3891975.7714</v>
      </c>
      <c r="D4447" t="s">
        <v>263</v>
      </c>
      <c r="E4447">
        <v>2022</v>
      </c>
      <c r="F4447">
        <v>3</v>
      </c>
    </row>
    <row r="4448" spans="1:6" x14ac:dyDescent="0.55000000000000004">
      <c r="A4448" t="s">
        <v>137</v>
      </c>
      <c r="B4448" t="s">
        <v>12</v>
      </c>
      <c r="C4448">
        <v>9530.7000000000007</v>
      </c>
      <c r="D4448" t="s">
        <v>263</v>
      </c>
      <c r="E4448">
        <v>2022</v>
      </c>
      <c r="F4448">
        <v>3</v>
      </c>
    </row>
    <row r="4449" spans="1:6" x14ac:dyDescent="0.55000000000000004">
      <c r="A4449" t="s">
        <v>137</v>
      </c>
      <c r="B4449" t="s">
        <v>13</v>
      </c>
      <c r="C4449">
        <v>11900</v>
      </c>
      <c r="D4449" t="s">
        <v>263</v>
      </c>
      <c r="E4449">
        <v>2022</v>
      </c>
      <c r="F4449">
        <v>3</v>
      </c>
    </row>
    <row r="4450" spans="1:6" x14ac:dyDescent="0.55000000000000004">
      <c r="A4450" t="s">
        <v>137</v>
      </c>
      <c r="B4450" t="s">
        <v>14</v>
      </c>
      <c r="C4450">
        <v>3000</v>
      </c>
      <c r="D4450" t="s">
        <v>263</v>
      </c>
      <c r="E4450">
        <v>2022</v>
      </c>
      <c r="F4450">
        <v>3</v>
      </c>
    </row>
    <row r="4451" spans="1:6" x14ac:dyDescent="0.55000000000000004">
      <c r="A4451" t="s">
        <v>137</v>
      </c>
      <c r="B4451" t="s">
        <v>15</v>
      </c>
      <c r="C4451">
        <v>1133499.493</v>
      </c>
      <c r="D4451" t="s">
        <v>263</v>
      </c>
      <c r="E4451">
        <v>2022</v>
      </c>
      <c r="F4451">
        <v>3</v>
      </c>
    </row>
    <row r="4452" spans="1:6" x14ac:dyDescent="0.55000000000000004">
      <c r="A4452" t="s">
        <v>137</v>
      </c>
      <c r="B4452" t="s">
        <v>16</v>
      </c>
      <c r="C4452">
        <v>0.82650000000000001</v>
      </c>
      <c r="D4452" t="s">
        <v>263</v>
      </c>
      <c r="E4452">
        <v>2022</v>
      </c>
      <c r="F4452">
        <v>3</v>
      </c>
    </row>
    <row r="4453" spans="1:6" x14ac:dyDescent="0.55000000000000004">
      <c r="A4453" t="s">
        <v>137</v>
      </c>
      <c r="B4453" t="s">
        <v>17</v>
      </c>
      <c r="C4453">
        <v>122227.0536</v>
      </c>
      <c r="D4453" t="s">
        <v>263</v>
      </c>
      <c r="E4453">
        <v>2022</v>
      </c>
      <c r="F4453">
        <v>3</v>
      </c>
    </row>
    <row r="4454" spans="1:6" x14ac:dyDescent="0.55000000000000004">
      <c r="A4454" t="s">
        <v>137</v>
      </c>
      <c r="B4454" t="s">
        <v>18</v>
      </c>
      <c r="C4454">
        <v>210204.61660000001</v>
      </c>
      <c r="D4454" t="s">
        <v>263</v>
      </c>
      <c r="E4454">
        <v>2022</v>
      </c>
      <c r="F4454">
        <v>3</v>
      </c>
    </row>
    <row r="4455" spans="1:6" x14ac:dyDescent="0.55000000000000004">
      <c r="A4455" t="s">
        <v>137</v>
      </c>
      <c r="B4455" t="s">
        <v>19</v>
      </c>
      <c r="C4455">
        <v>1385.5616</v>
      </c>
      <c r="D4455" t="s">
        <v>263</v>
      </c>
      <c r="E4455">
        <v>2022</v>
      </c>
      <c r="F4455">
        <v>3</v>
      </c>
    </row>
    <row r="4456" spans="1:6" x14ac:dyDescent="0.55000000000000004">
      <c r="A4456" t="s">
        <v>137</v>
      </c>
      <c r="B4456" t="s">
        <v>20</v>
      </c>
      <c r="C4456">
        <v>16000</v>
      </c>
      <c r="D4456" t="s">
        <v>263</v>
      </c>
      <c r="E4456">
        <v>2022</v>
      </c>
      <c r="F4456">
        <v>3</v>
      </c>
    </row>
    <row r="4457" spans="1:6" x14ac:dyDescent="0.55000000000000004">
      <c r="A4457" t="s">
        <v>137</v>
      </c>
      <c r="B4457" t="s">
        <v>21</v>
      </c>
      <c r="C4457">
        <v>1279.307</v>
      </c>
      <c r="D4457" t="s">
        <v>263</v>
      </c>
      <c r="E4457">
        <v>2022</v>
      </c>
      <c r="F4457">
        <v>3</v>
      </c>
    </row>
    <row r="4458" spans="1:6" x14ac:dyDescent="0.55000000000000004">
      <c r="A4458" t="s">
        <v>137</v>
      </c>
      <c r="B4458" t="s">
        <v>22</v>
      </c>
      <c r="C4458">
        <v>29311.976900000001</v>
      </c>
      <c r="D4458" t="s">
        <v>263</v>
      </c>
      <c r="E4458">
        <v>2022</v>
      </c>
      <c r="F4458">
        <v>3</v>
      </c>
    </row>
    <row r="4459" spans="1:6" x14ac:dyDescent="0.55000000000000004">
      <c r="A4459" t="s">
        <v>137</v>
      </c>
      <c r="B4459" t="s">
        <v>23</v>
      </c>
      <c r="C4459">
        <v>94558.467099999994</v>
      </c>
      <c r="D4459" t="s">
        <v>263</v>
      </c>
      <c r="E4459">
        <v>2022</v>
      </c>
      <c r="F4459">
        <v>3</v>
      </c>
    </row>
    <row r="4460" spans="1:6" x14ac:dyDescent="0.55000000000000004">
      <c r="A4460" t="s">
        <v>137</v>
      </c>
      <c r="B4460" t="s">
        <v>24</v>
      </c>
      <c r="C4460">
        <v>0</v>
      </c>
      <c r="D4460" t="s">
        <v>263</v>
      </c>
      <c r="E4460">
        <v>2022</v>
      </c>
      <c r="F4460">
        <v>3</v>
      </c>
    </row>
    <row r="4461" spans="1:6" x14ac:dyDescent="0.55000000000000004">
      <c r="A4461" t="s">
        <v>137</v>
      </c>
      <c r="B4461" t="s">
        <v>25</v>
      </c>
      <c r="C4461">
        <v>220000</v>
      </c>
      <c r="D4461" t="s">
        <v>263</v>
      </c>
      <c r="E4461">
        <v>2022</v>
      </c>
      <c r="F4461">
        <v>3</v>
      </c>
    </row>
    <row r="4462" spans="1:6" x14ac:dyDescent="0.55000000000000004">
      <c r="A4462" t="s">
        <v>137</v>
      </c>
      <c r="B4462" t="s">
        <v>26</v>
      </c>
      <c r="C4462">
        <v>0</v>
      </c>
      <c r="D4462" t="s">
        <v>263</v>
      </c>
      <c r="E4462">
        <v>2022</v>
      </c>
      <c r="F4462">
        <v>3</v>
      </c>
    </row>
    <row r="4463" spans="1:6" x14ac:dyDescent="0.55000000000000004">
      <c r="A4463" t="s">
        <v>137</v>
      </c>
      <c r="B4463" t="s">
        <v>27</v>
      </c>
      <c r="C4463">
        <v>273.03039999999999</v>
      </c>
      <c r="D4463" t="s">
        <v>263</v>
      </c>
      <c r="E4463">
        <v>2022</v>
      </c>
      <c r="F4463">
        <v>3</v>
      </c>
    </row>
    <row r="4464" spans="1:6" x14ac:dyDescent="0.55000000000000004">
      <c r="A4464" t="s">
        <v>137</v>
      </c>
      <c r="B4464" t="s">
        <v>28</v>
      </c>
      <c r="C4464">
        <v>425501.24959999998</v>
      </c>
      <c r="D4464" t="s">
        <v>263</v>
      </c>
      <c r="E4464">
        <v>2022</v>
      </c>
      <c r="F4464">
        <v>3</v>
      </c>
    </row>
    <row r="4465" spans="1:6" x14ac:dyDescent="0.55000000000000004">
      <c r="A4465" t="s">
        <v>137</v>
      </c>
      <c r="B4465" t="s">
        <v>29</v>
      </c>
      <c r="C4465">
        <v>23493.063200000001</v>
      </c>
      <c r="D4465" t="s">
        <v>263</v>
      </c>
      <c r="E4465">
        <v>2022</v>
      </c>
      <c r="F4465">
        <v>3</v>
      </c>
    </row>
    <row r="4466" spans="1:6" x14ac:dyDescent="0.55000000000000004">
      <c r="A4466" t="s">
        <v>137</v>
      </c>
      <c r="B4466" t="s">
        <v>30</v>
      </c>
      <c r="C4466">
        <v>31.629000000000001</v>
      </c>
      <c r="D4466" t="s">
        <v>263</v>
      </c>
      <c r="E4466">
        <v>2022</v>
      </c>
      <c r="F4466">
        <v>3</v>
      </c>
    </row>
    <row r="4467" spans="1:6" x14ac:dyDescent="0.55000000000000004">
      <c r="A4467" t="s">
        <v>137</v>
      </c>
      <c r="B4467" t="s">
        <v>31</v>
      </c>
      <c r="C4467">
        <v>99.995999999999995</v>
      </c>
      <c r="D4467" t="s">
        <v>263</v>
      </c>
      <c r="E4467">
        <v>2022</v>
      </c>
      <c r="F4467">
        <v>3</v>
      </c>
    </row>
    <row r="4468" spans="1:6" x14ac:dyDescent="0.55000000000000004">
      <c r="A4468" t="s">
        <v>137</v>
      </c>
      <c r="B4468" t="s">
        <v>32</v>
      </c>
      <c r="C4468">
        <v>735245.98329999996</v>
      </c>
      <c r="D4468" t="s">
        <v>263</v>
      </c>
      <c r="E4468">
        <v>2022</v>
      </c>
      <c r="F4468">
        <v>3</v>
      </c>
    </row>
    <row r="4469" spans="1:6" x14ac:dyDescent="0.55000000000000004">
      <c r="A4469" t="s">
        <v>137</v>
      </c>
      <c r="B4469" t="s">
        <v>33</v>
      </c>
      <c r="C4469">
        <v>791257.48329999996</v>
      </c>
      <c r="D4469" t="s">
        <v>263</v>
      </c>
      <c r="E4469">
        <v>2022</v>
      </c>
      <c r="F4469">
        <v>3</v>
      </c>
    </row>
    <row r="4470" spans="1:6" x14ac:dyDescent="0.55000000000000004">
      <c r="A4470" t="s">
        <v>137</v>
      </c>
      <c r="B4470" t="s">
        <v>34</v>
      </c>
      <c r="C4470">
        <v>503355.95520000003</v>
      </c>
      <c r="D4470" t="s">
        <v>263</v>
      </c>
      <c r="E4470">
        <v>2022</v>
      </c>
      <c r="F4470">
        <v>3</v>
      </c>
    </row>
    <row r="4471" spans="1:6" x14ac:dyDescent="0.55000000000000004">
      <c r="A4471" t="s">
        <v>137</v>
      </c>
      <c r="B4471" t="s">
        <v>35</v>
      </c>
      <c r="C4471">
        <v>738.87950000000001</v>
      </c>
      <c r="D4471" t="s">
        <v>263</v>
      </c>
      <c r="E4471">
        <v>2022</v>
      </c>
      <c r="F4471">
        <v>3</v>
      </c>
    </row>
    <row r="4472" spans="1:6" x14ac:dyDescent="0.55000000000000004">
      <c r="A4472" t="s">
        <v>137</v>
      </c>
      <c r="B4472" t="s">
        <v>36</v>
      </c>
      <c r="C4472">
        <v>70848.820000000007</v>
      </c>
      <c r="D4472" t="s">
        <v>263</v>
      </c>
      <c r="E4472">
        <v>2022</v>
      </c>
      <c r="F4472">
        <v>3</v>
      </c>
    </row>
    <row r="4473" spans="1:6" x14ac:dyDescent="0.55000000000000004">
      <c r="A4473" t="s">
        <v>137</v>
      </c>
      <c r="B4473" t="s">
        <v>37</v>
      </c>
      <c r="C4473">
        <v>65400.014300000003</v>
      </c>
      <c r="D4473" t="s">
        <v>263</v>
      </c>
      <c r="E4473">
        <v>2022</v>
      </c>
      <c r="F4473">
        <v>3</v>
      </c>
    </row>
    <row r="4474" spans="1:6" x14ac:dyDescent="0.55000000000000004">
      <c r="A4474" t="s">
        <v>137</v>
      </c>
      <c r="B4474" t="s">
        <v>38</v>
      </c>
      <c r="C4474">
        <v>0</v>
      </c>
      <c r="D4474" t="s">
        <v>263</v>
      </c>
      <c r="E4474">
        <v>2022</v>
      </c>
      <c r="F4474">
        <v>3</v>
      </c>
    </row>
    <row r="4475" spans="1:6" x14ac:dyDescent="0.55000000000000004">
      <c r="A4475" t="s">
        <v>137</v>
      </c>
      <c r="B4475" t="s">
        <v>39</v>
      </c>
      <c r="C4475">
        <v>0</v>
      </c>
      <c r="D4475" t="s">
        <v>263</v>
      </c>
      <c r="E4475">
        <v>2022</v>
      </c>
      <c r="F4475">
        <v>3</v>
      </c>
    </row>
    <row r="4476" spans="1:6" x14ac:dyDescent="0.55000000000000004">
      <c r="A4476" t="s">
        <v>137</v>
      </c>
      <c r="B4476" t="s">
        <v>40</v>
      </c>
      <c r="C4476">
        <v>768.19870000000003</v>
      </c>
      <c r="D4476" t="s">
        <v>263</v>
      </c>
      <c r="E4476">
        <v>2022</v>
      </c>
      <c r="F4476">
        <v>3</v>
      </c>
    </row>
    <row r="4477" spans="1:6" x14ac:dyDescent="0.55000000000000004">
      <c r="A4477" t="s">
        <v>137</v>
      </c>
      <c r="B4477" t="s">
        <v>41</v>
      </c>
      <c r="C4477">
        <v>317999.99290000001</v>
      </c>
      <c r="D4477" t="s">
        <v>263</v>
      </c>
      <c r="E4477">
        <v>2022</v>
      </c>
      <c r="F4477">
        <v>3</v>
      </c>
    </row>
    <row r="4478" spans="1:6" x14ac:dyDescent="0.55000000000000004">
      <c r="A4478" t="s">
        <v>137</v>
      </c>
      <c r="B4478" t="s">
        <v>42</v>
      </c>
      <c r="C4478">
        <v>21.25</v>
      </c>
      <c r="D4478" t="s">
        <v>263</v>
      </c>
      <c r="E4478">
        <v>2022</v>
      </c>
      <c r="F4478">
        <v>3</v>
      </c>
    </row>
    <row r="4479" spans="1:6" x14ac:dyDescent="0.55000000000000004">
      <c r="A4479" t="s">
        <v>137</v>
      </c>
      <c r="B4479" t="s">
        <v>43</v>
      </c>
      <c r="C4479">
        <v>367697.43560000003</v>
      </c>
      <c r="D4479" t="s">
        <v>263</v>
      </c>
      <c r="E4479">
        <v>2022</v>
      </c>
      <c r="F4479">
        <v>3</v>
      </c>
    </row>
    <row r="4480" spans="1:6" x14ac:dyDescent="0.55000000000000004">
      <c r="A4480" t="s">
        <v>137</v>
      </c>
      <c r="B4480" t="s">
        <v>44</v>
      </c>
      <c r="C4480">
        <v>0</v>
      </c>
      <c r="D4480" t="s">
        <v>263</v>
      </c>
      <c r="E4480">
        <v>2022</v>
      </c>
      <c r="F4480">
        <v>3</v>
      </c>
    </row>
    <row r="4481" spans="1:6" x14ac:dyDescent="0.55000000000000004">
      <c r="A4481" t="s">
        <v>137</v>
      </c>
      <c r="B4481" t="s">
        <v>45</v>
      </c>
      <c r="C4481">
        <v>3126.4452999999999</v>
      </c>
      <c r="D4481" t="s">
        <v>263</v>
      </c>
      <c r="E4481">
        <v>2022</v>
      </c>
      <c r="F4481">
        <v>3</v>
      </c>
    </row>
    <row r="4482" spans="1:6" x14ac:dyDescent="0.55000000000000004">
      <c r="A4482" t="s">
        <v>137</v>
      </c>
      <c r="B4482" t="s">
        <v>46</v>
      </c>
      <c r="C4482">
        <v>40000</v>
      </c>
      <c r="D4482" t="s">
        <v>263</v>
      </c>
      <c r="E4482">
        <v>2022</v>
      </c>
      <c r="F4482">
        <v>3</v>
      </c>
    </row>
    <row r="4483" spans="1:6" x14ac:dyDescent="0.55000000000000004">
      <c r="A4483" t="s">
        <v>137</v>
      </c>
      <c r="B4483" t="s">
        <v>47</v>
      </c>
      <c r="C4483">
        <v>0.66669999999999996</v>
      </c>
      <c r="D4483" t="s">
        <v>263</v>
      </c>
      <c r="E4483">
        <v>2022</v>
      </c>
      <c r="F4483">
        <v>3</v>
      </c>
    </row>
    <row r="4484" spans="1:6" x14ac:dyDescent="0.55000000000000004">
      <c r="A4484" t="s">
        <v>137</v>
      </c>
      <c r="B4484" t="s">
        <v>48</v>
      </c>
      <c r="C4484">
        <v>196954.6758</v>
      </c>
      <c r="D4484" t="s">
        <v>263</v>
      </c>
      <c r="E4484">
        <v>2022</v>
      </c>
      <c r="F4484">
        <v>3</v>
      </c>
    </row>
    <row r="4485" spans="1:6" x14ac:dyDescent="0.55000000000000004">
      <c r="A4485" t="s">
        <v>137</v>
      </c>
      <c r="B4485" t="s">
        <v>49</v>
      </c>
      <c r="C4485">
        <v>49.997999999999998</v>
      </c>
      <c r="D4485" t="s">
        <v>263</v>
      </c>
      <c r="E4485">
        <v>2022</v>
      </c>
      <c r="F4485">
        <v>3</v>
      </c>
    </row>
    <row r="4486" spans="1:6" x14ac:dyDescent="0.55000000000000004">
      <c r="A4486" t="s">
        <v>137</v>
      </c>
      <c r="B4486" t="s">
        <v>50</v>
      </c>
      <c r="C4486">
        <v>4601.558</v>
      </c>
      <c r="D4486" t="s">
        <v>263</v>
      </c>
      <c r="E4486">
        <v>2022</v>
      </c>
      <c r="F4486">
        <v>3</v>
      </c>
    </row>
    <row r="4487" spans="1:6" x14ac:dyDescent="0.55000000000000004">
      <c r="A4487" t="s">
        <v>137</v>
      </c>
      <c r="B4487" t="s">
        <v>51</v>
      </c>
      <c r="C4487">
        <v>600</v>
      </c>
      <c r="D4487" t="s">
        <v>263</v>
      </c>
      <c r="E4487">
        <v>2022</v>
      </c>
      <c r="F4487">
        <v>3</v>
      </c>
    </row>
    <row r="4488" spans="1:6" x14ac:dyDescent="0.55000000000000004">
      <c r="A4488" t="s">
        <v>137</v>
      </c>
      <c r="B4488" t="s">
        <v>52</v>
      </c>
      <c r="C4488">
        <v>46.8919</v>
      </c>
      <c r="D4488" t="s">
        <v>263</v>
      </c>
      <c r="E4488">
        <v>2022</v>
      </c>
      <c r="F4488">
        <v>3</v>
      </c>
    </row>
    <row r="4489" spans="1:6" x14ac:dyDescent="0.55000000000000004">
      <c r="A4489" t="s">
        <v>137</v>
      </c>
      <c r="B4489" t="s">
        <v>53</v>
      </c>
      <c r="C4489">
        <v>113516.375</v>
      </c>
      <c r="D4489" t="s">
        <v>263</v>
      </c>
      <c r="E4489">
        <v>2022</v>
      </c>
      <c r="F4489">
        <v>3</v>
      </c>
    </row>
    <row r="4490" spans="1:6" x14ac:dyDescent="0.55000000000000004">
      <c r="A4490" t="s">
        <v>137</v>
      </c>
      <c r="B4490" t="s">
        <v>54</v>
      </c>
      <c r="C4490">
        <v>17601.629000000001</v>
      </c>
      <c r="D4490" t="s">
        <v>263</v>
      </c>
      <c r="E4490">
        <v>2022</v>
      </c>
      <c r="F4490">
        <v>3</v>
      </c>
    </row>
    <row r="4491" spans="1:6" x14ac:dyDescent="0.55000000000000004">
      <c r="A4491" t="s">
        <v>137</v>
      </c>
      <c r="B4491" t="s">
        <v>55</v>
      </c>
      <c r="C4491">
        <v>3429</v>
      </c>
      <c r="D4491" t="s">
        <v>263</v>
      </c>
      <c r="E4491">
        <v>2022</v>
      </c>
      <c r="F4491">
        <v>3</v>
      </c>
    </row>
    <row r="4492" spans="1:6" x14ac:dyDescent="0.55000000000000004">
      <c r="A4492" t="s">
        <v>137</v>
      </c>
      <c r="B4492" t="s">
        <v>56</v>
      </c>
      <c r="C4492">
        <v>6583.3333000000002</v>
      </c>
      <c r="D4492" t="s">
        <v>263</v>
      </c>
      <c r="E4492">
        <v>2022</v>
      </c>
      <c r="F4492">
        <v>3</v>
      </c>
    </row>
    <row r="4493" spans="1:6" x14ac:dyDescent="0.55000000000000004">
      <c r="A4493" t="s">
        <v>137</v>
      </c>
      <c r="B4493" t="s">
        <v>57</v>
      </c>
      <c r="C4493">
        <v>154.3861</v>
      </c>
      <c r="D4493" t="s">
        <v>263</v>
      </c>
      <c r="E4493">
        <v>2022</v>
      </c>
      <c r="F4493">
        <v>3</v>
      </c>
    </row>
    <row r="4494" spans="1:6" x14ac:dyDescent="0.55000000000000004">
      <c r="A4494" t="s">
        <v>137</v>
      </c>
      <c r="B4494" t="s">
        <v>58</v>
      </c>
      <c r="C4494">
        <v>478023.01</v>
      </c>
      <c r="D4494" t="s">
        <v>263</v>
      </c>
      <c r="E4494">
        <v>2022</v>
      </c>
      <c r="F4494">
        <v>3</v>
      </c>
    </row>
    <row r="4495" spans="1:6" x14ac:dyDescent="0.55000000000000004">
      <c r="A4495" t="s">
        <v>137</v>
      </c>
      <c r="B4495" t="s">
        <v>59</v>
      </c>
      <c r="C4495">
        <v>16900</v>
      </c>
      <c r="D4495" t="s">
        <v>263</v>
      </c>
      <c r="E4495">
        <v>2022</v>
      </c>
      <c r="F4495">
        <v>3</v>
      </c>
    </row>
    <row r="4496" spans="1:6" x14ac:dyDescent="0.55000000000000004">
      <c r="A4496" t="s">
        <v>137</v>
      </c>
      <c r="B4496" t="s">
        <v>60</v>
      </c>
      <c r="C4496">
        <v>3622122.6038000002</v>
      </c>
      <c r="D4496" t="s">
        <v>263</v>
      </c>
      <c r="E4496">
        <v>2022</v>
      </c>
      <c r="F4496">
        <v>3</v>
      </c>
    </row>
    <row r="4497" spans="1:6" x14ac:dyDescent="0.55000000000000004">
      <c r="A4497" t="s">
        <v>137</v>
      </c>
      <c r="B4497" t="s">
        <v>61</v>
      </c>
      <c r="C4497">
        <v>6019.9952999999996</v>
      </c>
      <c r="D4497" t="s">
        <v>263</v>
      </c>
      <c r="E4497">
        <v>2022</v>
      </c>
      <c r="F4497">
        <v>3</v>
      </c>
    </row>
    <row r="4498" spans="1:6" x14ac:dyDescent="0.55000000000000004">
      <c r="A4498" t="s">
        <v>137</v>
      </c>
      <c r="B4498" t="s">
        <v>62</v>
      </c>
      <c r="C4498">
        <v>9882</v>
      </c>
      <c r="D4498" t="s">
        <v>263</v>
      </c>
      <c r="E4498">
        <v>2022</v>
      </c>
      <c r="F4498">
        <v>3</v>
      </c>
    </row>
    <row r="4499" spans="1:6" x14ac:dyDescent="0.55000000000000004">
      <c r="A4499" t="s">
        <v>137</v>
      </c>
      <c r="B4499" t="s">
        <v>63</v>
      </c>
      <c r="C4499">
        <v>300</v>
      </c>
      <c r="D4499" t="s">
        <v>263</v>
      </c>
      <c r="E4499">
        <v>2022</v>
      </c>
      <c r="F4499">
        <v>3</v>
      </c>
    </row>
    <row r="4500" spans="1:6" x14ac:dyDescent="0.55000000000000004">
      <c r="A4500" t="s">
        <v>138</v>
      </c>
      <c r="B4500" t="s">
        <v>4</v>
      </c>
      <c r="C4500">
        <v>10701572.5945</v>
      </c>
      <c r="D4500" t="s">
        <v>264</v>
      </c>
      <c r="E4500">
        <v>2022</v>
      </c>
      <c r="F4500">
        <v>4</v>
      </c>
    </row>
    <row r="4501" spans="1:6" x14ac:dyDescent="0.55000000000000004">
      <c r="A4501" t="s">
        <v>138</v>
      </c>
      <c r="B4501" t="s">
        <v>5</v>
      </c>
      <c r="C4501">
        <v>995229.83770000003</v>
      </c>
      <c r="D4501" t="s">
        <v>264</v>
      </c>
      <c r="E4501">
        <v>2022</v>
      </c>
      <c r="F4501">
        <v>4</v>
      </c>
    </row>
    <row r="4502" spans="1:6" x14ac:dyDescent="0.55000000000000004">
      <c r="A4502" t="s">
        <v>138</v>
      </c>
      <c r="B4502" t="s">
        <v>6</v>
      </c>
      <c r="C4502">
        <v>2428671.0095000002</v>
      </c>
      <c r="D4502" t="s">
        <v>264</v>
      </c>
      <c r="E4502">
        <v>2022</v>
      </c>
      <c r="F4502">
        <v>4</v>
      </c>
    </row>
    <row r="4503" spans="1:6" x14ac:dyDescent="0.55000000000000004">
      <c r="A4503" t="s">
        <v>138</v>
      </c>
      <c r="B4503" t="s">
        <v>7</v>
      </c>
      <c r="C4503">
        <v>3242274.1154999998</v>
      </c>
      <c r="D4503" t="s">
        <v>264</v>
      </c>
      <c r="E4503">
        <v>2022</v>
      </c>
      <c r="F4503">
        <v>4</v>
      </c>
    </row>
    <row r="4504" spans="1:6" x14ac:dyDescent="0.55000000000000004">
      <c r="A4504" t="s">
        <v>138</v>
      </c>
      <c r="B4504" t="s">
        <v>8</v>
      </c>
      <c r="C4504">
        <v>4035397.6318000001</v>
      </c>
      <c r="D4504" t="s">
        <v>264</v>
      </c>
      <c r="E4504">
        <v>2022</v>
      </c>
      <c r="F4504">
        <v>4</v>
      </c>
    </row>
    <row r="4505" spans="1:6" x14ac:dyDescent="0.55000000000000004">
      <c r="A4505" t="s">
        <v>138</v>
      </c>
      <c r="B4505" t="s">
        <v>9</v>
      </c>
      <c r="C4505">
        <v>1.5591999999999999</v>
      </c>
      <c r="D4505" t="s">
        <v>264</v>
      </c>
      <c r="E4505">
        <v>2022</v>
      </c>
      <c r="F4505">
        <v>4</v>
      </c>
    </row>
    <row r="4506" spans="1:6" x14ac:dyDescent="0.55000000000000004">
      <c r="A4506" t="s">
        <v>138</v>
      </c>
      <c r="B4506" t="s">
        <v>10</v>
      </c>
      <c r="C4506">
        <v>1688.5033000000001</v>
      </c>
      <c r="D4506" t="s">
        <v>264</v>
      </c>
      <c r="E4506">
        <v>2022</v>
      </c>
      <c r="F4506">
        <v>4</v>
      </c>
    </row>
    <row r="4507" spans="1:6" x14ac:dyDescent="0.55000000000000004">
      <c r="A4507" t="s">
        <v>138</v>
      </c>
      <c r="B4507" t="s">
        <v>11</v>
      </c>
      <c r="C4507">
        <v>3016609.1283</v>
      </c>
      <c r="D4507" t="s">
        <v>264</v>
      </c>
      <c r="E4507">
        <v>2022</v>
      </c>
      <c r="F4507">
        <v>4</v>
      </c>
    </row>
    <row r="4508" spans="1:6" x14ac:dyDescent="0.55000000000000004">
      <c r="A4508" t="s">
        <v>138</v>
      </c>
      <c r="B4508" t="s">
        <v>12</v>
      </c>
      <c r="C4508">
        <v>2366.0167000000001</v>
      </c>
      <c r="D4508" t="s">
        <v>264</v>
      </c>
      <c r="E4508">
        <v>2022</v>
      </c>
      <c r="F4508">
        <v>4</v>
      </c>
    </row>
    <row r="4509" spans="1:6" x14ac:dyDescent="0.55000000000000004">
      <c r="A4509" t="s">
        <v>138</v>
      </c>
      <c r="B4509" t="s">
        <v>13</v>
      </c>
      <c r="C4509">
        <v>14100</v>
      </c>
      <c r="D4509" t="s">
        <v>264</v>
      </c>
      <c r="E4509">
        <v>2022</v>
      </c>
      <c r="F4509">
        <v>4</v>
      </c>
    </row>
    <row r="4510" spans="1:6" x14ac:dyDescent="0.55000000000000004">
      <c r="A4510" t="s">
        <v>138</v>
      </c>
      <c r="B4510" t="s">
        <v>14</v>
      </c>
      <c r="C4510">
        <v>3000</v>
      </c>
      <c r="D4510" t="s">
        <v>264</v>
      </c>
      <c r="E4510">
        <v>2022</v>
      </c>
      <c r="F4510">
        <v>4</v>
      </c>
    </row>
    <row r="4511" spans="1:6" x14ac:dyDescent="0.55000000000000004">
      <c r="A4511" t="s">
        <v>138</v>
      </c>
      <c r="B4511" t="s">
        <v>15</v>
      </c>
      <c r="C4511">
        <v>860789.46429999999</v>
      </c>
      <c r="D4511" t="s">
        <v>264</v>
      </c>
      <c r="E4511">
        <v>2022</v>
      </c>
      <c r="F4511">
        <v>4</v>
      </c>
    </row>
    <row r="4512" spans="1:6" x14ac:dyDescent="0.55000000000000004">
      <c r="A4512" t="s">
        <v>138</v>
      </c>
      <c r="B4512" t="s">
        <v>16</v>
      </c>
      <c r="C4512">
        <v>0.82650000000000001</v>
      </c>
      <c r="D4512" t="s">
        <v>264</v>
      </c>
      <c r="E4512">
        <v>2022</v>
      </c>
      <c r="F4512">
        <v>4</v>
      </c>
    </row>
    <row r="4513" spans="1:6" x14ac:dyDescent="0.55000000000000004">
      <c r="A4513" t="s">
        <v>138</v>
      </c>
      <c r="B4513" t="s">
        <v>17</v>
      </c>
      <c r="C4513">
        <v>105550.2697</v>
      </c>
      <c r="D4513" t="s">
        <v>264</v>
      </c>
      <c r="E4513">
        <v>2022</v>
      </c>
      <c r="F4513">
        <v>4</v>
      </c>
    </row>
    <row r="4514" spans="1:6" x14ac:dyDescent="0.55000000000000004">
      <c r="A4514" t="s">
        <v>138</v>
      </c>
      <c r="B4514" t="s">
        <v>18</v>
      </c>
      <c r="C4514">
        <v>52961.733099999998</v>
      </c>
      <c r="D4514" t="s">
        <v>264</v>
      </c>
      <c r="E4514">
        <v>2022</v>
      </c>
      <c r="F4514">
        <v>4</v>
      </c>
    </row>
    <row r="4515" spans="1:6" x14ac:dyDescent="0.55000000000000004">
      <c r="A4515" t="s">
        <v>138</v>
      </c>
      <c r="B4515" t="s">
        <v>19</v>
      </c>
      <c r="C4515">
        <v>1385.5616</v>
      </c>
      <c r="D4515" t="s">
        <v>264</v>
      </c>
      <c r="E4515">
        <v>2022</v>
      </c>
      <c r="F4515">
        <v>4</v>
      </c>
    </row>
    <row r="4516" spans="1:6" x14ac:dyDescent="0.55000000000000004">
      <c r="A4516" t="s">
        <v>138</v>
      </c>
      <c r="B4516" t="s">
        <v>20</v>
      </c>
      <c r="C4516">
        <v>16500</v>
      </c>
      <c r="D4516" t="s">
        <v>264</v>
      </c>
      <c r="E4516">
        <v>2022</v>
      </c>
      <c r="F4516">
        <v>4</v>
      </c>
    </row>
    <row r="4517" spans="1:6" x14ac:dyDescent="0.55000000000000004">
      <c r="A4517" t="s">
        <v>138</v>
      </c>
      <c r="B4517" t="s">
        <v>21</v>
      </c>
      <c r="C4517">
        <v>2716.5981999999999</v>
      </c>
      <c r="D4517" t="s">
        <v>264</v>
      </c>
      <c r="E4517">
        <v>2022</v>
      </c>
      <c r="F4517">
        <v>4</v>
      </c>
    </row>
    <row r="4518" spans="1:6" x14ac:dyDescent="0.55000000000000004">
      <c r="A4518" t="s">
        <v>138</v>
      </c>
      <c r="B4518" t="s">
        <v>22</v>
      </c>
      <c r="C4518">
        <v>35448.754999999997</v>
      </c>
      <c r="D4518" t="s">
        <v>264</v>
      </c>
      <c r="E4518">
        <v>2022</v>
      </c>
      <c r="F4518">
        <v>4</v>
      </c>
    </row>
    <row r="4519" spans="1:6" x14ac:dyDescent="0.55000000000000004">
      <c r="A4519" t="s">
        <v>138</v>
      </c>
      <c r="B4519" t="s">
        <v>23</v>
      </c>
      <c r="C4519">
        <v>48705.4012</v>
      </c>
      <c r="D4519" t="s">
        <v>264</v>
      </c>
      <c r="E4519">
        <v>2022</v>
      </c>
      <c r="F4519">
        <v>4</v>
      </c>
    </row>
    <row r="4520" spans="1:6" x14ac:dyDescent="0.55000000000000004">
      <c r="A4520" t="s">
        <v>138</v>
      </c>
      <c r="B4520" t="s">
        <v>24</v>
      </c>
      <c r="C4520">
        <v>0</v>
      </c>
      <c r="D4520" t="s">
        <v>264</v>
      </c>
      <c r="E4520">
        <v>2022</v>
      </c>
      <c r="F4520">
        <v>4</v>
      </c>
    </row>
    <row r="4521" spans="1:6" x14ac:dyDescent="0.55000000000000004">
      <c r="A4521" t="s">
        <v>138</v>
      </c>
      <c r="B4521" t="s">
        <v>25</v>
      </c>
      <c r="C4521">
        <v>340000</v>
      </c>
      <c r="D4521" t="s">
        <v>264</v>
      </c>
      <c r="E4521">
        <v>2022</v>
      </c>
      <c r="F4521">
        <v>4</v>
      </c>
    </row>
    <row r="4522" spans="1:6" x14ac:dyDescent="0.55000000000000004">
      <c r="A4522" t="s">
        <v>138</v>
      </c>
      <c r="B4522" t="s">
        <v>26</v>
      </c>
      <c r="C4522">
        <v>0</v>
      </c>
      <c r="D4522" t="s">
        <v>264</v>
      </c>
      <c r="E4522">
        <v>2022</v>
      </c>
      <c r="F4522">
        <v>4</v>
      </c>
    </row>
    <row r="4523" spans="1:6" x14ac:dyDescent="0.55000000000000004">
      <c r="A4523" t="s">
        <v>138</v>
      </c>
      <c r="B4523" t="s">
        <v>27</v>
      </c>
      <c r="C4523">
        <v>269.67099999999999</v>
      </c>
      <c r="D4523" t="s">
        <v>264</v>
      </c>
      <c r="E4523">
        <v>2022</v>
      </c>
      <c r="F4523">
        <v>4</v>
      </c>
    </row>
    <row r="4524" spans="1:6" x14ac:dyDescent="0.55000000000000004">
      <c r="A4524" t="s">
        <v>138</v>
      </c>
      <c r="B4524" t="s">
        <v>28</v>
      </c>
      <c r="C4524">
        <v>377357.17320000002</v>
      </c>
      <c r="D4524" t="s">
        <v>264</v>
      </c>
      <c r="E4524">
        <v>2022</v>
      </c>
      <c r="F4524">
        <v>4</v>
      </c>
    </row>
    <row r="4525" spans="1:6" x14ac:dyDescent="0.55000000000000004">
      <c r="A4525" t="s">
        <v>138</v>
      </c>
      <c r="B4525" t="s">
        <v>29</v>
      </c>
      <c r="C4525">
        <v>31207.439200000001</v>
      </c>
      <c r="D4525" t="s">
        <v>264</v>
      </c>
      <c r="E4525">
        <v>2022</v>
      </c>
      <c r="F4525">
        <v>4</v>
      </c>
    </row>
    <row r="4526" spans="1:6" x14ac:dyDescent="0.55000000000000004">
      <c r="A4526" t="s">
        <v>138</v>
      </c>
      <c r="B4526" t="s">
        <v>30</v>
      </c>
      <c r="C4526">
        <v>0</v>
      </c>
      <c r="D4526" t="s">
        <v>264</v>
      </c>
      <c r="E4526">
        <v>2022</v>
      </c>
      <c r="F4526">
        <v>4</v>
      </c>
    </row>
    <row r="4527" spans="1:6" x14ac:dyDescent="0.55000000000000004">
      <c r="A4527" t="s">
        <v>138</v>
      </c>
      <c r="B4527" t="s">
        <v>31</v>
      </c>
      <c r="C4527">
        <v>349.99990000000003</v>
      </c>
      <c r="D4527" t="s">
        <v>264</v>
      </c>
      <c r="E4527">
        <v>2022</v>
      </c>
      <c r="F4527">
        <v>4</v>
      </c>
    </row>
    <row r="4528" spans="1:6" x14ac:dyDescent="0.55000000000000004">
      <c r="A4528" t="s">
        <v>138</v>
      </c>
      <c r="B4528" t="s">
        <v>32</v>
      </c>
      <c r="C4528">
        <v>584062.65</v>
      </c>
      <c r="D4528" t="s">
        <v>264</v>
      </c>
      <c r="E4528">
        <v>2022</v>
      </c>
      <c r="F4528">
        <v>4</v>
      </c>
    </row>
    <row r="4529" spans="1:6" x14ac:dyDescent="0.55000000000000004">
      <c r="A4529" t="s">
        <v>138</v>
      </c>
      <c r="B4529" t="s">
        <v>33</v>
      </c>
      <c r="C4529">
        <v>595709.27599999995</v>
      </c>
      <c r="D4529" t="s">
        <v>264</v>
      </c>
      <c r="E4529">
        <v>2022</v>
      </c>
      <c r="F4529">
        <v>4</v>
      </c>
    </row>
    <row r="4530" spans="1:6" x14ac:dyDescent="0.55000000000000004">
      <c r="A4530" t="s">
        <v>138</v>
      </c>
      <c r="B4530" t="s">
        <v>34</v>
      </c>
      <c r="C4530">
        <v>374137.29389999999</v>
      </c>
      <c r="D4530" t="s">
        <v>264</v>
      </c>
      <c r="E4530">
        <v>2022</v>
      </c>
      <c r="F4530">
        <v>4</v>
      </c>
    </row>
    <row r="4531" spans="1:6" x14ac:dyDescent="0.55000000000000004">
      <c r="A4531" t="s">
        <v>138</v>
      </c>
      <c r="B4531" t="s">
        <v>35</v>
      </c>
      <c r="C4531">
        <v>1288.058</v>
      </c>
      <c r="D4531" t="s">
        <v>264</v>
      </c>
      <c r="E4531">
        <v>2022</v>
      </c>
      <c r="F4531">
        <v>4</v>
      </c>
    </row>
    <row r="4532" spans="1:6" x14ac:dyDescent="0.55000000000000004">
      <c r="A4532" t="s">
        <v>138</v>
      </c>
      <c r="B4532" t="s">
        <v>36</v>
      </c>
      <c r="C4532">
        <v>97607.462</v>
      </c>
      <c r="D4532" t="s">
        <v>264</v>
      </c>
      <c r="E4532">
        <v>2022</v>
      </c>
      <c r="F4532">
        <v>4</v>
      </c>
    </row>
    <row r="4533" spans="1:6" x14ac:dyDescent="0.55000000000000004">
      <c r="A4533" t="s">
        <v>138</v>
      </c>
      <c r="B4533" t="s">
        <v>37</v>
      </c>
      <c r="C4533">
        <v>84000.013600000006</v>
      </c>
      <c r="D4533" t="s">
        <v>264</v>
      </c>
      <c r="E4533">
        <v>2022</v>
      </c>
      <c r="F4533">
        <v>4</v>
      </c>
    </row>
    <row r="4534" spans="1:6" x14ac:dyDescent="0.55000000000000004">
      <c r="A4534" t="s">
        <v>138</v>
      </c>
      <c r="B4534" t="s">
        <v>38</v>
      </c>
      <c r="C4534">
        <v>0</v>
      </c>
      <c r="D4534" t="s">
        <v>264</v>
      </c>
      <c r="E4534">
        <v>2022</v>
      </c>
      <c r="F4534">
        <v>4</v>
      </c>
    </row>
    <row r="4535" spans="1:6" x14ac:dyDescent="0.55000000000000004">
      <c r="A4535" t="s">
        <v>138</v>
      </c>
      <c r="B4535" t="s">
        <v>39</v>
      </c>
      <c r="C4535">
        <v>1.6865000000000001</v>
      </c>
      <c r="D4535" t="s">
        <v>264</v>
      </c>
      <c r="E4535">
        <v>2022</v>
      </c>
      <c r="F4535">
        <v>4</v>
      </c>
    </row>
    <row r="4536" spans="1:6" x14ac:dyDescent="0.55000000000000004">
      <c r="A4536" t="s">
        <v>138</v>
      </c>
      <c r="B4536" t="s">
        <v>40</v>
      </c>
      <c r="C4536">
        <v>768.19870000000003</v>
      </c>
      <c r="D4536" t="s">
        <v>264</v>
      </c>
      <c r="E4536">
        <v>2022</v>
      </c>
      <c r="F4536">
        <v>4</v>
      </c>
    </row>
    <row r="4537" spans="1:6" x14ac:dyDescent="0.55000000000000004">
      <c r="A4537" t="s">
        <v>138</v>
      </c>
      <c r="B4537" t="s">
        <v>41</v>
      </c>
      <c r="C4537">
        <v>354999.99080000003</v>
      </c>
      <c r="D4537" t="s">
        <v>264</v>
      </c>
      <c r="E4537">
        <v>2022</v>
      </c>
      <c r="F4537">
        <v>4</v>
      </c>
    </row>
    <row r="4538" spans="1:6" x14ac:dyDescent="0.55000000000000004">
      <c r="A4538" t="s">
        <v>138</v>
      </c>
      <c r="B4538" t="s">
        <v>42</v>
      </c>
      <c r="C4538">
        <v>70.933300000000003</v>
      </c>
      <c r="D4538" t="s">
        <v>264</v>
      </c>
      <c r="E4538">
        <v>2022</v>
      </c>
      <c r="F4538">
        <v>4</v>
      </c>
    </row>
    <row r="4539" spans="1:6" x14ac:dyDescent="0.55000000000000004">
      <c r="A4539" t="s">
        <v>138</v>
      </c>
      <c r="B4539" t="s">
        <v>43</v>
      </c>
      <c r="C4539">
        <v>306561.39720000001</v>
      </c>
      <c r="D4539" t="s">
        <v>264</v>
      </c>
      <c r="E4539">
        <v>2022</v>
      </c>
      <c r="F4539">
        <v>4</v>
      </c>
    </row>
    <row r="4540" spans="1:6" x14ac:dyDescent="0.55000000000000004">
      <c r="A4540" t="s">
        <v>138</v>
      </c>
      <c r="B4540" t="s">
        <v>44</v>
      </c>
      <c r="C4540">
        <v>0</v>
      </c>
      <c r="D4540" t="s">
        <v>264</v>
      </c>
      <c r="E4540">
        <v>2022</v>
      </c>
      <c r="F4540">
        <v>4</v>
      </c>
    </row>
    <row r="4541" spans="1:6" x14ac:dyDescent="0.55000000000000004">
      <c r="A4541" t="s">
        <v>138</v>
      </c>
      <c r="B4541" t="s">
        <v>45</v>
      </c>
      <c r="C4541">
        <v>3419.3858</v>
      </c>
      <c r="D4541" t="s">
        <v>264</v>
      </c>
      <c r="E4541">
        <v>2022</v>
      </c>
      <c r="F4541">
        <v>4</v>
      </c>
    </row>
    <row r="4542" spans="1:6" x14ac:dyDescent="0.55000000000000004">
      <c r="A4542" t="s">
        <v>138</v>
      </c>
      <c r="B4542" t="s">
        <v>46</v>
      </c>
      <c r="C4542">
        <v>40000</v>
      </c>
      <c r="D4542" t="s">
        <v>264</v>
      </c>
      <c r="E4542">
        <v>2022</v>
      </c>
      <c r="F4542">
        <v>4</v>
      </c>
    </row>
    <row r="4543" spans="1:6" x14ac:dyDescent="0.55000000000000004">
      <c r="A4543" t="s">
        <v>138</v>
      </c>
      <c r="B4543" t="s">
        <v>47</v>
      </c>
      <c r="C4543">
        <v>0</v>
      </c>
      <c r="D4543" t="s">
        <v>264</v>
      </c>
      <c r="E4543">
        <v>2022</v>
      </c>
      <c r="F4543">
        <v>4</v>
      </c>
    </row>
    <row r="4544" spans="1:6" x14ac:dyDescent="0.55000000000000004">
      <c r="A4544" t="s">
        <v>138</v>
      </c>
      <c r="B4544" t="s">
        <v>48</v>
      </c>
      <c r="C4544">
        <v>104310.8952</v>
      </c>
      <c r="D4544" t="s">
        <v>264</v>
      </c>
      <c r="E4544">
        <v>2022</v>
      </c>
      <c r="F4544">
        <v>4</v>
      </c>
    </row>
    <row r="4545" spans="1:6" x14ac:dyDescent="0.55000000000000004">
      <c r="A4545" t="s">
        <v>138</v>
      </c>
      <c r="B4545" t="s">
        <v>49</v>
      </c>
      <c r="C4545">
        <v>49.997999999999998</v>
      </c>
      <c r="D4545" t="s">
        <v>264</v>
      </c>
      <c r="E4545">
        <v>2022</v>
      </c>
      <c r="F4545">
        <v>4</v>
      </c>
    </row>
    <row r="4546" spans="1:6" x14ac:dyDescent="0.55000000000000004">
      <c r="A4546" t="s">
        <v>138</v>
      </c>
      <c r="B4546" t="s">
        <v>50</v>
      </c>
      <c r="C4546">
        <v>6546.0780999999997</v>
      </c>
      <c r="D4546" t="s">
        <v>264</v>
      </c>
      <c r="E4546">
        <v>2022</v>
      </c>
      <c r="F4546">
        <v>4</v>
      </c>
    </row>
    <row r="4547" spans="1:6" x14ac:dyDescent="0.55000000000000004">
      <c r="A4547" t="s">
        <v>138</v>
      </c>
      <c r="B4547" t="s">
        <v>51</v>
      </c>
      <c r="C4547">
        <v>2600</v>
      </c>
      <c r="D4547" t="s">
        <v>264</v>
      </c>
      <c r="E4547">
        <v>2022</v>
      </c>
      <c r="F4547">
        <v>4</v>
      </c>
    </row>
    <row r="4548" spans="1:6" x14ac:dyDescent="0.55000000000000004">
      <c r="A4548" t="s">
        <v>138</v>
      </c>
      <c r="B4548" t="s">
        <v>52</v>
      </c>
      <c r="C4548">
        <v>46.8919</v>
      </c>
      <c r="D4548" t="s">
        <v>264</v>
      </c>
      <c r="E4548">
        <v>2022</v>
      </c>
      <c r="F4548">
        <v>4</v>
      </c>
    </row>
    <row r="4549" spans="1:6" x14ac:dyDescent="0.55000000000000004">
      <c r="A4549" t="s">
        <v>138</v>
      </c>
      <c r="B4549" t="s">
        <v>53</v>
      </c>
      <c r="C4549">
        <v>64001.244700000003</v>
      </c>
      <c r="D4549" t="s">
        <v>264</v>
      </c>
      <c r="E4549">
        <v>2022</v>
      </c>
      <c r="F4549">
        <v>4</v>
      </c>
    </row>
    <row r="4550" spans="1:6" x14ac:dyDescent="0.55000000000000004">
      <c r="A4550" t="s">
        <v>138</v>
      </c>
      <c r="B4550" t="s">
        <v>54</v>
      </c>
      <c r="C4550">
        <v>15618.3184</v>
      </c>
      <c r="D4550" t="s">
        <v>264</v>
      </c>
      <c r="E4550">
        <v>2022</v>
      </c>
      <c r="F4550">
        <v>4</v>
      </c>
    </row>
    <row r="4551" spans="1:6" x14ac:dyDescent="0.55000000000000004">
      <c r="A4551" t="s">
        <v>138</v>
      </c>
      <c r="B4551" t="s">
        <v>55</v>
      </c>
      <c r="C4551">
        <v>10546.6667</v>
      </c>
      <c r="D4551" t="s">
        <v>264</v>
      </c>
      <c r="E4551">
        <v>2022</v>
      </c>
      <c r="F4551">
        <v>4</v>
      </c>
    </row>
    <row r="4552" spans="1:6" x14ac:dyDescent="0.55000000000000004">
      <c r="A4552" t="s">
        <v>138</v>
      </c>
      <c r="B4552" t="s">
        <v>56</v>
      </c>
      <c r="C4552">
        <v>19078.400000000001</v>
      </c>
      <c r="D4552" t="s">
        <v>264</v>
      </c>
      <c r="E4552">
        <v>2022</v>
      </c>
      <c r="F4552">
        <v>4</v>
      </c>
    </row>
    <row r="4553" spans="1:6" x14ac:dyDescent="0.55000000000000004">
      <c r="A4553" t="s">
        <v>138</v>
      </c>
      <c r="B4553" t="s">
        <v>57</v>
      </c>
      <c r="C4553">
        <v>154.3861</v>
      </c>
      <c r="D4553" t="s">
        <v>264</v>
      </c>
      <c r="E4553">
        <v>2022</v>
      </c>
      <c r="F4553">
        <v>4</v>
      </c>
    </row>
    <row r="4554" spans="1:6" x14ac:dyDescent="0.55000000000000004">
      <c r="A4554" t="s">
        <v>138</v>
      </c>
      <c r="B4554" t="s">
        <v>58</v>
      </c>
      <c r="C4554">
        <v>407761.99</v>
      </c>
      <c r="D4554" t="s">
        <v>264</v>
      </c>
      <c r="E4554">
        <v>2022</v>
      </c>
      <c r="F4554">
        <v>4</v>
      </c>
    </row>
    <row r="4555" spans="1:6" x14ac:dyDescent="0.55000000000000004">
      <c r="A4555" t="s">
        <v>138</v>
      </c>
      <c r="B4555" t="s">
        <v>59</v>
      </c>
      <c r="C4555">
        <v>5200</v>
      </c>
      <c r="D4555" t="s">
        <v>264</v>
      </c>
      <c r="E4555">
        <v>2022</v>
      </c>
      <c r="F4555">
        <v>4</v>
      </c>
    </row>
    <row r="4556" spans="1:6" x14ac:dyDescent="0.55000000000000004">
      <c r="A4556" t="s">
        <v>138</v>
      </c>
      <c r="B4556" t="s">
        <v>60</v>
      </c>
      <c r="C4556">
        <v>2702400.3338000001</v>
      </c>
      <c r="D4556" t="s">
        <v>264</v>
      </c>
      <c r="E4556">
        <v>2022</v>
      </c>
      <c r="F4556">
        <v>4</v>
      </c>
    </row>
    <row r="4557" spans="1:6" x14ac:dyDescent="0.55000000000000004">
      <c r="A4557" t="s">
        <v>138</v>
      </c>
      <c r="B4557" t="s">
        <v>61</v>
      </c>
      <c r="C4557">
        <v>5189.9953999999998</v>
      </c>
      <c r="D4557" t="s">
        <v>264</v>
      </c>
      <c r="E4557">
        <v>2022</v>
      </c>
      <c r="F4557">
        <v>4</v>
      </c>
    </row>
    <row r="4558" spans="1:6" x14ac:dyDescent="0.55000000000000004">
      <c r="A4558" t="s">
        <v>138</v>
      </c>
      <c r="B4558" t="s">
        <v>62</v>
      </c>
      <c r="C4558">
        <v>4432.95</v>
      </c>
      <c r="D4558" t="s">
        <v>264</v>
      </c>
      <c r="E4558">
        <v>2022</v>
      </c>
      <c r="F4558">
        <v>4</v>
      </c>
    </row>
    <row r="4559" spans="1:6" x14ac:dyDescent="0.55000000000000004">
      <c r="A4559" t="s">
        <v>138</v>
      </c>
      <c r="B4559" t="s">
        <v>63</v>
      </c>
      <c r="C4559">
        <v>0</v>
      </c>
      <c r="D4559" t="s">
        <v>264</v>
      </c>
      <c r="E4559">
        <v>2022</v>
      </c>
      <c r="F4559">
        <v>4</v>
      </c>
    </row>
    <row r="4560" spans="1:6" x14ac:dyDescent="0.55000000000000004">
      <c r="A4560" t="s">
        <v>139</v>
      </c>
      <c r="B4560" t="s">
        <v>4</v>
      </c>
      <c r="C4560">
        <v>10775637.920299999</v>
      </c>
      <c r="D4560" t="s">
        <v>265</v>
      </c>
      <c r="E4560">
        <v>2022</v>
      </c>
      <c r="F4560">
        <v>5</v>
      </c>
    </row>
    <row r="4561" spans="1:6" x14ac:dyDescent="0.55000000000000004">
      <c r="A4561" t="s">
        <v>139</v>
      </c>
      <c r="B4561" t="s">
        <v>5</v>
      </c>
      <c r="C4561">
        <v>1076334.8322999999</v>
      </c>
      <c r="D4561" t="s">
        <v>265</v>
      </c>
      <c r="E4561">
        <v>2022</v>
      </c>
      <c r="F4561">
        <v>5</v>
      </c>
    </row>
    <row r="4562" spans="1:6" x14ac:dyDescent="0.55000000000000004">
      <c r="A4562" t="s">
        <v>139</v>
      </c>
      <c r="B4562" t="s">
        <v>6</v>
      </c>
      <c r="C4562">
        <v>2854149.0839999998</v>
      </c>
      <c r="D4562" t="s">
        <v>265</v>
      </c>
      <c r="E4562">
        <v>2022</v>
      </c>
      <c r="F4562">
        <v>5</v>
      </c>
    </row>
    <row r="4563" spans="1:6" x14ac:dyDescent="0.55000000000000004">
      <c r="A4563" t="s">
        <v>139</v>
      </c>
      <c r="B4563" t="s">
        <v>7</v>
      </c>
      <c r="C4563">
        <v>2888551.5543</v>
      </c>
      <c r="D4563" t="s">
        <v>265</v>
      </c>
      <c r="E4563">
        <v>2022</v>
      </c>
      <c r="F4563">
        <v>5</v>
      </c>
    </row>
    <row r="4564" spans="1:6" x14ac:dyDescent="0.55000000000000004">
      <c r="A4564" t="s">
        <v>139</v>
      </c>
      <c r="B4564" t="s">
        <v>8</v>
      </c>
      <c r="C4564">
        <v>3956602.4497000002</v>
      </c>
      <c r="D4564" t="s">
        <v>265</v>
      </c>
      <c r="E4564">
        <v>2022</v>
      </c>
      <c r="F4564">
        <v>5</v>
      </c>
    </row>
    <row r="4565" spans="1:6" x14ac:dyDescent="0.55000000000000004">
      <c r="A4565" t="s">
        <v>139</v>
      </c>
      <c r="B4565" t="s">
        <v>9</v>
      </c>
      <c r="C4565">
        <v>29.913</v>
      </c>
      <c r="D4565" t="s">
        <v>265</v>
      </c>
      <c r="E4565">
        <v>2022</v>
      </c>
      <c r="F4565">
        <v>5</v>
      </c>
    </row>
    <row r="4566" spans="1:6" x14ac:dyDescent="0.55000000000000004">
      <c r="A4566" t="s">
        <v>139</v>
      </c>
      <c r="B4566" t="s">
        <v>10</v>
      </c>
      <c r="C4566">
        <v>891.03330000000005</v>
      </c>
      <c r="D4566" t="s">
        <v>265</v>
      </c>
      <c r="E4566">
        <v>2022</v>
      </c>
      <c r="F4566">
        <v>5</v>
      </c>
    </row>
    <row r="4567" spans="1:6" x14ac:dyDescent="0.55000000000000004">
      <c r="A4567" t="s">
        <v>139</v>
      </c>
      <c r="B4567" t="s">
        <v>11</v>
      </c>
      <c r="C4567">
        <v>2961676.3371000001</v>
      </c>
      <c r="D4567" t="s">
        <v>265</v>
      </c>
      <c r="E4567">
        <v>2022</v>
      </c>
      <c r="F4567">
        <v>5</v>
      </c>
    </row>
    <row r="4568" spans="1:6" x14ac:dyDescent="0.55000000000000004">
      <c r="A4568" t="s">
        <v>139</v>
      </c>
      <c r="B4568" t="s">
        <v>12</v>
      </c>
      <c r="C4568">
        <v>2979.3166999999999</v>
      </c>
      <c r="D4568" t="s">
        <v>265</v>
      </c>
      <c r="E4568">
        <v>2022</v>
      </c>
      <c r="F4568">
        <v>5</v>
      </c>
    </row>
    <row r="4569" spans="1:6" x14ac:dyDescent="0.55000000000000004">
      <c r="A4569" t="s">
        <v>139</v>
      </c>
      <c r="B4569" t="s">
        <v>13</v>
      </c>
      <c r="C4569">
        <v>9800</v>
      </c>
      <c r="D4569" t="s">
        <v>265</v>
      </c>
      <c r="E4569">
        <v>2022</v>
      </c>
      <c r="F4569">
        <v>5</v>
      </c>
    </row>
    <row r="4570" spans="1:6" x14ac:dyDescent="0.55000000000000004">
      <c r="A4570" t="s">
        <v>139</v>
      </c>
      <c r="B4570" t="s">
        <v>14</v>
      </c>
      <c r="C4570">
        <v>7100</v>
      </c>
      <c r="D4570" t="s">
        <v>265</v>
      </c>
      <c r="E4570">
        <v>2022</v>
      </c>
      <c r="F4570">
        <v>5</v>
      </c>
    </row>
    <row r="4571" spans="1:6" x14ac:dyDescent="0.55000000000000004">
      <c r="A4571" t="s">
        <v>139</v>
      </c>
      <c r="B4571" t="s">
        <v>15</v>
      </c>
      <c r="C4571">
        <v>954952.77390000003</v>
      </c>
      <c r="D4571" t="s">
        <v>265</v>
      </c>
      <c r="E4571">
        <v>2022</v>
      </c>
      <c r="F4571">
        <v>5</v>
      </c>
    </row>
    <row r="4572" spans="1:6" x14ac:dyDescent="0.55000000000000004">
      <c r="A4572" t="s">
        <v>139</v>
      </c>
      <c r="B4572" t="s">
        <v>16</v>
      </c>
      <c r="C4572">
        <v>0.82650000000000001</v>
      </c>
      <c r="D4572" t="s">
        <v>265</v>
      </c>
      <c r="E4572">
        <v>2022</v>
      </c>
      <c r="F4572">
        <v>5</v>
      </c>
    </row>
    <row r="4573" spans="1:6" x14ac:dyDescent="0.55000000000000004">
      <c r="A4573" t="s">
        <v>139</v>
      </c>
      <c r="B4573" t="s">
        <v>17</v>
      </c>
      <c r="C4573">
        <v>113598.2368</v>
      </c>
      <c r="D4573" t="s">
        <v>265</v>
      </c>
      <c r="E4573">
        <v>2022</v>
      </c>
      <c r="F4573">
        <v>5</v>
      </c>
    </row>
    <row r="4574" spans="1:6" x14ac:dyDescent="0.55000000000000004">
      <c r="A4574" t="s">
        <v>139</v>
      </c>
      <c r="B4574" t="s">
        <v>18</v>
      </c>
      <c r="C4574">
        <v>155160.11790000001</v>
      </c>
      <c r="D4574" t="s">
        <v>265</v>
      </c>
      <c r="E4574">
        <v>2022</v>
      </c>
      <c r="F4574">
        <v>5</v>
      </c>
    </row>
    <row r="4575" spans="1:6" x14ac:dyDescent="0.55000000000000004">
      <c r="A4575" t="s">
        <v>139</v>
      </c>
      <c r="B4575" t="s">
        <v>19</v>
      </c>
      <c r="C4575">
        <v>1385.5616</v>
      </c>
      <c r="D4575" t="s">
        <v>265</v>
      </c>
      <c r="E4575">
        <v>2022</v>
      </c>
      <c r="F4575">
        <v>5</v>
      </c>
    </row>
    <row r="4576" spans="1:6" x14ac:dyDescent="0.55000000000000004">
      <c r="A4576" t="s">
        <v>139</v>
      </c>
      <c r="B4576" t="s">
        <v>20</v>
      </c>
      <c r="C4576">
        <v>19600</v>
      </c>
      <c r="D4576" t="s">
        <v>265</v>
      </c>
      <c r="E4576">
        <v>2022</v>
      </c>
      <c r="F4576">
        <v>5</v>
      </c>
    </row>
    <row r="4577" spans="1:6" x14ac:dyDescent="0.55000000000000004">
      <c r="A4577" t="s">
        <v>139</v>
      </c>
      <c r="B4577" t="s">
        <v>21</v>
      </c>
      <c r="C4577">
        <v>11022.061</v>
      </c>
      <c r="D4577" t="s">
        <v>265</v>
      </c>
      <c r="E4577">
        <v>2022</v>
      </c>
      <c r="F4577">
        <v>5</v>
      </c>
    </row>
    <row r="4578" spans="1:6" x14ac:dyDescent="0.55000000000000004">
      <c r="A4578" t="s">
        <v>139</v>
      </c>
      <c r="B4578" t="s">
        <v>22</v>
      </c>
      <c r="C4578">
        <v>22944.8249</v>
      </c>
      <c r="D4578" t="s">
        <v>265</v>
      </c>
      <c r="E4578">
        <v>2022</v>
      </c>
      <c r="F4578">
        <v>5</v>
      </c>
    </row>
    <row r="4579" spans="1:6" x14ac:dyDescent="0.55000000000000004">
      <c r="A4579" t="s">
        <v>139</v>
      </c>
      <c r="B4579" t="s">
        <v>23</v>
      </c>
      <c r="C4579">
        <v>77929.950800000006</v>
      </c>
      <c r="D4579" t="s">
        <v>265</v>
      </c>
      <c r="E4579">
        <v>2022</v>
      </c>
      <c r="F4579">
        <v>5</v>
      </c>
    </row>
    <row r="4580" spans="1:6" x14ac:dyDescent="0.55000000000000004">
      <c r="A4580" t="s">
        <v>139</v>
      </c>
      <c r="B4580" t="s">
        <v>24</v>
      </c>
      <c r="C4580">
        <v>0</v>
      </c>
      <c r="D4580" t="s">
        <v>265</v>
      </c>
      <c r="E4580">
        <v>2022</v>
      </c>
      <c r="F4580">
        <v>5</v>
      </c>
    </row>
    <row r="4581" spans="1:6" x14ac:dyDescent="0.55000000000000004">
      <c r="A4581" t="s">
        <v>139</v>
      </c>
      <c r="B4581" t="s">
        <v>25</v>
      </c>
      <c r="C4581">
        <v>400000</v>
      </c>
      <c r="D4581" t="s">
        <v>265</v>
      </c>
      <c r="E4581">
        <v>2022</v>
      </c>
      <c r="F4581">
        <v>5</v>
      </c>
    </row>
    <row r="4582" spans="1:6" x14ac:dyDescent="0.55000000000000004">
      <c r="A4582" t="s">
        <v>139</v>
      </c>
      <c r="B4582" t="s">
        <v>26</v>
      </c>
      <c r="C4582">
        <v>0</v>
      </c>
      <c r="D4582" t="s">
        <v>265</v>
      </c>
      <c r="E4582">
        <v>2022</v>
      </c>
      <c r="F4582">
        <v>5</v>
      </c>
    </row>
    <row r="4583" spans="1:6" x14ac:dyDescent="0.55000000000000004">
      <c r="A4583" t="s">
        <v>139</v>
      </c>
      <c r="B4583" t="s">
        <v>27</v>
      </c>
      <c r="C4583">
        <v>1249.4570000000001</v>
      </c>
      <c r="D4583" t="s">
        <v>265</v>
      </c>
      <c r="E4583">
        <v>2022</v>
      </c>
      <c r="F4583">
        <v>5</v>
      </c>
    </row>
    <row r="4584" spans="1:6" x14ac:dyDescent="0.55000000000000004">
      <c r="A4584" t="s">
        <v>139</v>
      </c>
      <c r="B4584" t="s">
        <v>28</v>
      </c>
      <c r="C4584">
        <v>461902.00719999999</v>
      </c>
      <c r="D4584" t="s">
        <v>265</v>
      </c>
      <c r="E4584">
        <v>2022</v>
      </c>
      <c r="F4584">
        <v>5</v>
      </c>
    </row>
    <row r="4585" spans="1:6" x14ac:dyDescent="0.55000000000000004">
      <c r="A4585" t="s">
        <v>139</v>
      </c>
      <c r="B4585" t="s">
        <v>29</v>
      </c>
      <c r="C4585">
        <v>25746.864300000001</v>
      </c>
      <c r="D4585" t="s">
        <v>265</v>
      </c>
      <c r="E4585">
        <v>2022</v>
      </c>
      <c r="F4585">
        <v>5</v>
      </c>
    </row>
    <row r="4586" spans="1:6" x14ac:dyDescent="0.55000000000000004">
      <c r="A4586" t="s">
        <v>139</v>
      </c>
      <c r="B4586" t="s">
        <v>30</v>
      </c>
      <c r="C4586">
        <v>11.5267</v>
      </c>
      <c r="D4586" t="s">
        <v>265</v>
      </c>
      <c r="E4586">
        <v>2022</v>
      </c>
      <c r="F4586">
        <v>5</v>
      </c>
    </row>
    <row r="4587" spans="1:6" x14ac:dyDescent="0.55000000000000004">
      <c r="A4587" t="s">
        <v>139</v>
      </c>
      <c r="B4587" t="s">
        <v>31</v>
      </c>
      <c r="C4587">
        <v>40</v>
      </c>
      <c r="D4587" t="s">
        <v>265</v>
      </c>
      <c r="E4587">
        <v>2022</v>
      </c>
      <c r="F4587">
        <v>5</v>
      </c>
    </row>
    <row r="4588" spans="1:6" x14ac:dyDescent="0.55000000000000004">
      <c r="A4588" t="s">
        <v>139</v>
      </c>
      <c r="B4588" t="s">
        <v>32</v>
      </c>
      <c r="C4588">
        <v>522847.15</v>
      </c>
      <c r="D4588" t="s">
        <v>265</v>
      </c>
      <c r="E4588">
        <v>2022</v>
      </c>
      <c r="F4588">
        <v>5</v>
      </c>
    </row>
    <row r="4589" spans="1:6" x14ac:dyDescent="0.55000000000000004">
      <c r="A4589" t="s">
        <v>139</v>
      </c>
      <c r="B4589" t="s">
        <v>33</v>
      </c>
      <c r="C4589">
        <v>680752.96499999997</v>
      </c>
      <c r="D4589" t="s">
        <v>265</v>
      </c>
      <c r="E4589">
        <v>2022</v>
      </c>
      <c r="F4589">
        <v>5</v>
      </c>
    </row>
    <row r="4590" spans="1:6" x14ac:dyDescent="0.55000000000000004">
      <c r="A4590" t="s">
        <v>139</v>
      </c>
      <c r="B4590" t="s">
        <v>34</v>
      </c>
      <c r="C4590">
        <v>228031.1066</v>
      </c>
      <c r="D4590" t="s">
        <v>265</v>
      </c>
      <c r="E4590">
        <v>2022</v>
      </c>
      <c r="F4590">
        <v>5</v>
      </c>
    </row>
    <row r="4591" spans="1:6" x14ac:dyDescent="0.55000000000000004">
      <c r="A4591" t="s">
        <v>139</v>
      </c>
      <c r="B4591" t="s">
        <v>35</v>
      </c>
      <c r="C4591">
        <v>1717.5793000000001</v>
      </c>
      <c r="D4591" t="s">
        <v>265</v>
      </c>
      <c r="E4591">
        <v>2022</v>
      </c>
      <c r="F4591">
        <v>5</v>
      </c>
    </row>
    <row r="4592" spans="1:6" x14ac:dyDescent="0.55000000000000004">
      <c r="A4592" t="s">
        <v>139</v>
      </c>
      <c r="B4592" t="s">
        <v>36</v>
      </c>
      <c r="C4592">
        <v>70979.368400000007</v>
      </c>
      <c r="D4592" t="s">
        <v>265</v>
      </c>
      <c r="E4592">
        <v>2022</v>
      </c>
      <c r="F4592">
        <v>5</v>
      </c>
    </row>
    <row r="4593" spans="1:6" x14ac:dyDescent="0.55000000000000004">
      <c r="A4593" t="s">
        <v>139</v>
      </c>
      <c r="B4593" t="s">
        <v>37</v>
      </c>
      <c r="C4593">
        <v>92800.007299999997</v>
      </c>
      <c r="D4593" t="s">
        <v>265</v>
      </c>
      <c r="E4593">
        <v>2022</v>
      </c>
      <c r="F4593">
        <v>5</v>
      </c>
    </row>
    <row r="4594" spans="1:6" x14ac:dyDescent="0.55000000000000004">
      <c r="A4594" t="s">
        <v>139</v>
      </c>
      <c r="B4594" t="s">
        <v>38</v>
      </c>
      <c r="C4594">
        <v>0</v>
      </c>
      <c r="D4594" t="s">
        <v>265</v>
      </c>
      <c r="E4594">
        <v>2022</v>
      </c>
      <c r="F4594">
        <v>5</v>
      </c>
    </row>
    <row r="4595" spans="1:6" x14ac:dyDescent="0.55000000000000004">
      <c r="A4595" t="s">
        <v>139</v>
      </c>
      <c r="B4595" t="s">
        <v>39</v>
      </c>
      <c r="C4595">
        <v>3.3300000000000003E-2</v>
      </c>
      <c r="D4595" t="s">
        <v>265</v>
      </c>
      <c r="E4595">
        <v>2022</v>
      </c>
      <c r="F4595">
        <v>5</v>
      </c>
    </row>
    <row r="4596" spans="1:6" x14ac:dyDescent="0.55000000000000004">
      <c r="A4596" t="s">
        <v>139</v>
      </c>
      <c r="B4596" t="s">
        <v>40</v>
      </c>
      <c r="C4596">
        <v>768.19870000000003</v>
      </c>
      <c r="D4596" t="s">
        <v>265</v>
      </c>
      <c r="E4596">
        <v>2022</v>
      </c>
      <c r="F4596">
        <v>5</v>
      </c>
    </row>
    <row r="4597" spans="1:6" x14ac:dyDescent="0.55000000000000004">
      <c r="A4597" t="s">
        <v>139</v>
      </c>
      <c r="B4597" t="s">
        <v>41</v>
      </c>
      <c r="C4597">
        <v>381999.995</v>
      </c>
      <c r="D4597" t="s">
        <v>265</v>
      </c>
      <c r="E4597">
        <v>2022</v>
      </c>
      <c r="F4597">
        <v>5</v>
      </c>
    </row>
    <row r="4598" spans="1:6" x14ac:dyDescent="0.55000000000000004">
      <c r="A4598" t="s">
        <v>139</v>
      </c>
      <c r="B4598" t="s">
        <v>42</v>
      </c>
      <c r="C4598">
        <v>195.625</v>
      </c>
      <c r="D4598" t="s">
        <v>265</v>
      </c>
      <c r="E4598">
        <v>2022</v>
      </c>
      <c r="F4598">
        <v>5</v>
      </c>
    </row>
    <row r="4599" spans="1:6" x14ac:dyDescent="0.55000000000000004">
      <c r="A4599" t="s">
        <v>139</v>
      </c>
      <c r="B4599" t="s">
        <v>43</v>
      </c>
      <c r="C4599">
        <v>346814.0822</v>
      </c>
      <c r="D4599" t="s">
        <v>265</v>
      </c>
      <c r="E4599">
        <v>2022</v>
      </c>
      <c r="F4599">
        <v>5</v>
      </c>
    </row>
    <row r="4600" spans="1:6" x14ac:dyDescent="0.55000000000000004">
      <c r="A4600" t="s">
        <v>139</v>
      </c>
      <c r="B4600" t="s">
        <v>44</v>
      </c>
      <c r="C4600">
        <v>0</v>
      </c>
      <c r="D4600" t="s">
        <v>265</v>
      </c>
      <c r="E4600">
        <v>2022</v>
      </c>
      <c r="F4600">
        <v>5</v>
      </c>
    </row>
    <row r="4601" spans="1:6" x14ac:dyDescent="0.55000000000000004">
      <c r="A4601" t="s">
        <v>139</v>
      </c>
      <c r="B4601" t="s">
        <v>45</v>
      </c>
      <c r="C4601">
        <v>4003.4796000000001</v>
      </c>
      <c r="D4601" t="s">
        <v>265</v>
      </c>
      <c r="E4601">
        <v>2022</v>
      </c>
      <c r="F4601">
        <v>5</v>
      </c>
    </row>
    <row r="4602" spans="1:6" x14ac:dyDescent="0.55000000000000004">
      <c r="A4602" t="s">
        <v>139</v>
      </c>
      <c r="B4602" t="s">
        <v>46</v>
      </c>
      <c r="C4602">
        <v>62917</v>
      </c>
      <c r="D4602" t="s">
        <v>265</v>
      </c>
      <c r="E4602">
        <v>2022</v>
      </c>
      <c r="F4602">
        <v>5</v>
      </c>
    </row>
    <row r="4603" spans="1:6" x14ac:dyDescent="0.55000000000000004">
      <c r="A4603" t="s">
        <v>139</v>
      </c>
      <c r="B4603" t="s">
        <v>47</v>
      </c>
      <c r="C4603">
        <v>17.450299999999999</v>
      </c>
      <c r="D4603" t="s">
        <v>265</v>
      </c>
      <c r="E4603">
        <v>2022</v>
      </c>
      <c r="F4603">
        <v>5</v>
      </c>
    </row>
    <row r="4604" spans="1:6" x14ac:dyDescent="0.55000000000000004">
      <c r="A4604" t="s">
        <v>139</v>
      </c>
      <c r="B4604" t="s">
        <v>48</v>
      </c>
      <c r="C4604">
        <v>137947.8167</v>
      </c>
      <c r="D4604" t="s">
        <v>265</v>
      </c>
      <c r="E4604">
        <v>2022</v>
      </c>
      <c r="F4604">
        <v>5</v>
      </c>
    </row>
    <row r="4605" spans="1:6" x14ac:dyDescent="0.55000000000000004">
      <c r="A4605" t="s">
        <v>139</v>
      </c>
      <c r="B4605" t="s">
        <v>49</v>
      </c>
      <c r="C4605">
        <v>30.004000000000001</v>
      </c>
      <c r="D4605" t="s">
        <v>265</v>
      </c>
      <c r="E4605">
        <v>2022</v>
      </c>
      <c r="F4605">
        <v>5</v>
      </c>
    </row>
    <row r="4606" spans="1:6" x14ac:dyDescent="0.55000000000000004">
      <c r="A4606" t="s">
        <v>139</v>
      </c>
      <c r="B4606" t="s">
        <v>50</v>
      </c>
      <c r="C4606">
        <v>3464.7993999999999</v>
      </c>
      <c r="D4606" t="s">
        <v>265</v>
      </c>
      <c r="E4606">
        <v>2022</v>
      </c>
      <c r="F4606">
        <v>5</v>
      </c>
    </row>
    <row r="4607" spans="1:6" x14ac:dyDescent="0.55000000000000004">
      <c r="A4607" t="s">
        <v>139</v>
      </c>
      <c r="B4607" t="s">
        <v>51</v>
      </c>
      <c r="C4607">
        <v>2500</v>
      </c>
      <c r="D4607" t="s">
        <v>265</v>
      </c>
      <c r="E4607">
        <v>2022</v>
      </c>
      <c r="F4607">
        <v>5</v>
      </c>
    </row>
    <row r="4608" spans="1:6" x14ac:dyDescent="0.55000000000000004">
      <c r="A4608" t="s">
        <v>139</v>
      </c>
      <c r="B4608" t="s">
        <v>52</v>
      </c>
      <c r="C4608">
        <v>46.8919</v>
      </c>
      <c r="D4608" t="s">
        <v>265</v>
      </c>
      <c r="E4608">
        <v>2022</v>
      </c>
      <c r="F4608">
        <v>5</v>
      </c>
    </row>
    <row r="4609" spans="1:6" x14ac:dyDescent="0.55000000000000004">
      <c r="A4609" t="s">
        <v>139</v>
      </c>
      <c r="B4609" t="s">
        <v>53</v>
      </c>
      <c r="C4609">
        <v>72952.69</v>
      </c>
      <c r="D4609" t="s">
        <v>265</v>
      </c>
      <c r="E4609">
        <v>2022</v>
      </c>
      <c r="F4609">
        <v>5</v>
      </c>
    </row>
    <row r="4610" spans="1:6" x14ac:dyDescent="0.55000000000000004">
      <c r="A4610" t="s">
        <v>139</v>
      </c>
      <c r="B4610" t="s">
        <v>54</v>
      </c>
      <c r="C4610">
        <v>17069.1793</v>
      </c>
      <c r="D4610" t="s">
        <v>265</v>
      </c>
      <c r="E4610">
        <v>2022</v>
      </c>
      <c r="F4610">
        <v>5</v>
      </c>
    </row>
    <row r="4611" spans="1:6" x14ac:dyDescent="0.55000000000000004">
      <c r="A4611" t="s">
        <v>139</v>
      </c>
      <c r="B4611" t="s">
        <v>55</v>
      </c>
      <c r="C4611">
        <v>4995.1000000000004</v>
      </c>
      <c r="D4611" t="s">
        <v>265</v>
      </c>
      <c r="E4611">
        <v>2022</v>
      </c>
      <c r="F4611">
        <v>5</v>
      </c>
    </row>
    <row r="4612" spans="1:6" x14ac:dyDescent="0.55000000000000004">
      <c r="A4612" t="s">
        <v>139</v>
      </c>
      <c r="B4612" t="s">
        <v>56</v>
      </c>
      <c r="C4612">
        <v>8925.3166999999994</v>
      </c>
      <c r="D4612" t="s">
        <v>265</v>
      </c>
      <c r="E4612">
        <v>2022</v>
      </c>
      <c r="F4612">
        <v>5</v>
      </c>
    </row>
    <row r="4613" spans="1:6" x14ac:dyDescent="0.55000000000000004">
      <c r="A4613" t="s">
        <v>139</v>
      </c>
      <c r="B4613" t="s">
        <v>57</v>
      </c>
      <c r="C4613">
        <v>154.3861</v>
      </c>
      <c r="D4613" t="s">
        <v>265</v>
      </c>
      <c r="E4613">
        <v>2022</v>
      </c>
      <c r="F4613">
        <v>5</v>
      </c>
    </row>
    <row r="4614" spans="1:6" x14ac:dyDescent="0.55000000000000004">
      <c r="A4614" t="s">
        <v>139</v>
      </c>
      <c r="B4614" t="s">
        <v>58</v>
      </c>
      <c r="C4614">
        <v>455166</v>
      </c>
      <c r="D4614" t="s">
        <v>265</v>
      </c>
      <c r="E4614">
        <v>2022</v>
      </c>
      <c r="F4614">
        <v>5</v>
      </c>
    </row>
    <row r="4615" spans="1:6" x14ac:dyDescent="0.55000000000000004">
      <c r="A4615" t="s">
        <v>139</v>
      </c>
      <c r="B4615" t="s">
        <v>59</v>
      </c>
      <c r="C4615">
        <v>6600</v>
      </c>
      <c r="D4615" t="s">
        <v>265</v>
      </c>
      <c r="E4615">
        <v>2022</v>
      </c>
      <c r="F4615">
        <v>5</v>
      </c>
    </row>
    <row r="4616" spans="1:6" x14ac:dyDescent="0.55000000000000004">
      <c r="A4616" t="s">
        <v>139</v>
      </c>
      <c r="B4616" t="s">
        <v>60</v>
      </c>
      <c r="C4616">
        <v>2437492.1743000001</v>
      </c>
      <c r="D4616" t="s">
        <v>265</v>
      </c>
      <c r="E4616">
        <v>2022</v>
      </c>
      <c r="F4616">
        <v>5</v>
      </c>
    </row>
    <row r="4617" spans="1:6" x14ac:dyDescent="0.55000000000000004">
      <c r="A4617" t="s">
        <v>139</v>
      </c>
      <c r="B4617" t="s">
        <v>61</v>
      </c>
      <c r="C4617">
        <v>1869.9957999999999</v>
      </c>
      <c r="D4617" t="s">
        <v>265</v>
      </c>
      <c r="E4617">
        <v>2022</v>
      </c>
      <c r="F4617">
        <v>5</v>
      </c>
    </row>
    <row r="4618" spans="1:6" x14ac:dyDescent="0.55000000000000004">
      <c r="A4618" t="s">
        <v>139</v>
      </c>
      <c r="B4618" t="s">
        <v>62</v>
      </c>
      <c r="C4618">
        <v>4558.7166999999999</v>
      </c>
      <c r="D4618" t="s">
        <v>265</v>
      </c>
      <c r="E4618">
        <v>2022</v>
      </c>
      <c r="F4618">
        <v>5</v>
      </c>
    </row>
    <row r="4619" spans="1:6" x14ac:dyDescent="0.55000000000000004">
      <c r="A4619" t="s">
        <v>139</v>
      </c>
      <c r="B4619" t="s">
        <v>63</v>
      </c>
      <c r="C4619">
        <v>0</v>
      </c>
      <c r="D4619" t="s">
        <v>265</v>
      </c>
      <c r="E4619">
        <v>2022</v>
      </c>
      <c r="F4619">
        <v>5</v>
      </c>
    </row>
    <row r="4620" spans="1:6" x14ac:dyDescent="0.55000000000000004">
      <c r="A4620" t="s">
        <v>140</v>
      </c>
      <c r="B4620" t="s">
        <v>4</v>
      </c>
      <c r="C4620">
        <v>11192822.0833</v>
      </c>
      <c r="D4620" t="s">
        <v>266</v>
      </c>
      <c r="E4620">
        <v>2022</v>
      </c>
      <c r="F4620">
        <v>6</v>
      </c>
    </row>
    <row r="4621" spans="1:6" x14ac:dyDescent="0.55000000000000004">
      <c r="A4621" t="s">
        <v>140</v>
      </c>
      <c r="B4621" t="s">
        <v>5</v>
      </c>
      <c r="C4621">
        <v>1069508.8581999999</v>
      </c>
      <c r="D4621" t="s">
        <v>266</v>
      </c>
      <c r="E4621">
        <v>2022</v>
      </c>
      <c r="F4621">
        <v>6</v>
      </c>
    </row>
    <row r="4622" spans="1:6" x14ac:dyDescent="0.55000000000000004">
      <c r="A4622" t="s">
        <v>140</v>
      </c>
      <c r="B4622" t="s">
        <v>6</v>
      </c>
      <c r="C4622">
        <v>3067777.2620999999</v>
      </c>
      <c r="D4622" t="s">
        <v>266</v>
      </c>
      <c r="E4622">
        <v>2022</v>
      </c>
      <c r="F4622">
        <v>6</v>
      </c>
    </row>
    <row r="4623" spans="1:6" x14ac:dyDescent="0.55000000000000004">
      <c r="A4623" t="s">
        <v>140</v>
      </c>
      <c r="B4623" t="s">
        <v>7</v>
      </c>
      <c r="C4623">
        <v>2978948.5054000001</v>
      </c>
      <c r="D4623" t="s">
        <v>266</v>
      </c>
      <c r="E4623">
        <v>2022</v>
      </c>
      <c r="F4623">
        <v>6</v>
      </c>
    </row>
    <row r="4624" spans="1:6" x14ac:dyDescent="0.55000000000000004">
      <c r="A4624" t="s">
        <v>140</v>
      </c>
      <c r="B4624" t="s">
        <v>8</v>
      </c>
      <c r="C4624">
        <v>4076587.4575999998</v>
      </c>
      <c r="D4624" t="s">
        <v>266</v>
      </c>
      <c r="E4624">
        <v>2022</v>
      </c>
      <c r="F4624">
        <v>6</v>
      </c>
    </row>
    <row r="4625" spans="1:6" x14ac:dyDescent="0.55000000000000004">
      <c r="A4625" t="s">
        <v>140</v>
      </c>
      <c r="B4625" t="s">
        <v>9</v>
      </c>
      <c r="C4625">
        <v>5.665</v>
      </c>
      <c r="D4625" t="s">
        <v>266</v>
      </c>
      <c r="E4625">
        <v>2022</v>
      </c>
      <c r="F4625">
        <v>6</v>
      </c>
    </row>
    <row r="4626" spans="1:6" x14ac:dyDescent="0.55000000000000004">
      <c r="A4626" t="s">
        <v>140</v>
      </c>
      <c r="B4626" t="s">
        <v>10</v>
      </c>
      <c r="C4626">
        <v>1097.3833</v>
      </c>
      <c r="D4626" t="s">
        <v>266</v>
      </c>
      <c r="E4626">
        <v>2022</v>
      </c>
      <c r="F4626">
        <v>6</v>
      </c>
    </row>
    <row r="4627" spans="1:6" x14ac:dyDescent="0.55000000000000004">
      <c r="A4627" t="s">
        <v>140</v>
      </c>
      <c r="B4627" t="s">
        <v>11</v>
      </c>
      <c r="C4627">
        <v>3125362.9914000002</v>
      </c>
      <c r="D4627" t="s">
        <v>266</v>
      </c>
      <c r="E4627">
        <v>2022</v>
      </c>
      <c r="F4627">
        <v>6</v>
      </c>
    </row>
    <row r="4628" spans="1:6" x14ac:dyDescent="0.55000000000000004">
      <c r="A4628" t="s">
        <v>140</v>
      </c>
      <c r="B4628" t="s">
        <v>12</v>
      </c>
      <c r="C4628">
        <v>1897.9432999999999</v>
      </c>
      <c r="D4628" t="s">
        <v>266</v>
      </c>
      <c r="E4628">
        <v>2022</v>
      </c>
      <c r="F4628">
        <v>6</v>
      </c>
    </row>
    <row r="4629" spans="1:6" x14ac:dyDescent="0.55000000000000004">
      <c r="A4629" t="s">
        <v>140</v>
      </c>
      <c r="B4629" t="s">
        <v>13</v>
      </c>
      <c r="C4629">
        <v>5400</v>
      </c>
      <c r="D4629" t="s">
        <v>266</v>
      </c>
      <c r="E4629">
        <v>2022</v>
      </c>
      <c r="F4629">
        <v>6</v>
      </c>
    </row>
    <row r="4630" spans="1:6" x14ac:dyDescent="0.55000000000000004">
      <c r="A4630" t="s">
        <v>140</v>
      </c>
      <c r="B4630" t="s">
        <v>14</v>
      </c>
      <c r="C4630">
        <v>800</v>
      </c>
      <c r="D4630" t="s">
        <v>266</v>
      </c>
      <c r="E4630">
        <v>2022</v>
      </c>
      <c r="F4630">
        <v>6</v>
      </c>
    </row>
    <row r="4631" spans="1:6" x14ac:dyDescent="0.55000000000000004">
      <c r="A4631" t="s">
        <v>140</v>
      </c>
      <c r="B4631" t="s">
        <v>15</v>
      </c>
      <c r="C4631">
        <v>949542.6618</v>
      </c>
      <c r="D4631" t="s">
        <v>266</v>
      </c>
      <c r="E4631">
        <v>2022</v>
      </c>
      <c r="F4631">
        <v>6</v>
      </c>
    </row>
    <row r="4632" spans="1:6" x14ac:dyDescent="0.55000000000000004">
      <c r="A4632" t="s">
        <v>140</v>
      </c>
      <c r="B4632" t="s">
        <v>16</v>
      </c>
      <c r="C4632">
        <v>0.82650000000000001</v>
      </c>
      <c r="D4632" t="s">
        <v>266</v>
      </c>
      <c r="E4632">
        <v>2022</v>
      </c>
      <c r="F4632">
        <v>6</v>
      </c>
    </row>
    <row r="4633" spans="1:6" x14ac:dyDescent="0.55000000000000004">
      <c r="A4633" t="s">
        <v>140</v>
      </c>
      <c r="B4633" t="s">
        <v>17</v>
      </c>
      <c r="C4633">
        <v>113294.5144</v>
      </c>
      <c r="D4633" t="s">
        <v>266</v>
      </c>
      <c r="E4633">
        <v>2022</v>
      </c>
      <c r="F4633">
        <v>6</v>
      </c>
    </row>
    <row r="4634" spans="1:6" x14ac:dyDescent="0.55000000000000004">
      <c r="A4634" t="s">
        <v>140</v>
      </c>
      <c r="B4634" t="s">
        <v>18</v>
      </c>
      <c r="C4634">
        <v>84319.084099999993</v>
      </c>
      <c r="D4634" t="s">
        <v>266</v>
      </c>
      <c r="E4634">
        <v>2022</v>
      </c>
      <c r="F4634">
        <v>6</v>
      </c>
    </row>
    <row r="4635" spans="1:6" x14ac:dyDescent="0.55000000000000004">
      <c r="A4635" t="s">
        <v>140</v>
      </c>
      <c r="B4635" t="s">
        <v>19</v>
      </c>
      <c r="C4635">
        <v>1385.5616</v>
      </c>
      <c r="D4635" t="s">
        <v>266</v>
      </c>
      <c r="E4635">
        <v>2022</v>
      </c>
      <c r="F4635">
        <v>6</v>
      </c>
    </row>
    <row r="4636" spans="1:6" x14ac:dyDescent="0.55000000000000004">
      <c r="A4636" t="s">
        <v>140</v>
      </c>
      <c r="B4636" t="s">
        <v>20</v>
      </c>
      <c r="C4636">
        <v>21000</v>
      </c>
      <c r="D4636" t="s">
        <v>266</v>
      </c>
      <c r="E4636">
        <v>2022</v>
      </c>
      <c r="F4636">
        <v>6</v>
      </c>
    </row>
    <row r="4637" spans="1:6" x14ac:dyDescent="0.55000000000000004">
      <c r="A4637" t="s">
        <v>140</v>
      </c>
      <c r="B4637" t="s">
        <v>21</v>
      </c>
      <c r="C4637">
        <v>2773.4677999999999</v>
      </c>
      <c r="D4637" t="s">
        <v>266</v>
      </c>
      <c r="E4637">
        <v>2022</v>
      </c>
      <c r="F4637">
        <v>6</v>
      </c>
    </row>
    <row r="4638" spans="1:6" x14ac:dyDescent="0.55000000000000004">
      <c r="A4638" t="s">
        <v>140</v>
      </c>
      <c r="B4638" t="s">
        <v>22</v>
      </c>
      <c r="C4638">
        <v>24866.2546</v>
      </c>
      <c r="D4638" t="s">
        <v>266</v>
      </c>
      <c r="E4638">
        <v>2022</v>
      </c>
      <c r="F4638">
        <v>6</v>
      </c>
    </row>
    <row r="4639" spans="1:6" x14ac:dyDescent="0.55000000000000004">
      <c r="A4639" t="s">
        <v>140</v>
      </c>
      <c r="B4639" t="s">
        <v>23</v>
      </c>
      <c r="C4639">
        <v>77577.472399999999</v>
      </c>
      <c r="D4639" t="s">
        <v>266</v>
      </c>
      <c r="E4639">
        <v>2022</v>
      </c>
      <c r="F4639">
        <v>6</v>
      </c>
    </row>
    <row r="4640" spans="1:6" x14ac:dyDescent="0.55000000000000004">
      <c r="A4640" t="s">
        <v>140</v>
      </c>
      <c r="B4640" t="s">
        <v>24</v>
      </c>
      <c r="C4640">
        <v>0</v>
      </c>
      <c r="D4640" t="s">
        <v>266</v>
      </c>
      <c r="E4640">
        <v>2022</v>
      </c>
      <c r="F4640">
        <v>6</v>
      </c>
    </row>
    <row r="4641" spans="1:6" x14ac:dyDescent="0.55000000000000004">
      <c r="A4641" t="s">
        <v>140</v>
      </c>
      <c r="B4641" t="s">
        <v>25</v>
      </c>
      <c r="C4641">
        <v>450000</v>
      </c>
      <c r="D4641" t="s">
        <v>266</v>
      </c>
      <c r="E4641">
        <v>2022</v>
      </c>
      <c r="F4641">
        <v>6</v>
      </c>
    </row>
    <row r="4642" spans="1:6" x14ac:dyDescent="0.55000000000000004">
      <c r="A4642" t="s">
        <v>140</v>
      </c>
      <c r="B4642" t="s">
        <v>26</v>
      </c>
      <c r="C4642">
        <v>0</v>
      </c>
      <c r="D4642" t="s">
        <v>266</v>
      </c>
      <c r="E4642">
        <v>2022</v>
      </c>
      <c r="F4642">
        <v>6</v>
      </c>
    </row>
    <row r="4643" spans="1:6" x14ac:dyDescent="0.55000000000000004">
      <c r="A4643" t="s">
        <v>140</v>
      </c>
      <c r="B4643" t="s">
        <v>27</v>
      </c>
      <c r="C4643">
        <v>496.988</v>
      </c>
      <c r="D4643" t="s">
        <v>266</v>
      </c>
      <c r="E4643">
        <v>2022</v>
      </c>
      <c r="F4643">
        <v>6</v>
      </c>
    </row>
    <row r="4644" spans="1:6" x14ac:dyDescent="0.55000000000000004">
      <c r="A4644" t="s">
        <v>140</v>
      </c>
      <c r="B4644" t="s">
        <v>28</v>
      </c>
      <c r="C4644">
        <v>482852.48239999998</v>
      </c>
      <c r="D4644" t="s">
        <v>266</v>
      </c>
      <c r="E4644">
        <v>2022</v>
      </c>
      <c r="F4644">
        <v>6</v>
      </c>
    </row>
    <row r="4645" spans="1:6" x14ac:dyDescent="0.55000000000000004">
      <c r="A4645" t="s">
        <v>140</v>
      </c>
      <c r="B4645" t="s">
        <v>29</v>
      </c>
      <c r="C4645">
        <v>11842.6957</v>
      </c>
      <c r="D4645" t="s">
        <v>266</v>
      </c>
      <c r="E4645">
        <v>2022</v>
      </c>
      <c r="F4645">
        <v>6</v>
      </c>
    </row>
    <row r="4646" spans="1:6" x14ac:dyDescent="0.55000000000000004">
      <c r="A4646" t="s">
        <v>140</v>
      </c>
      <c r="B4646" t="s">
        <v>30</v>
      </c>
      <c r="C4646">
        <v>95.03</v>
      </c>
      <c r="D4646" t="s">
        <v>266</v>
      </c>
      <c r="E4646">
        <v>2022</v>
      </c>
      <c r="F4646">
        <v>6</v>
      </c>
    </row>
    <row r="4647" spans="1:6" x14ac:dyDescent="0.55000000000000004">
      <c r="A4647" t="s">
        <v>140</v>
      </c>
      <c r="B4647" t="s">
        <v>31</v>
      </c>
      <c r="C4647">
        <v>118.32899999999999</v>
      </c>
      <c r="D4647" t="s">
        <v>266</v>
      </c>
      <c r="E4647">
        <v>2022</v>
      </c>
      <c r="F4647">
        <v>6</v>
      </c>
    </row>
    <row r="4648" spans="1:6" x14ac:dyDescent="0.55000000000000004">
      <c r="A4648" t="s">
        <v>140</v>
      </c>
      <c r="B4648" t="s">
        <v>32</v>
      </c>
      <c r="C4648">
        <v>563409.01969999995</v>
      </c>
      <c r="D4648" t="s">
        <v>266</v>
      </c>
      <c r="E4648">
        <v>2022</v>
      </c>
      <c r="F4648">
        <v>6</v>
      </c>
    </row>
    <row r="4649" spans="1:6" x14ac:dyDescent="0.55000000000000004">
      <c r="A4649" t="s">
        <v>140</v>
      </c>
      <c r="B4649" t="s">
        <v>33</v>
      </c>
      <c r="C4649">
        <v>627812.20640000002</v>
      </c>
      <c r="D4649" t="s">
        <v>266</v>
      </c>
      <c r="E4649">
        <v>2022</v>
      </c>
      <c r="F4649">
        <v>6</v>
      </c>
    </row>
    <row r="4650" spans="1:6" x14ac:dyDescent="0.55000000000000004">
      <c r="A4650" t="s">
        <v>140</v>
      </c>
      <c r="B4650" t="s">
        <v>34</v>
      </c>
      <c r="C4650">
        <v>518873.90130000003</v>
      </c>
      <c r="D4650" t="s">
        <v>266</v>
      </c>
      <c r="E4650">
        <v>2022</v>
      </c>
      <c r="F4650">
        <v>6</v>
      </c>
    </row>
    <row r="4651" spans="1:6" x14ac:dyDescent="0.55000000000000004">
      <c r="A4651" t="s">
        <v>140</v>
      </c>
      <c r="B4651" t="s">
        <v>35</v>
      </c>
      <c r="C4651">
        <v>1589.9974</v>
      </c>
      <c r="D4651" t="s">
        <v>266</v>
      </c>
      <c r="E4651">
        <v>2022</v>
      </c>
      <c r="F4651">
        <v>6</v>
      </c>
    </row>
    <row r="4652" spans="1:6" x14ac:dyDescent="0.55000000000000004">
      <c r="A4652" t="s">
        <v>140</v>
      </c>
      <c r="B4652" t="s">
        <v>36</v>
      </c>
      <c r="C4652">
        <v>90410.256399999998</v>
      </c>
      <c r="D4652" t="s">
        <v>266</v>
      </c>
      <c r="E4652">
        <v>2022</v>
      </c>
      <c r="F4652">
        <v>6</v>
      </c>
    </row>
    <row r="4653" spans="1:6" x14ac:dyDescent="0.55000000000000004">
      <c r="A4653" t="s">
        <v>140</v>
      </c>
      <c r="B4653" t="s">
        <v>37</v>
      </c>
      <c r="C4653">
        <v>76300.004000000001</v>
      </c>
      <c r="D4653" t="s">
        <v>266</v>
      </c>
      <c r="E4653">
        <v>2022</v>
      </c>
      <c r="F4653">
        <v>6</v>
      </c>
    </row>
    <row r="4654" spans="1:6" x14ac:dyDescent="0.55000000000000004">
      <c r="A4654" t="s">
        <v>140</v>
      </c>
      <c r="B4654" t="s">
        <v>38</v>
      </c>
      <c r="C4654">
        <v>0</v>
      </c>
      <c r="D4654" t="s">
        <v>266</v>
      </c>
      <c r="E4654">
        <v>2022</v>
      </c>
      <c r="F4654">
        <v>6</v>
      </c>
    </row>
    <row r="4655" spans="1:6" x14ac:dyDescent="0.55000000000000004">
      <c r="A4655" t="s">
        <v>140</v>
      </c>
      <c r="B4655" t="s">
        <v>39</v>
      </c>
      <c r="C4655">
        <v>0.16669999999999999</v>
      </c>
      <c r="D4655" t="s">
        <v>266</v>
      </c>
      <c r="E4655">
        <v>2022</v>
      </c>
      <c r="F4655">
        <v>6</v>
      </c>
    </row>
    <row r="4656" spans="1:6" x14ac:dyDescent="0.55000000000000004">
      <c r="A4656" t="s">
        <v>140</v>
      </c>
      <c r="B4656" t="s">
        <v>40</v>
      </c>
      <c r="C4656">
        <v>768.19870000000003</v>
      </c>
      <c r="D4656" t="s">
        <v>266</v>
      </c>
      <c r="E4656">
        <v>2022</v>
      </c>
      <c r="F4656">
        <v>6</v>
      </c>
    </row>
    <row r="4657" spans="1:6" x14ac:dyDescent="0.55000000000000004">
      <c r="A4657" t="s">
        <v>140</v>
      </c>
      <c r="B4657" t="s">
        <v>41</v>
      </c>
      <c r="C4657">
        <v>362000.00699999998</v>
      </c>
      <c r="D4657" t="s">
        <v>266</v>
      </c>
      <c r="E4657">
        <v>2022</v>
      </c>
      <c r="F4657">
        <v>6</v>
      </c>
    </row>
    <row r="4658" spans="1:6" x14ac:dyDescent="0.55000000000000004">
      <c r="A4658" t="s">
        <v>140</v>
      </c>
      <c r="B4658" t="s">
        <v>42</v>
      </c>
      <c r="C4658">
        <v>269.76670000000001</v>
      </c>
      <c r="D4658" t="s">
        <v>266</v>
      </c>
      <c r="E4658">
        <v>2022</v>
      </c>
      <c r="F4658">
        <v>6</v>
      </c>
    </row>
    <row r="4659" spans="1:6" x14ac:dyDescent="0.55000000000000004">
      <c r="A4659" t="s">
        <v>140</v>
      </c>
      <c r="B4659" t="s">
        <v>43</v>
      </c>
      <c r="C4659">
        <v>345325.71659999999</v>
      </c>
      <c r="D4659" t="s">
        <v>266</v>
      </c>
      <c r="E4659">
        <v>2022</v>
      </c>
      <c r="F4659">
        <v>6</v>
      </c>
    </row>
    <row r="4660" spans="1:6" x14ac:dyDescent="0.55000000000000004">
      <c r="A4660" t="s">
        <v>140</v>
      </c>
      <c r="B4660" t="s">
        <v>44</v>
      </c>
      <c r="C4660">
        <v>0</v>
      </c>
      <c r="D4660" t="s">
        <v>266</v>
      </c>
      <c r="E4660">
        <v>2022</v>
      </c>
      <c r="F4660">
        <v>6</v>
      </c>
    </row>
    <row r="4661" spans="1:6" x14ac:dyDescent="0.55000000000000004">
      <c r="A4661" t="s">
        <v>140</v>
      </c>
      <c r="B4661" t="s">
        <v>45</v>
      </c>
      <c r="C4661">
        <v>2905.0010000000002</v>
      </c>
      <c r="D4661" t="s">
        <v>266</v>
      </c>
      <c r="E4661">
        <v>2022</v>
      </c>
      <c r="F4661">
        <v>6</v>
      </c>
    </row>
    <row r="4662" spans="1:6" x14ac:dyDescent="0.55000000000000004">
      <c r="A4662" t="s">
        <v>140</v>
      </c>
      <c r="B4662" t="s">
        <v>46</v>
      </c>
      <c r="C4662">
        <v>32226.67</v>
      </c>
      <c r="D4662" t="s">
        <v>266</v>
      </c>
      <c r="E4662">
        <v>2022</v>
      </c>
      <c r="F4662">
        <v>6</v>
      </c>
    </row>
    <row r="4663" spans="1:6" x14ac:dyDescent="0.55000000000000004">
      <c r="A4663" t="s">
        <v>140</v>
      </c>
      <c r="B4663" t="s">
        <v>47</v>
      </c>
      <c r="C4663">
        <v>0</v>
      </c>
      <c r="D4663" t="s">
        <v>266</v>
      </c>
      <c r="E4663">
        <v>2022</v>
      </c>
      <c r="F4663">
        <v>6</v>
      </c>
    </row>
    <row r="4664" spans="1:6" x14ac:dyDescent="0.55000000000000004">
      <c r="A4664" t="s">
        <v>140</v>
      </c>
      <c r="B4664" t="s">
        <v>48</v>
      </c>
      <c r="C4664">
        <v>217832.59729999999</v>
      </c>
      <c r="D4664" t="s">
        <v>266</v>
      </c>
      <c r="E4664">
        <v>2022</v>
      </c>
      <c r="F4664">
        <v>6</v>
      </c>
    </row>
    <row r="4665" spans="1:6" x14ac:dyDescent="0.55000000000000004">
      <c r="A4665" t="s">
        <v>140</v>
      </c>
      <c r="B4665" t="s">
        <v>49</v>
      </c>
      <c r="C4665">
        <v>784.34199999999998</v>
      </c>
      <c r="D4665" t="s">
        <v>266</v>
      </c>
      <c r="E4665">
        <v>2022</v>
      </c>
      <c r="F4665">
        <v>6</v>
      </c>
    </row>
    <row r="4666" spans="1:6" x14ac:dyDescent="0.55000000000000004">
      <c r="A4666" t="s">
        <v>140</v>
      </c>
      <c r="B4666" t="s">
        <v>50</v>
      </c>
      <c r="C4666">
        <v>13049.334800000001</v>
      </c>
      <c r="D4666" t="s">
        <v>266</v>
      </c>
      <c r="E4666">
        <v>2022</v>
      </c>
      <c r="F4666">
        <v>6</v>
      </c>
    </row>
    <row r="4667" spans="1:6" x14ac:dyDescent="0.55000000000000004">
      <c r="A4667" t="s">
        <v>140</v>
      </c>
      <c r="B4667" t="s">
        <v>51</v>
      </c>
      <c r="C4667">
        <v>3400</v>
      </c>
      <c r="D4667" t="s">
        <v>266</v>
      </c>
      <c r="E4667">
        <v>2022</v>
      </c>
      <c r="F4667">
        <v>6</v>
      </c>
    </row>
    <row r="4668" spans="1:6" x14ac:dyDescent="0.55000000000000004">
      <c r="A4668" t="s">
        <v>140</v>
      </c>
      <c r="B4668" t="s">
        <v>52</v>
      </c>
      <c r="C4668">
        <v>46.8919</v>
      </c>
      <c r="D4668" t="s">
        <v>266</v>
      </c>
      <c r="E4668">
        <v>2022</v>
      </c>
      <c r="F4668">
        <v>6</v>
      </c>
    </row>
    <row r="4669" spans="1:6" x14ac:dyDescent="0.55000000000000004">
      <c r="A4669" t="s">
        <v>140</v>
      </c>
      <c r="B4669" t="s">
        <v>53</v>
      </c>
      <c r="C4669">
        <v>39169.269999999997</v>
      </c>
      <c r="D4669" t="s">
        <v>266</v>
      </c>
      <c r="E4669">
        <v>2022</v>
      </c>
      <c r="F4669">
        <v>6</v>
      </c>
    </row>
    <row r="4670" spans="1:6" x14ac:dyDescent="0.55000000000000004">
      <c r="A4670" t="s">
        <v>140</v>
      </c>
      <c r="B4670" t="s">
        <v>54</v>
      </c>
      <c r="C4670">
        <v>19240.833200000001</v>
      </c>
      <c r="D4670" t="s">
        <v>266</v>
      </c>
      <c r="E4670">
        <v>2022</v>
      </c>
      <c r="F4670">
        <v>6</v>
      </c>
    </row>
    <row r="4671" spans="1:6" x14ac:dyDescent="0.55000000000000004">
      <c r="A4671" t="s">
        <v>140</v>
      </c>
      <c r="B4671" t="s">
        <v>55</v>
      </c>
      <c r="C4671">
        <v>4439.7166999999999</v>
      </c>
      <c r="D4671" t="s">
        <v>266</v>
      </c>
      <c r="E4671">
        <v>2022</v>
      </c>
      <c r="F4671">
        <v>6</v>
      </c>
    </row>
    <row r="4672" spans="1:6" x14ac:dyDescent="0.55000000000000004">
      <c r="A4672" t="s">
        <v>140</v>
      </c>
      <c r="B4672" t="s">
        <v>56</v>
      </c>
      <c r="C4672">
        <v>11894.1167</v>
      </c>
      <c r="D4672" t="s">
        <v>266</v>
      </c>
      <c r="E4672">
        <v>2022</v>
      </c>
      <c r="F4672">
        <v>6</v>
      </c>
    </row>
    <row r="4673" spans="1:6" x14ac:dyDescent="0.55000000000000004">
      <c r="A4673" t="s">
        <v>140</v>
      </c>
      <c r="B4673" t="s">
        <v>57</v>
      </c>
      <c r="C4673">
        <v>154.3861</v>
      </c>
      <c r="D4673" t="s">
        <v>266</v>
      </c>
      <c r="E4673">
        <v>2022</v>
      </c>
      <c r="F4673">
        <v>6</v>
      </c>
    </row>
    <row r="4674" spans="1:6" x14ac:dyDescent="0.55000000000000004">
      <c r="A4674" t="s">
        <v>140</v>
      </c>
      <c r="B4674" t="s">
        <v>58</v>
      </c>
      <c r="C4674">
        <v>530364.99</v>
      </c>
      <c r="D4674" t="s">
        <v>266</v>
      </c>
      <c r="E4674">
        <v>2022</v>
      </c>
      <c r="F4674">
        <v>6</v>
      </c>
    </row>
    <row r="4675" spans="1:6" x14ac:dyDescent="0.55000000000000004">
      <c r="A4675" t="s">
        <v>140</v>
      </c>
      <c r="B4675" t="s">
        <v>59</v>
      </c>
      <c r="C4675">
        <v>9700</v>
      </c>
      <c r="D4675" t="s">
        <v>266</v>
      </c>
      <c r="E4675">
        <v>2022</v>
      </c>
      <c r="F4675">
        <v>6</v>
      </c>
    </row>
    <row r="4676" spans="1:6" x14ac:dyDescent="0.55000000000000004">
      <c r="A4676" t="s">
        <v>140</v>
      </c>
      <c r="B4676" t="s">
        <v>60</v>
      </c>
      <c r="C4676">
        <v>2359287.338</v>
      </c>
      <c r="D4676" t="s">
        <v>266</v>
      </c>
      <c r="E4676">
        <v>2022</v>
      </c>
      <c r="F4676">
        <v>6</v>
      </c>
    </row>
    <row r="4677" spans="1:6" x14ac:dyDescent="0.55000000000000004">
      <c r="A4677" t="s">
        <v>140</v>
      </c>
      <c r="B4677" t="s">
        <v>61</v>
      </c>
      <c r="C4677">
        <v>4470.0033999999996</v>
      </c>
      <c r="D4677" t="s">
        <v>266</v>
      </c>
      <c r="E4677">
        <v>2022</v>
      </c>
      <c r="F4677">
        <v>6</v>
      </c>
    </row>
    <row r="4678" spans="1:6" x14ac:dyDescent="0.55000000000000004">
      <c r="A4678" t="s">
        <v>140</v>
      </c>
      <c r="B4678" t="s">
        <v>62</v>
      </c>
      <c r="C4678">
        <v>2368</v>
      </c>
      <c r="D4678" t="s">
        <v>266</v>
      </c>
      <c r="E4678">
        <v>2022</v>
      </c>
      <c r="F4678">
        <v>6</v>
      </c>
    </row>
    <row r="4679" spans="1:6" x14ac:dyDescent="0.55000000000000004">
      <c r="A4679" t="s">
        <v>140</v>
      </c>
      <c r="B4679" t="s">
        <v>63</v>
      </c>
      <c r="C4679">
        <v>0</v>
      </c>
      <c r="D4679" t="s">
        <v>266</v>
      </c>
      <c r="E4679">
        <v>2022</v>
      </c>
      <c r="F4679">
        <v>6</v>
      </c>
    </row>
    <row r="4680" spans="1:6" x14ac:dyDescent="0.55000000000000004">
      <c r="A4680" t="s">
        <v>141</v>
      </c>
      <c r="B4680" t="s">
        <v>4</v>
      </c>
      <c r="C4680">
        <v>10367023.879699999</v>
      </c>
      <c r="D4680" t="s">
        <v>267</v>
      </c>
      <c r="E4680">
        <v>2022</v>
      </c>
      <c r="F4680">
        <v>7</v>
      </c>
    </row>
    <row r="4681" spans="1:6" x14ac:dyDescent="0.55000000000000004">
      <c r="A4681" t="s">
        <v>141</v>
      </c>
      <c r="B4681" t="s">
        <v>5</v>
      </c>
      <c r="C4681">
        <v>1118549.0926000001</v>
      </c>
      <c r="D4681" t="s">
        <v>267</v>
      </c>
      <c r="E4681">
        <v>2022</v>
      </c>
      <c r="F4681">
        <v>7</v>
      </c>
    </row>
    <row r="4682" spans="1:6" x14ac:dyDescent="0.55000000000000004">
      <c r="A4682" t="s">
        <v>141</v>
      </c>
      <c r="B4682" t="s">
        <v>6</v>
      </c>
      <c r="C4682">
        <v>2756568.8838999998</v>
      </c>
      <c r="D4682" t="s">
        <v>267</v>
      </c>
      <c r="E4682">
        <v>2022</v>
      </c>
      <c r="F4682">
        <v>7</v>
      </c>
    </row>
    <row r="4683" spans="1:6" x14ac:dyDescent="0.55000000000000004">
      <c r="A4683" t="s">
        <v>141</v>
      </c>
      <c r="B4683" t="s">
        <v>7</v>
      </c>
      <c r="C4683">
        <v>2753892.1850999999</v>
      </c>
      <c r="D4683" t="s">
        <v>267</v>
      </c>
      <c r="E4683">
        <v>2022</v>
      </c>
      <c r="F4683">
        <v>7</v>
      </c>
    </row>
    <row r="4684" spans="1:6" x14ac:dyDescent="0.55000000000000004">
      <c r="A4684" t="s">
        <v>141</v>
      </c>
      <c r="B4684" t="s">
        <v>8</v>
      </c>
      <c r="C4684">
        <v>3738013.7181000002</v>
      </c>
      <c r="D4684" t="s">
        <v>267</v>
      </c>
      <c r="E4684">
        <v>2022</v>
      </c>
      <c r="F4684">
        <v>7</v>
      </c>
    </row>
    <row r="4685" spans="1:6" x14ac:dyDescent="0.55000000000000004">
      <c r="A4685" t="s">
        <v>141</v>
      </c>
      <c r="B4685" t="s">
        <v>9</v>
      </c>
      <c r="C4685">
        <v>5.9682000000000004</v>
      </c>
      <c r="D4685" t="s">
        <v>267</v>
      </c>
      <c r="E4685">
        <v>2022</v>
      </c>
      <c r="F4685">
        <v>7</v>
      </c>
    </row>
    <row r="4686" spans="1:6" x14ac:dyDescent="0.55000000000000004">
      <c r="A4686" t="s">
        <v>141</v>
      </c>
      <c r="B4686" t="s">
        <v>10</v>
      </c>
      <c r="C4686">
        <v>2114.9250000000002</v>
      </c>
      <c r="D4686" t="s">
        <v>267</v>
      </c>
      <c r="E4686">
        <v>2022</v>
      </c>
      <c r="F4686">
        <v>7</v>
      </c>
    </row>
    <row r="4687" spans="1:6" x14ac:dyDescent="0.55000000000000004">
      <c r="A4687" t="s">
        <v>141</v>
      </c>
      <c r="B4687" t="s">
        <v>11</v>
      </c>
      <c r="C4687">
        <v>2752356.7374999998</v>
      </c>
      <c r="D4687" t="s">
        <v>267</v>
      </c>
      <c r="E4687">
        <v>2022</v>
      </c>
      <c r="F4687">
        <v>7</v>
      </c>
    </row>
    <row r="4688" spans="1:6" x14ac:dyDescent="0.55000000000000004">
      <c r="A4688" t="s">
        <v>141</v>
      </c>
      <c r="B4688" t="s">
        <v>12</v>
      </c>
      <c r="C4688">
        <v>3140.7166999999999</v>
      </c>
      <c r="D4688" t="s">
        <v>267</v>
      </c>
      <c r="E4688">
        <v>2022</v>
      </c>
      <c r="F4688">
        <v>7</v>
      </c>
    </row>
    <row r="4689" spans="1:6" x14ac:dyDescent="0.55000000000000004">
      <c r="A4689" t="s">
        <v>141</v>
      </c>
      <c r="B4689" t="s">
        <v>13</v>
      </c>
      <c r="C4689">
        <v>6500</v>
      </c>
      <c r="D4689" t="s">
        <v>267</v>
      </c>
      <c r="E4689">
        <v>2022</v>
      </c>
      <c r="F4689">
        <v>7</v>
      </c>
    </row>
    <row r="4690" spans="1:6" x14ac:dyDescent="0.55000000000000004">
      <c r="A4690" t="s">
        <v>141</v>
      </c>
      <c r="B4690" t="s">
        <v>14</v>
      </c>
      <c r="C4690">
        <v>300</v>
      </c>
      <c r="D4690" t="s">
        <v>267</v>
      </c>
      <c r="E4690">
        <v>2022</v>
      </c>
      <c r="F4690">
        <v>7</v>
      </c>
    </row>
    <row r="4691" spans="1:6" x14ac:dyDescent="0.55000000000000004">
      <c r="A4691" t="s">
        <v>141</v>
      </c>
      <c r="B4691" t="s">
        <v>15</v>
      </c>
      <c r="C4691">
        <v>1038080.286</v>
      </c>
      <c r="D4691" t="s">
        <v>267</v>
      </c>
      <c r="E4691">
        <v>2022</v>
      </c>
      <c r="F4691">
        <v>7</v>
      </c>
    </row>
    <row r="4692" spans="1:6" x14ac:dyDescent="0.55000000000000004">
      <c r="A4692" t="s">
        <v>141</v>
      </c>
      <c r="B4692" t="s">
        <v>16</v>
      </c>
      <c r="C4692">
        <v>0.82650000000000001</v>
      </c>
      <c r="D4692" t="s">
        <v>267</v>
      </c>
      <c r="E4692">
        <v>2022</v>
      </c>
      <c r="F4692">
        <v>7</v>
      </c>
    </row>
    <row r="4693" spans="1:6" x14ac:dyDescent="0.55000000000000004">
      <c r="A4693" t="s">
        <v>141</v>
      </c>
      <c r="B4693" t="s">
        <v>17</v>
      </c>
      <c r="C4693">
        <v>153531.8682</v>
      </c>
      <c r="D4693" t="s">
        <v>267</v>
      </c>
      <c r="E4693">
        <v>2022</v>
      </c>
      <c r="F4693">
        <v>7</v>
      </c>
    </row>
    <row r="4694" spans="1:6" x14ac:dyDescent="0.55000000000000004">
      <c r="A4694" t="s">
        <v>141</v>
      </c>
      <c r="B4694" t="s">
        <v>18</v>
      </c>
      <c r="C4694">
        <v>139185.48310000001</v>
      </c>
      <c r="D4694" t="s">
        <v>267</v>
      </c>
      <c r="E4694">
        <v>2022</v>
      </c>
      <c r="F4694">
        <v>7</v>
      </c>
    </row>
    <row r="4695" spans="1:6" x14ac:dyDescent="0.55000000000000004">
      <c r="A4695" t="s">
        <v>141</v>
      </c>
      <c r="B4695" t="s">
        <v>19</v>
      </c>
      <c r="C4695">
        <v>1385.5616</v>
      </c>
      <c r="D4695" t="s">
        <v>267</v>
      </c>
      <c r="E4695">
        <v>2022</v>
      </c>
      <c r="F4695">
        <v>7</v>
      </c>
    </row>
    <row r="4696" spans="1:6" x14ac:dyDescent="0.55000000000000004">
      <c r="A4696" t="s">
        <v>141</v>
      </c>
      <c r="B4696" t="s">
        <v>20</v>
      </c>
      <c r="C4696">
        <v>22600</v>
      </c>
      <c r="D4696" t="s">
        <v>267</v>
      </c>
      <c r="E4696">
        <v>2022</v>
      </c>
      <c r="F4696">
        <v>7</v>
      </c>
    </row>
    <row r="4697" spans="1:6" x14ac:dyDescent="0.55000000000000004">
      <c r="A4697" t="s">
        <v>141</v>
      </c>
      <c r="B4697" t="s">
        <v>21</v>
      </c>
      <c r="C4697">
        <v>4535.5998</v>
      </c>
      <c r="D4697" t="s">
        <v>267</v>
      </c>
      <c r="E4697">
        <v>2022</v>
      </c>
      <c r="F4697">
        <v>7</v>
      </c>
    </row>
    <row r="4698" spans="1:6" x14ac:dyDescent="0.55000000000000004">
      <c r="A4698" t="s">
        <v>141</v>
      </c>
      <c r="B4698" t="s">
        <v>22</v>
      </c>
      <c r="C4698">
        <v>63330.6247</v>
      </c>
      <c r="D4698" t="s">
        <v>267</v>
      </c>
      <c r="E4698">
        <v>2022</v>
      </c>
      <c r="F4698">
        <v>7</v>
      </c>
    </row>
    <row r="4699" spans="1:6" x14ac:dyDescent="0.55000000000000004">
      <c r="A4699" t="s">
        <v>141</v>
      </c>
      <c r="B4699" t="s">
        <v>23</v>
      </c>
      <c r="C4699">
        <v>75237.011499999993</v>
      </c>
      <c r="D4699" t="s">
        <v>267</v>
      </c>
      <c r="E4699">
        <v>2022</v>
      </c>
      <c r="F4699">
        <v>7</v>
      </c>
    </row>
    <row r="4700" spans="1:6" x14ac:dyDescent="0.55000000000000004">
      <c r="A4700" t="s">
        <v>141</v>
      </c>
      <c r="B4700" t="s">
        <v>24</v>
      </c>
      <c r="C4700">
        <v>0</v>
      </c>
      <c r="D4700" t="s">
        <v>267</v>
      </c>
      <c r="E4700">
        <v>2022</v>
      </c>
      <c r="F4700">
        <v>7</v>
      </c>
    </row>
    <row r="4701" spans="1:6" x14ac:dyDescent="0.55000000000000004">
      <c r="A4701" t="s">
        <v>141</v>
      </c>
      <c r="B4701" t="s">
        <v>25</v>
      </c>
      <c r="C4701">
        <v>500000</v>
      </c>
      <c r="D4701" t="s">
        <v>267</v>
      </c>
      <c r="E4701">
        <v>2022</v>
      </c>
      <c r="F4701">
        <v>7</v>
      </c>
    </row>
    <row r="4702" spans="1:6" x14ac:dyDescent="0.55000000000000004">
      <c r="A4702" t="s">
        <v>141</v>
      </c>
      <c r="B4702" t="s">
        <v>26</v>
      </c>
      <c r="C4702">
        <v>0</v>
      </c>
      <c r="D4702" t="s">
        <v>267</v>
      </c>
      <c r="E4702">
        <v>2022</v>
      </c>
      <c r="F4702">
        <v>7</v>
      </c>
    </row>
    <row r="4703" spans="1:6" x14ac:dyDescent="0.55000000000000004">
      <c r="A4703" t="s">
        <v>141</v>
      </c>
      <c r="B4703" t="s">
        <v>27</v>
      </c>
      <c r="C4703">
        <v>350.54599999999999</v>
      </c>
      <c r="D4703" t="s">
        <v>267</v>
      </c>
      <c r="E4703">
        <v>2022</v>
      </c>
      <c r="F4703">
        <v>7</v>
      </c>
    </row>
    <row r="4704" spans="1:6" x14ac:dyDescent="0.55000000000000004">
      <c r="A4704" t="s">
        <v>141</v>
      </c>
      <c r="B4704" t="s">
        <v>28</v>
      </c>
      <c r="C4704">
        <v>304364.93540000002</v>
      </c>
      <c r="D4704" t="s">
        <v>267</v>
      </c>
      <c r="E4704">
        <v>2022</v>
      </c>
      <c r="F4704">
        <v>7</v>
      </c>
    </row>
    <row r="4705" spans="1:6" x14ac:dyDescent="0.55000000000000004">
      <c r="A4705" t="s">
        <v>141</v>
      </c>
      <c r="B4705" t="s">
        <v>29</v>
      </c>
      <c r="C4705">
        <v>9805.5116999999991</v>
      </c>
      <c r="D4705" t="s">
        <v>267</v>
      </c>
      <c r="E4705">
        <v>2022</v>
      </c>
      <c r="F4705">
        <v>7</v>
      </c>
    </row>
    <row r="4706" spans="1:6" x14ac:dyDescent="0.55000000000000004">
      <c r="A4706" t="s">
        <v>141</v>
      </c>
      <c r="B4706" t="s">
        <v>30</v>
      </c>
      <c r="C4706">
        <v>103.19799999999999</v>
      </c>
      <c r="D4706" t="s">
        <v>267</v>
      </c>
      <c r="E4706">
        <v>2022</v>
      </c>
      <c r="F4706">
        <v>7</v>
      </c>
    </row>
    <row r="4707" spans="1:6" x14ac:dyDescent="0.55000000000000004">
      <c r="A4707" t="s">
        <v>141</v>
      </c>
      <c r="B4707" t="s">
        <v>31</v>
      </c>
      <c r="C4707">
        <v>300</v>
      </c>
      <c r="D4707" t="s">
        <v>267</v>
      </c>
      <c r="E4707">
        <v>2022</v>
      </c>
      <c r="F4707">
        <v>7</v>
      </c>
    </row>
    <row r="4708" spans="1:6" x14ac:dyDescent="0.55000000000000004">
      <c r="A4708" t="s">
        <v>141</v>
      </c>
      <c r="B4708" t="s">
        <v>32</v>
      </c>
      <c r="C4708">
        <v>389338.68699999998</v>
      </c>
      <c r="D4708" t="s">
        <v>267</v>
      </c>
      <c r="E4708">
        <v>2022</v>
      </c>
      <c r="F4708">
        <v>7</v>
      </c>
    </row>
    <row r="4709" spans="1:6" x14ac:dyDescent="0.55000000000000004">
      <c r="A4709" t="s">
        <v>141</v>
      </c>
      <c r="B4709" t="s">
        <v>33</v>
      </c>
      <c r="C4709">
        <v>528532.46550000005</v>
      </c>
      <c r="D4709" t="s">
        <v>267</v>
      </c>
      <c r="E4709">
        <v>2022</v>
      </c>
      <c r="F4709">
        <v>7</v>
      </c>
    </row>
    <row r="4710" spans="1:6" x14ac:dyDescent="0.55000000000000004">
      <c r="A4710" t="s">
        <v>141</v>
      </c>
      <c r="B4710" t="s">
        <v>34</v>
      </c>
      <c r="C4710">
        <v>558385.1189</v>
      </c>
      <c r="D4710" t="s">
        <v>267</v>
      </c>
      <c r="E4710">
        <v>2022</v>
      </c>
      <c r="F4710">
        <v>7</v>
      </c>
    </row>
    <row r="4711" spans="1:6" x14ac:dyDescent="0.55000000000000004">
      <c r="A4711" t="s">
        <v>141</v>
      </c>
      <c r="B4711" t="s">
        <v>35</v>
      </c>
      <c r="C4711">
        <v>1247.271</v>
      </c>
      <c r="D4711" t="s">
        <v>267</v>
      </c>
      <c r="E4711">
        <v>2022</v>
      </c>
      <c r="F4711">
        <v>7</v>
      </c>
    </row>
    <row r="4712" spans="1:6" x14ac:dyDescent="0.55000000000000004">
      <c r="A4712" t="s">
        <v>141</v>
      </c>
      <c r="B4712" t="s">
        <v>36</v>
      </c>
      <c r="C4712">
        <v>69754.456600000005</v>
      </c>
      <c r="D4712" t="s">
        <v>267</v>
      </c>
      <c r="E4712">
        <v>2022</v>
      </c>
      <c r="F4712">
        <v>7</v>
      </c>
    </row>
    <row r="4713" spans="1:6" x14ac:dyDescent="0.55000000000000004">
      <c r="A4713" t="s">
        <v>141</v>
      </c>
      <c r="B4713" t="s">
        <v>37</v>
      </c>
      <c r="C4713">
        <v>40300.008999999998</v>
      </c>
      <c r="D4713" t="s">
        <v>267</v>
      </c>
      <c r="E4713">
        <v>2022</v>
      </c>
      <c r="F4713">
        <v>7</v>
      </c>
    </row>
    <row r="4714" spans="1:6" x14ac:dyDescent="0.55000000000000004">
      <c r="A4714" t="s">
        <v>141</v>
      </c>
      <c r="B4714" t="s">
        <v>38</v>
      </c>
      <c r="C4714">
        <v>0</v>
      </c>
      <c r="D4714" t="s">
        <v>267</v>
      </c>
      <c r="E4714">
        <v>2022</v>
      </c>
      <c r="F4714">
        <v>7</v>
      </c>
    </row>
    <row r="4715" spans="1:6" x14ac:dyDescent="0.55000000000000004">
      <c r="A4715" t="s">
        <v>141</v>
      </c>
      <c r="B4715" t="s">
        <v>39</v>
      </c>
      <c r="C4715">
        <v>0.21820000000000001</v>
      </c>
      <c r="D4715" t="s">
        <v>267</v>
      </c>
      <c r="E4715">
        <v>2022</v>
      </c>
      <c r="F4715">
        <v>7</v>
      </c>
    </row>
    <row r="4716" spans="1:6" x14ac:dyDescent="0.55000000000000004">
      <c r="A4716" t="s">
        <v>141</v>
      </c>
      <c r="B4716" t="s">
        <v>40</v>
      </c>
      <c r="C4716">
        <v>768.19870000000003</v>
      </c>
      <c r="D4716" t="s">
        <v>267</v>
      </c>
      <c r="E4716">
        <v>2022</v>
      </c>
      <c r="F4716">
        <v>7</v>
      </c>
    </row>
    <row r="4717" spans="1:6" x14ac:dyDescent="0.55000000000000004">
      <c r="A4717" t="s">
        <v>141</v>
      </c>
      <c r="B4717" t="s">
        <v>41</v>
      </c>
      <c r="C4717">
        <v>318399.99829999998</v>
      </c>
      <c r="D4717" t="s">
        <v>267</v>
      </c>
      <c r="E4717">
        <v>2022</v>
      </c>
      <c r="F4717">
        <v>7</v>
      </c>
    </row>
    <row r="4718" spans="1:6" x14ac:dyDescent="0.55000000000000004">
      <c r="A4718" t="s">
        <v>141</v>
      </c>
      <c r="B4718" t="s">
        <v>42</v>
      </c>
      <c r="C4718">
        <v>118.54600000000001</v>
      </c>
      <c r="D4718" t="s">
        <v>267</v>
      </c>
      <c r="E4718">
        <v>2022</v>
      </c>
      <c r="F4718">
        <v>7</v>
      </c>
    </row>
    <row r="4719" spans="1:6" x14ac:dyDescent="0.55000000000000004">
      <c r="A4719" t="s">
        <v>141</v>
      </c>
      <c r="B4719" t="s">
        <v>43</v>
      </c>
      <c r="C4719">
        <v>260714.23540000001</v>
      </c>
      <c r="D4719" t="s">
        <v>267</v>
      </c>
      <c r="E4719">
        <v>2022</v>
      </c>
      <c r="F4719">
        <v>7</v>
      </c>
    </row>
    <row r="4720" spans="1:6" x14ac:dyDescent="0.55000000000000004">
      <c r="A4720" t="s">
        <v>141</v>
      </c>
      <c r="B4720" t="s">
        <v>44</v>
      </c>
      <c r="C4720">
        <v>0</v>
      </c>
      <c r="D4720" t="s">
        <v>267</v>
      </c>
      <c r="E4720">
        <v>2022</v>
      </c>
      <c r="F4720">
        <v>7</v>
      </c>
    </row>
    <row r="4721" spans="1:6" x14ac:dyDescent="0.55000000000000004">
      <c r="A4721" t="s">
        <v>141</v>
      </c>
      <c r="B4721" t="s">
        <v>45</v>
      </c>
      <c r="C4721">
        <v>1907.1139000000001</v>
      </c>
      <c r="D4721" t="s">
        <v>267</v>
      </c>
      <c r="E4721">
        <v>2022</v>
      </c>
      <c r="F4721">
        <v>7</v>
      </c>
    </row>
    <row r="4722" spans="1:6" x14ac:dyDescent="0.55000000000000004">
      <c r="A4722" t="s">
        <v>141</v>
      </c>
      <c r="B4722" t="s">
        <v>46</v>
      </c>
      <c r="C4722">
        <v>104164.5</v>
      </c>
      <c r="D4722" t="s">
        <v>267</v>
      </c>
      <c r="E4722">
        <v>2022</v>
      </c>
      <c r="F4722">
        <v>7</v>
      </c>
    </row>
    <row r="4723" spans="1:6" x14ac:dyDescent="0.55000000000000004">
      <c r="A4723" t="s">
        <v>141</v>
      </c>
      <c r="B4723" t="s">
        <v>47</v>
      </c>
      <c r="C4723">
        <v>4.55</v>
      </c>
      <c r="D4723" t="s">
        <v>267</v>
      </c>
      <c r="E4723">
        <v>2022</v>
      </c>
      <c r="F4723">
        <v>7</v>
      </c>
    </row>
    <row r="4724" spans="1:6" x14ac:dyDescent="0.55000000000000004">
      <c r="A4724" t="s">
        <v>141</v>
      </c>
      <c r="B4724" t="s">
        <v>48</v>
      </c>
      <c r="C4724">
        <v>401378.12819999998</v>
      </c>
      <c r="D4724" t="s">
        <v>267</v>
      </c>
      <c r="E4724">
        <v>2022</v>
      </c>
      <c r="F4724">
        <v>7</v>
      </c>
    </row>
    <row r="4725" spans="1:6" x14ac:dyDescent="0.55000000000000004">
      <c r="A4725" t="s">
        <v>141</v>
      </c>
      <c r="B4725" t="s">
        <v>49</v>
      </c>
      <c r="C4725">
        <v>233.2533</v>
      </c>
      <c r="D4725" t="s">
        <v>267</v>
      </c>
      <c r="E4725">
        <v>2022</v>
      </c>
      <c r="F4725">
        <v>7</v>
      </c>
    </row>
    <row r="4726" spans="1:6" x14ac:dyDescent="0.55000000000000004">
      <c r="A4726" t="s">
        <v>141</v>
      </c>
      <c r="B4726" t="s">
        <v>50</v>
      </c>
      <c r="C4726">
        <v>18079.999899999999</v>
      </c>
      <c r="D4726" t="s">
        <v>267</v>
      </c>
      <c r="E4726">
        <v>2022</v>
      </c>
      <c r="F4726">
        <v>7</v>
      </c>
    </row>
    <row r="4727" spans="1:6" x14ac:dyDescent="0.55000000000000004">
      <c r="A4727" t="s">
        <v>141</v>
      </c>
      <c r="B4727" t="s">
        <v>51</v>
      </c>
      <c r="C4727">
        <v>5400</v>
      </c>
      <c r="D4727" t="s">
        <v>267</v>
      </c>
      <c r="E4727">
        <v>2022</v>
      </c>
      <c r="F4727">
        <v>7</v>
      </c>
    </row>
    <row r="4728" spans="1:6" x14ac:dyDescent="0.55000000000000004">
      <c r="A4728" t="s">
        <v>141</v>
      </c>
      <c r="B4728" t="s">
        <v>52</v>
      </c>
      <c r="C4728">
        <v>46.8919</v>
      </c>
      <c r="D4728" t="s">
        <v>267</v>
      </c>
      <c r="E4728">
        <v>2022</v>
      </c>
      <c r="F4728">
        <v>7</v>
      </c>
    </row>
    <row r="4729" spans="1:6" x14ac:dyDescent="0.55000000000000004">
      <c r="A4729" t="s">
        <v>141</v>
      </c>
      <c r="B4729" t="s">
        <v>53</v>
      </c>
      <c r="C4729">
        <v>11754.35</v>
      </c>
      <c r="D4729" t="s">
        <v>267</v>
      </c>
      <c r="E4729">
        <v>2022</v>
      </c>
      <c r="F4729">
        <v>7</v>
      </c>
    </row>
    <row r="4730" spans="1:6" x14ac:dyDescent="0.55000000000000004">
      <c r="A4730" t="s">
        <v>141</v>
      </c>
      <c r="B4730" t="s">
        <v>54</v>
      </c>
      <c r="C4730">
        <v>12173.7037</v>
      </c>
      <c r="D4730" t="s">
        <v>267</v>
      </c>
      <c r="E4730">
        <v>2022</v>
      </c>
      <c r="F4730">
        <v>7</v>
      </c>
    </row>
    <row r="4731" spans="1:6" x14ac:dyDescent="0.55000000000000004">
      <c r="A4731" t="s">
        <v>141</v>
      </c>
      <c r="B4731" t="s">
        <v>55</v>
      </c>
      <c r="C4731">
        <v>14541.7</v>
      </c>
      <c r="D4731" t="s">
        <v>267</v>
      </c>
      <c r="E4731">
        <v>2022</v>
      </c>
      <c r="F4731">
        <v>7</v>
      </c>
    </row>
    <row r="4732" spans="1:6" x14ac:dyDescent="0.55000000000000004">
      <c r="A4732" t="s">
        <v>141</v>
      </c>
      <c r="B4732" t="s">
        <v>56</v>
      </c>
      <c r="C4732">
        <v>12814.1333</v>
      </c>
      <c r="D4732" t="s">
        <v>267</v>
      </c>
      <c r="E4732">
        <v>2022</v>
      </c>
      <c r="F4732">
        <v>7</v>
      </c>
    </row>
    <row r="4733" spans="1:6" x14ac:dyDescent="0.55000000000000004">
      <c r="A4733" t="s">
        <v>141</v>
      </c>
      <c r="B4733" t="s">
        <v>57</v>
      </c>
      <c r="C4733">
        <v>154.3861</v>
      </c>
      <c r="D4733" t="s">
        <v>267</v>
      </c>
      <c r="E4733">
        <v>2022</v>
      </c>
      <c r="F4733">
        <v>7</v>
      </c>
    </row>
    <row r="4734" spans="1:6" x14ac:dyDescent="0.55000000000000004">
      <c r="A4734" t="s">
        <v>141</v>
      </c>
      <c r="B4734" t="s">
        <v>58</v>
      </c>
      <c r="C4734">
        <v>576468</v>
      </c>
      <c r="D4734" t="s">
        <v>267</v>
      </c>
      <c r="E4734">
        <v>2022</v>
      </c>
      <c r="F4734">
        <v>7</v>
      </c>
    </row>
    <row r="4735" spans="1:6" x14ac:dyDescent="0.55000000000000004">
      <c r="A4735" t="s">
        <v>141</v>
      </c>
      <c r="B4735" t="s">
        <v>59</v>
      </c>
      <c r="C4735">
        <v>8100</v>
      </c>
      <c r="D4735" t="s">
        <v>267</v>
      </c>
      <c r="E4735">
        <v>2022</v>
      </c>
      <c r="F4735">
        <v>7</v>
      </c>
    </row>
    <row r="4736" spans="1:6" x14ac:dyDescent="0.55000000000000004">
      <c r="A4736" t="s">
        <v>141</v>
      </c>
      <c r="B4736" t="s">
        <v>60</v>
      </c>
      <c r="C4736">
        <v>1950184.1691999999</v>
      </c>
      <c r="D4736" t="s">
        <v>267</v>
      </c>
      <c r="E4736">
        <v>2022</v>
      </c>
      <c r="F4736">
        <v>7</v>
      </c>
    </row>
    <row r="4737" spans="1:6" x14ac:dyDescent="0.55000000000000004">
      <c r="A4737" t="s">
        <v>141</v>
      </c>
      <c r="B4737" t="s">
        <v>61</v>
      </c>
      <c r="C4737">
        <v>3399.9956999999999</v>
      </c>
      <c r="D4737" t="s">
        <v>267</v>
      </c>
      <c r="E4737">
        <v>2022</v>
      </c>
      <c r="F4737">
        <v>7</v>
      </c>
    </row>
    <row r="4738" spans="1:6" x14ac:dyDescent="0.55000000000000004">
      <c r="A4738" t="s">
        <v>141</v>
      </c>
      <c r="B4738" t="s">
        <v>62</v>
      </c>
      <c r="C4738">
        <v>1430</v>
      </c>
      <c r="D4738" t="s">
        <v>267</v>
      </c>
      <c r="E4738">
        <v>2022</v>
      </c>
      <c r="F4738">
        <v>7</v>
      </c>
    </row>
    <row r="4739" spans="1:6" x14ac:dyDescent="0.55000000000000004">
      <c r="A4739" t="s">
        <v>141</v>
      </c>
      <c r="B4739" t="s">
        <v>63</v>
      </c>
      <c r="C4739">
        <v>0</v>
      </c>
      <c r="D4739" t="s">
        <v>267</v>
      </c>
      <c r="E4739">
        <v>2022</v>
      </c>
      <c r="F4739">
        <v>7</v>
      </c>
    </row>
    <row r="4740" spans="1:6" x14ac:dyDescent="0.55000000000000004">
      <c r="A4740" t="s">
        <v>142</v>
      </c>
      <c r="B4740" t="s">
        <v>4</v>
      </c>
      <c r="C4740">
        <v>10096230.939999999</v>
      </c>
      <c r="D4740" t="s">
        <v>268</v>
      </c>
      <c r="E4740">
        <v>2022</v>
      </c>
      <c r="F4740">
        <v>8</v>
      </c>
    </row>
    <row r="4741" spans="1:6" x14ac:dyDescent="0.55000000000000004">
      <c r="A4741" t="s">
        <v>142</v>
      </c>
      <c r="B4741" t="s">
        <v>5</v>
      </c>
      <c r="C4741">
        <v>957655.31420000002</v>
      </c>
      <c r="D4741" t="s">
        <v>268</v>
      </c>
      <c r="E4741">
        <v>2022</v>
      </c>
      <c r="F4741">
        <v>8</v>
      </c>
    </row>
    <row r="4742" spans="1:6" x14ac:dyDescent="0.55000000000000004">
      <c r="A4742" t="s">
        <v>142</v>
      </c>
      <c r="B4742" t="s">
        <v>6</v>
      </c>
      <c r="C4742">
        <v>2475810.9249999998</v>
      </c>
      <c r="D4742" t="s">
        <v>268</v>
      </c>
      <c r="E4742">
        <v>2022</v>
      </c>
      <c r="F4742">
        <v>8</v>
      </c>
    </row>
    <row r="4743" spans="1:6" x14ac:dyDescent="0.55000000000000004">
      <c r="A4743" t="s">
        <v>142</v>
      </c>
      <c r="B4743" t="s">
        <v>7</v>
      </c>
      <c r="C4743">
        <v>2972959.6094999998</v>
      </c>
      <c r="D4743" t="s">
        <v>268</v>
      </c>
      <c r="E4743">
        <v>2022</v>
      </c>
      <c r="F4743">
        <v>8</v>
      </c>
    </row>
    <row r="4744" spans="1:6" x14ac:dyDescent="0.55000000000000004">
      <c r="A4744" t="s">
        <v>142</v>
      </c>
      <c r="B4744" t="s">
        <v>8</v>
      </c>
      <c r="C4744">
        <v>3689805.0913</v>
      </c>
      <c r="D4744" t="s">
        <v>268</v>
      </c>
      <c r="E4744">
        <v>2022</v>
      </c>
      <c r="F4744">
        <v>8</v>
      </c>
    </row>
    <row r="4745" spans="1:6" x14ac:dyDescent="0.55000000000000004">
      <c r="A4745" t="s">
        <v>142</v>
      </c>
      <c r="B4745" t="s">
        <v>9</v>
      </c>
      <c r="C4745">
        <v>5.0990000000000002</v>
      </c>
      <c r="D4745" t="s">
        <v>268</v>
      </c>
      <c r="E4745">
        <v>2022</v>
      </c>
      <c r="F4745">
        <v>8</v>
      </c>
    </row>
    <row r="4746" spans="1:6" x14ac:dyDescent="0.55000000000000004">
      <c r="A4746" t="s">
        <v>142</v>
      </c>
      <c r="B4746" t="s">
        <v>10</v>
      </c>
      <c r="C4746">
        <v>2466.0832999999998</v>
      </c>
      <c r="D4746" t="s">
        <v>268</v>
      </c>
      <c r="E4746">
        <v>2022</v>
      </c>
      <c r="F4746">
        <v>8</v>
      </c>
    </row>
    <row r="4747" spans="1:6" x14ac:dyDescent="0.55000000000000004">
      <c r="A4747" t="s">
        <v>142</v>
      </c>
      <c r="B4747" t="s">
        <v>11</v>
      </c>
      <c r="C4747">
        <v>2951452.1353000002</v>
      </c>
      <c r="D4747" t="s">
        <v>268</v>
      </c>
      <c r="E4747">
        <v>2022</v>
      </c>
      <c r="F4747">
        <v>8</v>
      </c>
    </row>
    <row r="4748" spans="1:6" x14ac:dyDescent="0.55000000000000004">
      <c r="A4748" t="s">
        <v>142</v>
      </c>
      <c r="B4748" t="s">
        <v>12</v>
      </c>
      <c r="C4748">
        <v>12359.65</v>
      </c>
      <c r="D4748" t="s">
        <v>268</v>
      </c>
      <c r="E4748">
        <v>2022</v>
      </c>
      <c r="F4748">
        <v>8</v>
      </c>
    </row>
    <row r="4749" spans="1:6" x14ac:dyDescent="0.55000000000000004">
      <c r="A4749" t="s">
        <v>142</v>
      </c>
      <c r="B4749" t="s">
        <v>13</v>
      </c>
      <c r="C4749">
        <v>8700</v>
      </c>
      <c r="D4749" t="s">
        <v>268</v>
      </c>
      <c r="E4749">
        <v>2022</v>
      </c>
      <c r="F4749">
        <v>8</v>
      </c>
    </row>
    <row r="4750" spans="1:6" x14ac:dyDescent="0.55000000000000004">
      <c r="A4750" t="s">
        <v>142</v>
      </c>
      <c r="B4750" t="s">
        <v>14</v>
      </c>
      <c r="C4750">
        <v>400</v>
      </c>
      <c r="D4750" t="s">
        <v>268</v>
      </c>
      <c r="E4750">
        <v>2022</v>
      </c>
      <c r="F4750">
        <v>8</v>
      </c>
    </row>
    <row r="4751" spans="1:6" x14ac:dyDescent="0.55000000000000004">
      <c r="A4751" t="s">
        <v>142</v>
      </c>
      <c r="B4751" t="s">
        <v>15</v>
      </c>
      <c r="C4751">
        <v>884849.07620000001</v>
      </c>
      <c r="D4751" t="s">
        <v>268</v>
      </c>
      <c r="E4751">
        <v>2022</v>
      </c>
      <c r="F4751">
        <v>8</v>
      </c>
    </row>
    <row r="4752" spans="1:6" x14ac:dyDescent="0.55000000000000004">
      <c r="A4752" t="s">
        <v>142</v>
      </c>
      <c r="B4752" t="s">
        <v>16</v>
      </c>
      <c r="C4752">
        <v>0.82650000000000001</v>
      </c>
      <c r="D4752" t="s">
        <v>268</v>
      </c>
      <c r="E4752">
        <v>2022</v>
      </c>
      <c r="F4752">
        <v>8</v>
      </c>
    </row>
    <row r="4753" spans="1:6" x14ac:dyDescent="0.55000000000000004">
      <c r="A4753" t="s">
        <v>142</v>
      </c>
      <c r="B4753" t="s">
        <v>17</v>
      </c>
      <c r="C4753">
        <v>146386.8934</v>
      </c>
      <c r="D4753" t="s">
        <v>268</v>
      </c>
      <c r="E4753">
        <v>2022</v>
      </c>
      <c r="F4753">
        <v>8</v>
      </c>
    </row>
    <row r="4754" spans="1:6" x14ac:dyDescent="0.55000000000000004">
      <c r="A4754" t="s">
        <v>142</v>
      </c>
      <c r="B4754" t="s">
        <v>18</v>
      </c>
      <c r="C4754">
        <v>122857.5836</v>
      </c>
      <c r="D4754" t="s">
        <v>268</v>
      </c>
      <c r="E4754">
        <v>2022</v>
      </c>
      <c r="F4754">
        <v>8</v>
      </c>
    </row>
    <row r="4755" spans="1:6" x14ac:dyDescent="0.55000000000000004">
      <c r="A4755" t="s">
        <v>142</v>
      </c>
      <c r="B4755" t="s">
        <v>19</v>
      </c>
      <c r="C4755">
        <v>1385.5616</v>
      </c>
      <c r="D4755" t="s">
        <v>268</v>
      </c>
      <c r="E4755">
        <v>2022</v>
      </c>
      <c r="F4755">
        <v>8</v>
      </c>
    </row>
    <row r="4756" spans="1:6" x14ac:dyDescent="0.55000000000000004">
      <c r="A4756" t="s">
        <v>142</v>
      </c>
      <c r="B4756" t="s">
        <v>20</v>
      </c>
      <c r="C4756">
        <v>13700</v>
      </c>
      <c r="D4756" t="s">
        <v>268</v>
      </c>
      <c r="E4756">
        <v>2022</v>
      </c>
      <c r="F4756">
        <v>8</v>
      </c>
    </row>
    <row r="4757" spans="1:6" x14ac:dyDescent="0.55000000000000004">
      <c r="A4757" t="s">
        <v>142</v>
      </c>
      <c r="B4757" t="s">
        <v>21</v>
      </c>
      <c r="C4757">
        <v>26017.2503</v>
      </c>
      <c r="D4757" t="s">
        <v>268</v>
      </c>
      <c r="E4757">
        <v>2022</v>
      </c>
      <c r="F4757">
        <v>8</v>
      </c>
    </row>
    <row r="4758" spans="1:6" x14ac:dyDescent="0.55000000000000004">
      <c r="A4758" t="s">
        <v>142</v>
      </c>
      <c r="B4758" t="s">
        <v>22</v>
      </c>
      <c r="C4758">
        <v>54636.44</v>
      </c>
      <c r="D4758" t="s">
        <v>268</v>
      </c>
      <c r="E4758">
        <v>2022</v>
      </c>
      <c r="F4758">
        <v>8</v>
      </c>
    </row>
    <row r="4759" spans="1:6" x14ac:dyDescent="0.55000000000000004">
      <c r="A4759" t="s">
        <v>142</v>
      </c>
      <c r="B4759" t="s">
        <v>23</v>
      </c>
      <c r="C4759">
        <v>37361.389799999997</v>
      </c>
      <c r="D4759" t="s">
        <v>268</v>
      </c>
      <c r="E4759">
        <v>2022</v>
      </c>
      <c r="F4759">
        <v>8</v>
      </c>
    </row>
    <row r="4760" spans="1:6" x14ac:dyDescent="0.55000000000000004">
      <c r="A4760" t="s">
        <v>142</v>
      </c>
      <c r="B4760" t="s">
        <v>24</v>
      </c>
      <c r="C4760">
        <v>0</v>
      </c>
      <c r="D4760" t="s">
        <v>268</v>
      </c>
      <c r="E4760">
        <v>2022</v>
      </c>
      <c r="F4760">
        <v>8</v>
      </c>
    </row>
    <row r="4761" spans="1:6" x14ac:dyDescent="0.55000000000000004">
      <c r="A4761" t="s">
        <v>142</v>
      </c>
      <c r="B4761" t="s">
        <v>25</v>
      </c>
      <c r="C4761">
        <v>430000</v>
      </c>
      <c r="D4761" t="s">
        <v>268</v>
      </c>
      <c r="E4761">
        <v>2022</v>
      </c>
      <c r="F4761">
        <v>8</v>
      </c>
    </row>
    <row r="4762" spans="1:6" x14ac:dyDescent="0.55000000000000004">
      <c r="A4762" t="s">
        <v>142</v>
      </c>
      <c r="B4762" t="s">
        <v>26</v>
      </c>
      <c r="C4762">
        <v>0</v>
      </c>
      <c r="D4762" t="s">
        <v>268</v>
      </c>
      <c r="E4762">
        <v>2022</v>
      </c>
      <c r="F4762">
        <v>8</v>
      </c>
    </row>
    <row r="4763" spans="1:6" x14ac:dyDescent="0.55000000000000004">
      <c r="A4763" t="s">
        <v>142</v>
      </c>
      <c r="B4763" t="s">
        <v>27</v>
      </c>
      <c r="C4763">
        <v>151.9513</v>
      </c>
      <c r="D4763" t="s">
        <v>268</v>
      </c>
      <c r="E4763">
        <v>2022</v>
      </c>
      <c r="F4763">
        <v>8</v>
      </c>
    </row>
    <row r="4764" spans="1:6" x14ac:dyDescent="0.55000000000000004">
      <c r="A4764" t="s">
        <v>142</v>
      </c>
      <c r="B4764" t="s">
        <v>28</v>
      </c>
      <c r="C4764">
        <v>277881.75760000001</v>
      </c>
      <c r="D4764" t="s">
        <v>268</v>
      </c>
      <c r="E4764">
        <v>2022</v>
      </c>
      <c r="F4764">
        <v>8</v>
      </c>
    </row>
    <row r="4765" spans="1:6" x14ac:dyDescent="0.55000000000000004">
      <c r="A4765" t="s">
        <v>142</v>
      </c>
      <c r="B4765" t="s">
        <v>29</v>
      </c>
      <c r="C4765">
        <v>0</v>
      </c>
      <c r="D4765" t="s">
        <v>268</v>
      </c>
      <c r="E4765">
        <v>2022</v>
      </c>
      <c r="F4765">
        <v>8</v>
      </c>
    </row>
    <row r="4766" spans="1:6" x14ac:dyDescent="0.55000000000000004">
      <c r="A4766" t="s">
        <v>142</v>
      </c>
      <c r="B4766" t="s">
        <v>30</v>
      </c>
      <c r="C4766">
        <v>35.498199999999997</v>
      </c>
      <c r="D4766" t="s">
        <v>268</v>
      </c>
      <c r="E4766">
        <v>2022</v>
      </c>
      <c r="F4766">
        <v>8</v>
      </c>
    </row>
    <row r="4767" spans="1:6" x14ac:dyDescent="0.55000000000000004">
      <c r="A4767" t="s">
        <v>142</v>
      </c>
      <c r="B4767" t="s">
        <v>31</v>
      </c>
      <c r="C4767">
        <v>35.166600000000003</v>
      </c>
      <c r="D4767" t="s">
        <v>268</v>
      </c>
      <c r="E4767">
        <v>2022</v>
      </c>
      <c r="F4767">
        <v>8</v>
      </c>
    </row>
    <row r="4768" spans="1:6" x14ac:dyDescent="0.55000000000000004">
      <c r="A4768" t="s">
        <v>142</v>
      </c>
      <c r="B4768" t="s">
        <v>32</v>
      </c>
      <c r="C4768">
        <v>245234.54</v>
      </c>
      <c r="D4768" t="s">
        <v>268</v>
      </c>
      <c r="E4768">
        <v>2022</v>
      </c>
      <c r="F4768">
        <v>8</v>
      </c>
    </row>
    <row r="4769" spans="1:6" x14ac:dyDescent="0.55000000000000004">
      <c r="A4769" t="s">
        <v>142</v>
      </c>
      <c r="B4769" t="s">
        <v>33</v>
      </c>
      <c r="C4769">
        <v>569606.31059999997</v>
      </c>
      <c r="D4769" t="s">
        <v>268</v>
      </c>
      <c r="E4769">
        <v>2022</v>
      </c>
      <c r="F4769">
        <v>8</v>
      </c>
    </row>
    <row r="4770" spans="1:6" x14ac:dyDescent="0.55000000000000004">
      <c r="A4770" t="s">
        <v>142</v>
      </c>
      <c r="B4770" t="s">
        <v>34</v>
      </c>
      <c r="C4770">
        <v>573559.24010000005</v>
      </c>
      <c r="D4770" t="s">
        <v>268</v>
      </c>
      <c r="E4770">
        <v>2022</v>
      </c>
      <c r="F4770">
        <v>8</v>
      </c>
    </row>
    <row r="4771" spans="1:6" x14ac:dyDescent="0.55000000000000004">
      <c r="A4771" t="s">
        <v>142</v>
      </c>
      <c r="B4771" t="s">
        <v>35</v>
      </c>
      <c r="C4771">
        <v>1223.0536999999999</v>
      </c>
      <c r="D4771" t="s">
        <v>268</v>
      </c>
      <c r="E4771">
        <v>2022</v>
      </c>
      <c r="F4771">
        <v>8</v>
      </c>
    </row>
    <row r="4772" spans="1:6" x14ac:dyDescent="0.55000000000000004">
      <c r="A4772" t="s">
        <v>142</v>
      </c>
      <c r="B4772" t="s">
        <v>36</v>
      </c>
      <c r="C4772">
        <v>57888.078000000001</v>
      </c>
      <c r="D4772" t="s">
        <v>268</v>
      </c>
      <c r="E4772">
        <v>2022</v>
      </c>
      <c r="F4772">
        <v>8</v>
      </c>
    </row>
    <row r="4773" spans="1:6" x14ac:dyDescent="0.55000000000000004">
      <c r="A4773" t="s">
        <v>142</v>
      </c>
      <c r="B4773" t="s">
        <v>37</v>
      </c>
      <c r="C4773">
        <v>37099.991000000002</v>
      </c>
      <c r="D4773" t="s">
        <v>268</v>
      </c>
      <c r="E4773">
        <v>2022</v>
      </c>
      <c r="F4773">
        <v>8</v>
      </c>
    </row>
    <row r="4774" spans="1:6" x14ac:dyDescent="0.55000000000000004">
      <c r="A4774" t="s">
        <v>142</v>
      </c>
      <c r="B4774" t="s">
        <v>38</v>
      </c>
      <c r="C4774">
        <v>0</v>
      </c>
      <c r="D4774" t="s">
        <v>268</v>
      </c>
      <c r="E4774">
        <v>2022</v>
      </c>
      <c r="F4774">
        <v>8</v>
      </c>
    </row>
    <row r="4775" spans="1:6" x14ac:dyDescent="0.55000000000000004">
      <c r="A4775" t="s">
        <v>142</v>
      </c>
      <c r="B4775" t="s">
        <v>39</v>
      </c>
      <c r="C4775">
        <v>0.81669999999999998</v>
      </c>
      <c r="D4775" t="s">
        <v>268</v>
      </c>
      <c r="E4775">
        <v>2022</v>
      </c>
      <c r="F4775">
        <v>8</v>
      </c>
    </row>
    <row r="4776" spans="1:6" x14ac:dyDescent="0.55000000000000004">
      <c r="A4776" t="s">
        <v>142</v>
      </c>
      <c r="B4776" t="s">
        <v>40</v>
      </c>
      <c r="C4776">
        <v>768.19870000000003</v>
      </c>
      <c r="D4776" t="s">
        <v>268</v>
      </c>
      <c r="E4776">
        <v>2022</v>
      </c>
      <c r="F4776">
        <v>8</v>
      </c>
    </row>
    <row r="4777" spans="1:6" x14ac:dyDescent="0.55000000000000004">
      <c r="A4777" t="s">
        <v>142</v>
      </c>
      <c r="B4777" t="s">
        <v>41</v>
      </c>
      <c r="C4777">
        <v>324999.99180000002</v>
      </c>
      <c r="D4777" t="s">
        <v>268</v>
      </c>
      <c r="E4777">
        <v>2022</v>
      </c>
      <c r="F4777">
        <v>8</v>
      </c>
    </row>
    <row r="4778" spans="1:6" x14ac:dyDescent="0.55000000000000004">
      <c r="A4778" t="s">
        <v>142</v>
      </c>
      <c r="B4778" t="s">
        <v>42</v>
      </c>
      <c r="C4778">
        <v>76.366699999999994</v>
      </c>
      <c r="D4778" t="s">
        <v>268</v>
      </c>
      <c r="E4778">
        <v>2022</v>
      </c>
      <c r="F4778">
        <v>8</v>
      </c>
    </row>
    <row r="4779" spans="1:6" x14ac:dyDescent="0.55000000000000004">
      <c r="A4779" t="s">
        <v>142</v>
      </c>
      <c r="B4779" t="s">
        <v>43</v>
      </c>
      <c r="C4779">
        <v>189754.52429999999</v>
      </c>
      <c r="D4779" t="s">
        <v>268</v>
      </c>
      <c r="E4779">
        <v>2022</v>
      </c>
      <c r="F4779">
        <v>8</v>
      </c>
    </row>
    <row r="4780" spans="1:6" x14ac:dyDescent="0.55000000000000004">
      <c r="A4780" t="s">
        <v>142</v>
      </c>
      <c r="B4780" t="s">
        <v>44</v>
      </c>
      <c r="C4780">
        <v>0</v>
      </c>
      <c r="D4780" t="s">
        <v>268</v>
      </c>
      <c r="E4780">
        <v>2022</v>
      </c>
      <c r="F4780">
        <v>8</v>
      </c>
    </row>
    <row r="4781" spans="1:6" x14ac:dyDescent="0.55000000000000004">
      <c r="A4781" t="s">
        <v>142</v>
      </c>
      <c r="B4781" t="s">
        <v>45</v>
      </c>
      <c r="C4781">
        <v>6200.2969999999996</v>
      </c>
      <c r="D4781" t="s">
        <v>268</v>
      </c>
      <c r="E4781">
        <v>2022</v>
      </c>
      <c r="F4781">
        <v>8</v>
      </c>
    </row>
    <row r="4782" spans="1:6" x14ac:dyDescent="0.55000000000000004">
      <c r="A4782" t="s">
        <v>142</v>
      </c>
      <c r="B4782" t="s">
        <v>46</v>
      </c>
      <c r="C4782">
        <v>101569.67</v>
      </c>
      <c r="D4782" t="s">
        <v>268</v>
      </c>
      <c r="E4782">
        <v>2022</v>
      </c>
      <c r="F4782">
        <v>8</v>
      </c>
    </row>
    <row r="4783" spans="1:6" x14ac:dyDescent="0.55000000000000004">
      <c r="A4783" t="s">
        <v>142</v>
      </c>
      <c r="B4783" t="s">
        <v>47</v>
      </c>
      <c r="C4783">
        <v>13</v>
      </c>
      <c r="D4783" t="s">
        <v>268</v>
      </c>
      <c r="E4783">
        <v>2022</v>
      </c>
      <c r="F4783">
        <v>8</v>
      </c>
    </row>
    <row r="4784" spans="1:6" x14ac:dyDescent="0.55000000000000004">
      <c r="A4784" t="s">
        <v>142</v>
      </c>
      <c r="B4784" t="s">
        <v>48</v>
      </c>
      <c r="C4784">
        <v>515536.56150000001</v>
      </c>
      <c r="D4784" t="s">
        <v>268</v>
      </c>
      <c r="E4784">
        <v>2022</v>
      </c>
      <c r="F4784">
        <v>8</v>
      </c>
    </row>
    <row r="4785" spans="1:6" x14ac:dyDescent="0.55000000000000004">
      <c r="A4785" t="s">
        <v>142</v>
      </c>
      <c r="B4785" t="s">
        <v>49</v>
      </c>
      <c r="C4785">
        <v>704.34</v>
      </c>
      <c r="D4785" t="s">
        <v>268</v>
      </c>
      <c r="E4785">
        <v>2022</v>
      </c>
      <c r="F4785">
        <v>8</v>
      </c>
    </row>
    <row r="4786" spans="1:6" x14ac:dyDescent="0.55000000000000004">
      <c r="A4786" t="s">
        <v>142</v>
      </c>
      <c r="B4786" t="s">
        <v>50</v>
      </c>
      <c r="C4786">
        <v>17070.0098</v>
      </c>
      <c r="D4786" t="s">
        <v>268</v>
      </c>
      <c r="E4786">
        <v>2022</v>
      </c>
      <c r="F4786">
        <v>8</v>
      </c>
    </row>
    <row r="4787" spans="1:6" x14ac:dyDescent="0.55000000000000004">
      <c r="A4787" t="s">
        <v>142</v>
      </c>
      <c r="B4787" t="s">
        <v>51</v>
      </c>
      <c r="C4787">
        <v>5300</v>
      </c>
      <c r="D4787" t="s">
        <v>268</v>
      </c>
      <c r="E4787">
        <v>2022</v>
      </c>
      <c r="F4787">
        <v>8</v>
      </c>
    </row>
    <row r="4788" spans="1:6" x14ac:dyDescent="0.55000000000000004">
      <c r="A4788" t="s">
        <v>142</v>
      </c>
      <c r="B4788" t="s">
        <v>52</v>
      </c>
      <c r="C4788">
        <v>46.8919</v>
      </c>
      <c r="D4788" t="s">
        <v>268</v>
      </c>
      <c r="E4788">
        <v>2022</v>
      </c>
      <c r="F4788">
        <v>8</v>
      </c>
    </row>
    <row r="4789" spans="1:6" x14ac:dyDescent="0.55000000000000004">
      <c r="A4789" t="s">
        <v>142</v>
      </c>
      <c r="B4789" t="s">
        <v>53</v>
      </c>
      <c r="C4789">
        <v>43266.18</v>
      </c>
      <c r="D4789" t="s">
        <v>268</v>
      </c>
      <c r="E4789">
        <v>2022</v>
      </c>
      <c r="F4789">
        <v>8</v>
      </c>
    </row>
    <row r="4790" spans="1:6" x14ac:dyDescent="0.55000000000000004">
      <c r="A4790" t="s">
        <v>142</v>
      </c>
      <c r="B4790" t="s">
        <v>54</v>
      </c>
      <c r="C4790">
        <v>20305.5347</v>
      </c>
      <c r="D4790" t="s">
        <v>268</v>
      </c>
      <c r="E4790">
        <v>2022</v>
      </c>
      <c r="F4790">
        <v>8</v>
      </c>
    </row>
    <row r="4791" spans="1:6" x14ac:dyDescent="0.55000000000000004">
      <c r="A4791" t="s">
        <v>142</v>
      </c>
      <c r="B4791" t="s">
        <v>55</v>
      </c>
      <c r="C4791">
        <v>8928.4166999999998</v>
      </c>
      <c r="D4791" t="s">
        <v>268</v>
      </c>
      <c r="E4791">
        <v>2022</v>
      </c>
      <c r="F4791">
        <v>8</v>
      </c>
    </row>
    <row r="4792" spans="1:6" x14ac:dyDescent="0.55000000000000004">
      <c r="A4792" t="s">
        <v>142</v>
      </c>
      <c r="B4792" t="s">
        <v>56</v>
      </c>
      <c r="C4792">
        <v>4207.25</v>
      </c>
      <c r="D4792" t="s">
        <v>268</v>
      </c>
      <c r="E4792">
        <v>2022</v>
      </c>
      <c r="F4792">
        <v>8</v>
      </c>
    </row>
    <row r="4793" spans="1:6" x14ac:dyDescent="0.55000000000000004">
      <c r="A4793" t="s">
        <v>142</v>
      </c>
      <c r="B4793" t="s">
        <v>57</v>
      </c>
      <c r="C4793">
        <v>154.3861</v>
      </c>
      <c r="D4793" t="s">
        <v>268</v>
      </c>
      <c r="E4793">
        <v>2022</v>
      </c>
      <c r="F4793">
        <v>8</v>
      </c>
    </row>
    <row r="4794" spans="1:6" x14ac:dyDescent="0.55000000000000004">
      <c r="A4794" t="s">
        <v>142</v>
      </c>
      <c r="B4794" t="s">
        <v>58</v>
      </c>
      <c r="C4794">
        <v>501054</v>
      </c>
      <c r="D4794" t="s">
        <v>268</v>
      </c>
      <c r="E4794">
        <v>2022</v>
      </c>
      <c r="F4794">
        <v>8</v>
      </c>
    </row>
    <row r="4795" spans="1:6" x14ac:dyDescent="0.55000000000000004">
      <c r="A4795" t="s">
        <v>142</v>
      </c>
      <c r="B4795" t="s">
        <v>59</v>
      </c>
      <c r="C4795">
        <v>2600</v>
      </c>
      <c r="D4795" t="s">
        <v>268</v>
      </c>
      <c r="E4795">
        <v>2022</v>
      </c>
      <c r="F4795">
        <v>8</v>
      </c>
    </row>
    <row r="4796" spans="1:6" x14ac:dyDescent="0.55000000000000004">
      <c r="A4796" t="s">
        <v>142</v>
      </c>
      <c r="B4796" t="s">
        <v>60</v>
      </c>
      <c r="C4796">
        <v>1887800.0061999999</v>
      </c>
      <c r="D4796" t="s">
        <v>268</v>
      </c>
      <c r="E4796">
        <v>2022</v>
      </c>
      <c r="F4796">
        <v>8</v>
      </c>
    </row>
    <row r="4797" spans="1:6" x14ac:dyDescent="0.55000000000000004">
      <c r="A4797" t="s">
        <v>142</v>
      </c>
      <c r="B4797" t="s">
        <v>61</v>
      </c>
      <c r="C4797">
        <v>4500.0033000000003</v>
      </c>
      <c r="D4797" t="s">
        <v>268</v>
      </c>
      <c r="E4797">
        <v>2022</v>
      </c>
      <c r="F4797">
        <v>8</v>
      </c>
    </row>
    <row r="4798" spans="1:6" x14ac:dyDescent="0.55000000000000004">
      <c r="A4798" t="s">
        <v>142</v>
      </c>
      <c r="B4798" t="s">
        <v>62</v>
      </c>
      <c r="C4798">
        <v>6080.9184999999998</v>
      </c>
      <c r="D4798" t="s">
        <v>268</v>
      </c>
      <c r="E4798">
        <v>2022</v>
      </c>
      <c r="F4798">
        <v>8</v>
      </c>
    </row>
    <row r="4799" spans="1:6" x14ac:dyDescent="0.55000000000000004">
      <c r="A4799" t="s">
        <v>142</v>
      </c>
      <c r="B4799" t="s">
        <v>63</v>
      </c>
      <c r="C4799">
        <v>0</v>
      </c>
      <c r="D4799" t="s">
        <v>268</v>
      </c>
      <c r="E4799">
        <v>2022</v>
      </c>
      <c r="F4799">
        <v>8</v>
      </c>
    </row>
    <row r="4800" spans="1:6" x14ac:dyDescent="0.55000000000000004">
      <c r="A4800" t="s">
        <v>143</v>
      </c>
      <c r="B4800" t="s">
        <v>4</v>
      </c>
      <c r="C4800">
        <v>9968240.3686999995</v>
      </c>
      <c r="D4800" t="s">
        <v>269</v>
      </c>
      <c r="E4800">
        <v>2022</v>
      </c>
      <c r="F4800">
        <v>9</v>
      </c>
    </row>
    <row r="4801" spans="1:6" x14ac:dyDescent="0.55000000000000004">
      <c r="A4801" t="s">
        <v>143</v>
      </c>
      <c r="B4801" t="s">
        <v>5</v>
      </c>
      <c r="C4801">
        <v>924988.65370000002</v>
      </c>
      <c r="D4801" t="s">
        <v>269</v>
      </c>
      <c r="E4801">
        <v>2022</v>
      </c>
      <c r="F4801">
        <v>9</v>
      </c>
    </row>
    <row r="4802" spans="1:6" x14ac:dyDescent="0.55000000000000004">
      <c r="A4802" t="s">
        <v>143</v>
      </c>
      <c r="B4802" t="s">
        <v>6</v>
      </c>
      <c r="C4802">
        <v>2124741.0425999998</v>
      </c>
      <c r="D4802" t="s">
        <v>269</v>
      </c>
      <c r="E4802">
        <v>2022</v>
      </c>
      <c r="F4802">
        <v>9</v>
      </c>
    </row>
    <row r="4803" spans="1:6" x14ac:dyDescent="0.55000000000000004">
      <c r="A4803" t="s">
        <v>143</v>
      </c>
      <c r="B4803" t="s">
        <v>7</v>
      </c>
      <c r="C4803">
        <v>3331835.7357999999</v>
      </c>
      <c r="D4803" t="s">
        <v>269</v>
      </c>
      <c r="E4803">
        <v>2022</v>
      </c>
      <c r="F4803">
        <v>9</v>
      </c>
    </row>
    <row r="4804" spans="1:6" x14ac:dyDescent="0.55000000000000004">
      <c r="A4804" t="s">
        <v>143</v>
      </c>
      <c r="B4804" t="s">
        <v>8</v>
      </c>
      <c r="C4804">
        <v>3586674.9366000001</v>
      </c>
      <c r="D4804" t="s">
        <v>269</v>
      </c>
      <c r="E4804">
        <v>2022</v>
      </c>
      <c r="F4804">
        <v>9</v>
      </c>
    </row>
    <row r="4805" spans="1:6" x14ac:dyDescent="0.55000000000000004">
      <c r="A4805" t="s">
        <v>143</v>
      </c>
      <c r="B4805" t="s">
        <v>9</v>
      </c>
      <c r="C4805">
        <v>774.33669999999995</v>
      </c>
      <c r="D4805" t="s">
        <v>269</v>
      </c>
      <c r="E4805">
        <v>2022</v>
      </c>
      <c r="F4805">
        <v>9</v>
      </c>
    </row>
    <row r="4806" spans="1:6" x14ac:dyDescent="0.55000000000000004">
      <c r="A4806" t="s">
        <v>143</v>
      </c>
      <c r="B4806" t="s">
        <v>10</v>
      </c>
      <c r="C4806">
        <v>4768.6832999999997</v>
      </c>
      <c r="D4806" t="s">
        <v>269</v>
      </c>
      <c r="E4806">
        <v>2022</v>
      </c>
      <c r="F4806">
        <v>9</v>
      </c>
    </row>
    <row r="4807" spans="1:6" x14ac:dyDescent="0.55000000000000004">
      <c r="A4807" t="s">
        <v>143</v>
      </c>
      <c r="B4807" t="s">
        <v>11</v>
      </c>
      <c r="C4807">
        <v>3444289.5781</v>
      </c>
      <c r="D4807" t="s">
        <v>269</v>
      </c>
      <c r="E4807">
        <v>2022</v>
      </c>
      <c r="F4807">
        <v>9</v>
      </c>
    </row>
    <row r="4808" spans="1:6" x14ac:dyDescent="0.55000000000000004">
      <c r="A4808" t="s">
        <v>143</v>
      </c>
      <c r="B4808" t="s">
        <v>12</v>
      </c>
      <c r="C4808">
        <v>25927.75</v>
      </c>
      <c r="D4808" t="s">
        <v>269</v>
      </c>
      <c r="E4808">
        <v>2022</v>
      </c>
      <c r="F4808">
        <v>9</v>
      </c>
    </row>
    <row r="4809" spans="1:6" x14ac:dyDescent="0.55000000000000004">
      <c r="A4809" t="s">
        <v>143</v>
      </c>
      <c r="B4809" t="s">
        <v>13</v>
      </c>
      <c r="C4809">
        <v>17071.416700000002</v>
      </c>
      <c r="D4809" t="s">
        <v>269</v>
      </c>
      <c r="E4809">
        <v>2022</v>
      </c>
      <c r="F4809">
        <v>9</v>
      </c>
    </row>
    <row r="4810" spans="1:6" x14ac:dyDescent="0.55000000000000004">
      <c r="A4810" t="s">
        <v>143</v>
      </c>
      <c r="B4810" t="s">
        <v>14</v>
      </c>
      <c r="C4810">
        <v>400</v>
      </c>
      <c r="D4810" t="s">
        <v>269</v>
      </c>
      <c r="E4810">
        <v>2022</v>
      </c>
      <c r="F4810">
        <v>9</v>
      </c>
    </row>
    <row r="4811" spans="1:6" x14ac:dyDescent="0.55000000000000004">
      <c r="A4811" t="s">
        <v>143</v>
      </c>
      <c r="B4811" t="s">
        <v>15</v>
      </c>
      <c r="C4811">
        <v>836239.11970000004</v>
      </c>
      <c r="D4811" t="s">
        <v>269</v>
      </c>
      <c r="E4811">
        <v>2022</v>
      </c>
      <c r="F4811">
        <v>9</v>
      </c>
    </row>
    <row r="4812" spans="1:6" x14ac:dyDescent="0.55000000000000004">
      <c r="A4812" t="s">
        <v>143</v>
      </c>
      <c r="B4812" t="s">
        <v>16</v>
      </c>
      <c r="C4812">
        <v>0.82650000000000001</v>
      </c>
      <c r="D4812" t="s">
        <v>269</v>
      </c>
      <c r="E4812">
        <v>2022</v>
      </c>
      <c r="F4812">
        <v>9</v>
      </c>
    </row>
    <row r="4813" spans="1:6" x14ac:dyDescent="0.55000000000000004">
      <c r="A4813" t="s">
        <v>143</v>
      </c>
      <c r="B4813" t="s">
        <v>17</v>
      </c>
      <c r="C4813">
        <v>57808.4401</v>
      </c>
      <c r="D4813" t="s">
        <v>269</v>
      </c>
      <c r="E4813">
        <v>2022</v>
      </c>
      <c r="F4813">
        <v>9</v>
      </c>
    </row>
    <row r="4814" spans="1:6" x14ac:dyDescent="0.55000000000000004">
      <c r="A4814" t="s">
        <v>143</v>
      </c>
      <c r="B4814" t="s">
        <v>18</v>
      </c>
      <c r="C4814">
        <v>176995.0502</v>
      </c>
      <c r="D4814" t="s">
        <v>269</v>
      </c>
      <c r="E4814">
        <v>2022</v>
      </c>
      <c r="F4814">
        <v>9</v>
      </c>
    </row>
    <row r="4815" spans="1:6" x14ac:dyDescent="0.55000000000000004">
      <c r="A4815" t="s">
        <v>143</v>
      </c>
      <c r="B4815" t="s">
        <v>19</v>
      </c>
      <c r="C4815">
        <v>1385.5616</v>
      </c>
      <c r="D4815" t="s">
        <v>269</v>
      </c>
      <c r="E4815">
        <v>2022</v>
      </c>
      <c r="F4815">
        <v>9</v>
      </c>
    </row>
    <row r="4816" spans="1:6" x14ac:dyDescent="0.55000000000000004">
      <c r="A4816" t="s">
        <v>143</v>
      </c>
      <c r="B4816" t="s">
        <v>20</v>
      </c>
      <c r="C4816">
        <v>25600</v>
      </c>
      <c r="D4816" t="s">
        <v>269</v>
      </c>
      <c r="E4816">
        <v>2022</v>
      </c>
      <c r="F4816">
        <v>9</v>
      </c>
    </row>
    <row r="4817" spans="1:6" x14ac:dyDescent="0.55000000000000004">
      <c r="A4817" t="s">
        <v>143</v>
      </c>
      <c r="B4817" t="s">
        <v>21</v>
      </c>
      <c r="C4817">
        <v>32256.248</v>
      </c>
      <c r="D4817" t="s">
        <v>269</v>
      </c>
      <c r="E4817">
        <v>2022</v>
      </c>
      <c r="F4817">
        <v>9</v>
      </c>
    </row>
    <row r="4818" spans="1:6" x14ac:dyDescent="0.55000000000000004">
      <c r="A4818" t="s">
        <v>143</v>
      </c>
      <c r="B4818" t="s">
        <v>22</v>
      </c>
      <c r="C4818">
        <v>80039.547999999995</v>
      </c>
      <c r="D4818" t="s">
        <v>269</v>
      </c>
      <c r="E4818">
        <v>2022</v>
      </c>
      <c r="F4818">
        <v>9</v>
      </c>
    </row>
    <row r="4819" spans="1:6" x14ac:dyDescent="0.55000000000000004">
      <c r="A4819" t="s">
        <v>143</v>
      </c>
      <c r="B4819" t="s">
        <v>23</v>
      </c>
      <c r="C4819">
        <v>32016.964199999999</v>
      </c>
      <c r="D4819" t="s">
        <v>269</v>
      </c>
      <c r="E4819">
        <v>2022</v>
      </c>
      <c r="F4819">
        <v>9</v>
      </c>
    </row>
    <row r="4820" spans="1:6" x14ac:dyDescent="0.55000000000000004">
      <c r="A4820" t="s">
        <v>143</v>
      </c>
      <c r="B4820" t="s">
        <v>24</v>
      </c>
      <c r="C4820">
        <v>0</v>
      </c>
      <c r="D4820" t="s">
        <v>269</v>
      </c>
      <c r="E4820">
        <v>2022</v>
      </c>
      <c r="F4820">
        <v>9</v>
      </c>
    </row>
    <row r="4821" spans="1:6" x14ac:dyDescent="0.55000000000000004">
      <c r="A4821" t="s">
        <v>143</v>
      </c>
      <c r="B4821" t="s">
        <v>25</v>
      </c>
      <c r="C4821">
        <v>340000</v>
      </c>
      <c r="D4821" t="s">
        <v>269</v>
      </c>
      <c r="E4821">
        <v>2022</v>
      </c>
      <c r="F4821">
        <v>9</v>
      </c>
    </row>
    <row r="4822" spans="1:6" x14ac:dyDescent="0.55000000000000004">
      <c r="A4822" t="s">
        <v>143</v>
      </c>
      <c r="B4822" t="s">
        <v>26</v>
      </c>
      <c r="C4822">
        <v>0</v>
      </c>
      <c r="D4822" t="s">
        <v>269</v>
      </c>
      <c r="E4822">
        <v>2022</v>
      </c>
      <c r="F4822">
        <v>9</v>
      </c>
    </row>
    <row r="4823" spans="1:6" x14ac:dyDescent="0.55000000000000004">
      <c r="A4823" t="s">
        <v>143</v>
      </c>
      <c r="B4823" t="s">
        <v>27</v>
      </c>
      <c r="C4823">
        <v>1600.2056</v>
      </c>
      <c r="D4823" t="s">
        <v>269</v>
      </c>
      <c r="E4823">
        <v>2022</v>
      </c>
      <c r="F4823">
        <v>9</v>
      </c>
    </row>
    <row r="4824" spans="1:6" x14ac:dyDescent="0.55000000000000004">
      <c r="A4824" t="s">
        <v>143</v>
      </c>
      <c r="B4824" t="s">
        <v>28</v>
      </c>
      <c r="C4824">
        <v>160224.25459999999</v>
      </c>
      <c r="D4824" t="s">
        <v>269</v>
      </c>
      <c r="E4824">
        <v>2022</v>
      </c>
      <c r="F4824">
        <v>9</v>
      </c>
    </row>
    <row r="4825" spans="1:6" x14ac:dyDescent="0.55000000000000004">
      <c r="A4825" t="s">
        <v>143</v>
      </c>
      <c r="B4825" t="s">
        <v>29</v>
      </c>
      <c r="C4825">
        <v>19751.0425</v>
      </c>
      <c r="D4825" t="s">
        <v>269</v>
      </c>
      <c r="E4825">
        <v>2022</v>
      </c>
      <c r="F4825">
        <v>9</v>
      </c>
    </row>
    <row r="4826" spans="1:6" x14ac:dyDescent="0.55000000000000004">
      <c r="A4826" t="s">
        <v>143</v>
      </c>
      <c r="B4826" t="s">
        <v>30</v>
      </c>
      <c r="C4826">
        <v>11.292400000000001</v>
      </c>
      <c r="D4826" t="s">
        <v>269</v>
      </c>
      <c r="E4826">
        <v>2022</v>
      </c>
      <c r="F4826">
        <v>9</v>
      </c>
    </row>
    <row r="4827" spans="1:6" x14ac:dyDescent="0.55000000000000004">
      <c r="A4827" t="s">
        <v>143</v>
      </c>
      <c r="B4827" t="s">
        <v>31</v>
      </c>
      <c r="C4827">
        <v>46.995899999999999</v>
      </c>
      <c r="D4827" t="s">
        <v>269</v>
      </c>
      <c r="E4827">
        <v>2022</v>
      </c>
      <c r="F4827">
        <v>9</v>
      </c>
    </row>
    <row r="4828" spans="1:6" x14ac:dyDescent="0.55000000000000004">
      <c r="A4828" t="s">
        <v>143</v>
      </c>
      <c r="B4828" t="s">
        <v>32</v>
      </c>
      <c r="C4828">
        <v>169391.41</v>
      </c>
      <c r="D4828" t="s">
        <v>269</v>
      </c>
      <c r="E4828">
        <v>2022</v>
      </c>
      <c r="F4828">
        <v>9</v>
      </c>
    </row>
    <row r="4829" spans="1:6" x14ac:dyDescent="0.55000000000000004">
      <c r="A4829" t="s">
        <v>143</v>
      </c>
      <c r="B4829" t="s">
        <v>33</v>
      </c>
      <c r="C4829">
        <v>604445.34310000006</v>
      </c>
      <c r="D4829" t="s">
        <v>269</v>
      </c>
      <c r="E4829">
        <v>2022</v>
      </c>
      <c r="F4829">
        <v>9</v>
      </c>
    </row>
    <row r="4830" spans="1:6" x14ac:dyDescent="0.55000000000000004">
      <c r="A4830" t="s">
        <v>143</v>
      </c>
      <c r="B4830" t="s">
        <v>34</v>
      </c>
      <c r="C4830">
        <v>683959.696</v>
      </c>
      <c r="D4830" t="s">
        <v>269</v>
      </c>
      <c r="E4830">
        <v>2022</v>
      </c>
      <c r="F4830">
        <v>9</v>
      </c>
    </row>
    <row r="4831" spans="1:6" x14ac:dyDescent="0.55000000000000004">
      <c r="A4831" t="s">
        <v>143</v>
      </c>
      <c r="B4831" t="s">
        <v>35</v>
      </c>
      <c r="C4831">
        <v>1277.6747</v>
      </c>
      <c r="D4831" t="s">
        <v>269</v>
      </c>
      <c r="E4831">
        <v>2022</v>
      </c>
      <c r="F4831">
        <v>9</v>
      </c>
    </row>
    <row r="4832" spans="1:6" x14ac:dyDescent="0.55000000000000004">
      <c r="A4832" t="s">
        <v>143</v>
      </c>
      <c r="B4832" t="s">
        <v>36</v>
      </c>
      <c r="C4832">
        <v>56599.54</v>
      </c>
      <c r="D4832" t="s">
        <v>269</v>
      </c>
      <c r="E4832">
        <v>2022</v>
      </c>
      <c r="F4832">
        <v>9</v>
      </c>
    </row>
    <row r="4833" spans="1:6" x14ac:dyDescent="0.55000000000000004">
      <c r="A4833" t="s">
        <v>143</v>
      </c>
      <c r="B4833" t="s">
        <v>37</v>
      </c>
      <c r="C4833">
        <v>20799.991300000002</v>
      </c>
      <c r="D4833" t="s">
        <v>269</v>
      </c>
      <c r="E4833">
        <v>2022</v>
      </c>
      <c r="F4833">
        <v>9</v>
      </c>
    </row>
    <row r="4834" spans="1:6" x14ac:dyDescent="0.55000000000000004">
      <c r="A4834" t="s">
        <v>143</v>
      </c>
      <c r="B4834" t="s">
        <v>38</v>
      </c>
      <c r="C4834">
        <v>0</v>
      </c>
      <c r="D4834" t="s">
        <v>269</v>
      </c>
      <c r="E4834">
        <v>2022</v>
      </c>
      <c r="F4834">
        <v>9</v>
      </c>
    </row>
    <row r="4835" spans="1:6" x14ac:dyDescent="0.55000000000000004">
      <c r="A4835" t="s">
        <v>143</v>
      </c>
      <c r="B4835" t="s">
        <v>39</v>
      </c>
      <c r="C4835">
        <v>8.6148000000000007</v>
      </c>
      <c r="D4835" t="s">
        <v>269</v>
      </c>
      <c r="E4835">
        <v>2022</v>
      </c>
      <c r="F4835">
        <v>9</v>
      </c>
    </row>
    <row r="4836" spans="1:6" x14ac:dyDescent="0.55000000000000004">
      <c r="A4836" t="s">
        <v>143</v>
      </c>
      <c r="B4836" t="s">
        <v>40</v>
      </c>
      <c r="C4836">
        <v>768.19870000000003</v>
      </c>
      <c r="D4836" t="s">
        <v>269</v>
      </c>
      <c r="E4836">
        <v>2022</v>
      </c>
      <c r="F4836">
        <v>9</v>
      </c>
    </row>
    <row r="4837" spans="1:6" x14ac:dyDescent="0.55000000000000004">
      <c r="A4837" t="s">
        <v>143</v>
      </c>
      <c r="B4837" t="s">
        <v>41</v>
      </c>
      <c r="C4837">
        <v>233699.99840000001</v>
      </c>
      <c r="D4837" t="s">
        <v>269</v>
      </c>
      <c r="E4837">
        <v>2022</v>
      </c>
      <c r="F4837">
        <v>9</v>
      </c>
    </row>
    <row r="4838" spans="1:6" x14ac:dyDescent="0.55000000000000004">
      <c r="A4838" t="s">
        <v>143</v>
      </c>
      <c r="B4838" t="s">
        <v>42</v>
      </c>
      <c r="C4838">
        <v>106.13330000000001</v>
      </c>
      <c r="D4838" t="s">
        <v>269</v>
      </c>
      <c r="E4838">
        <v>2022</v>
      </c>
      <c r="F4838">
        <v>9</v>
      </c>
    </row>
    <row r="4839" spans="1:6" x14ac:dyDescent="0.55000000000000004">
      <c r="A4839" t="s">
        <v>143</v>
      </c>
      <c r="B4839" t="s">
        <v>43</v>
      </c>
      <c r="C4839">
        <v>122005.2202</v>
      </c>
      <c r="D4839" t="s">
        <v>269</v>
      </c>
      <c r="E4839">
        <v>2022</v>
      </c>
      <c r="F4839">
        <v>9</v>
      </c>
    </row>
    <row r="4840" spans="1:6" x14ac:dyDescent="0.55000000000000004">
      <c r="A4840" t="s">
        <v>143</v>
      </c>
      <c r="B4840" t="s">
        <v>44</v>
      </c>
      <c r="C4840">
        <v>0</v>
      </c>
      <c r="D4840" t="s">
        <v>269</v>
      </c>
      <c r="E4840">
        <v>2022</v>
      </c>
      <c r="F4840">
        <v>9</v>
      </c>
    </row>
    <row r="4841" spans="1:6" x14ac:dyDescent="0.55000000000000004">
      <c r="A4841" t="s">
        <v>143</v>
      </c>
      <c r="B4841" t="s">
        <v>45</v>
      </c>
      <c r="C4841">
        <v>3745.069</v>
      </c>
      <c r="D4841" t="s">
        <v>269</v>
      </c>
      <c r="E4841">
        <v>2022</v>
      </c>
      <c r="F4841">
        <v>9</v>
      </c>
    </row>
    <row r="4842" spans="1:6" x14ac:dyDescent="0.55000000000000004">
      <c r="A4842" t="s">
        <v>143</v>
      </c>
      <c r="B4842" t="s">
        <v>46</v>
      </c>
      <c r="C4842">
        <v>53331.67</v>
      </c>
      <c r="D4842" t="s">
        <v>269</v>
      </c>
      <c r="E4842">
        <v>2022</v>
      </c>
      <c r="F4842">
        <v>9</v>
      </c>
    </row>
    <row r="4843" spans="1:6" x14ac:dyDescent="0.55000000000000004">
      <c r="A4843" t="s">
        <v>143</v>
      </c>
      <c r="B4843" t="s">
        <v>47</v>
      </c>
      <c r="C4843">
        <v>0</v>
      </c>
      <c r="D4843" t="s">
        <v>269</v>
      </c>
      <c r="E4843">
        <v>2022</v>
      </c>
      <c r="F4843">
        <v>9</v>
      </c>
    </row>
    <row r="4844" spans="1:6" x14ac:dyDescent="0.55000000000000004">
      <c r="A4844" t="s">
        <v>143</v>
      </c>
      <c r="B4844" t="s">
        <v>48</v>
      </c>
      <c r="C4844">
        <v>546324.17350000003</v>
      </c>
      <c r="D4844" t="s">
        <v>269</v>
      </c>
      <c r="E4844">
        <v>2022</v>
      </c>
      <c r="F4844">
        <v>9</v>
      </c>
    </row>
    <row r="4845" spans="1:6" x14ac:dyDescent="0.55000000000000004">
      <c r="A4845" t="s">
        <v>143</v>
      </c>
      <c r="B4845" t="s">
        <v>49</v>
      </c>
      <c r="C4845">
        <v>71.262699999999995</v>
      </c>
      <c r="D4845" t="s">
        <v>269</v>
      </c>
      <c r="E4845">
        <v>2022</v>
      </c>
      <c r="F4845">
        <v>9</v>
      </c>
    </row>
    <row r="4846" spans="1:6" x14ac:dyDescent="0.55000000000000004">
      <c r="A4846" t="s">
        <v>143</v>
      </c>
      <c r="B4846" t="s">
        <v>50</v>
      </c>
      <c r="C4846">
        <v>31139.993600000002</v>
      </c>
      <c r="D4846" t="s">
        <v>269</v>
      </c>
      <c r="E4846">
        <v>2022</v>
      </c>
      <c r="F4846">
        <v>9</v>
      </c>
    </row>
    <row r="4847" spans="1:6" x14ac:dyDescent="0.55000000000000004">
      <c r="A4847" t="s">
        <v>143</v>
      </c>
      <c r="B4847" t="s">
        <v>51</v>
      </c>
      <c r="C4847">
        <v>4900</v>
      </c>
      <c r="D4847" t="s">
        <v>269</v>
      </c>
      <c r="E4847">
        <v>2022</v>
      </c>
      <c r="F4847">
        <v>9</v>
      </c>
    </row>
    <row r="4848" spans="1:6" x14ac:dyDescent="0.55000000000000004">
      <c r="A4848" t="s">
        <v>143</v>
      </c>
      <c r="B4848" t="s">
        <v>52</v>
      </c>
      <c r="C4848">
        <v>46.8919</v>
      </c>
      <c r="D4848" t="s">
        <v>269</v>
      </c>
      <c r="E4848">
        <v>2022</v>
      </c>
      <c r="F4848">
        <v>9</v>
      </c>
    </row>
    <row r="4849" spans="1:6" x14ac:dyDescent="0.55000000000000004">
      <c r="A4849" t="s">
        <v>143</v>
      </c>
      <c r="B4849" t="s">
        <v>53</v>
      </c>
      <c r="C4849">
        <v>47299.987999999998</v>
      </c>
      <c r="D4849" t="s">
        <v>269</v>
      </c>
      <c r="E4849">
        <v>2022</v>
      </c>
      <c r="F4849">
        <v>9</v>
      </c>
    </row>
    <row r="4850" spans="1:6" x14ac:dyDescent="0.55000000000000004">
      <c r="A4850" t="s">
        <v>143</v>
      </c>
      <c r="B4850" t="s">
        <v>54</v>
      </c>
      <c r="C4850">
        <v>19012.389299999999</v>
      </c>
      <c r="D4850" t="s">
        <v>269</v>
      </c>
      <c r="E4850">
        <v>2022</v>
      </c>
      <c r="F4850">
        <v>9</v>
      </c>
    </row>
    <row r="4851" spans="1:6" x14ac:dyDescent="0.55000000000000004">
      <c r="A4851" t="s">
        <v>143</v>
      </c>
      <c r="B4851" t="s">
        <v>55</v>
      </c>
      <c r="C4851">
        <v>6987.4666999999999</v>
      </c>
      <c r="D4851" t="s">
        <v>269</v>
      </c>
      <c r="E4851">
        <v>2022</v>
      </c>
      <c r="F4851">
        <v>9</v>
      </c>
    </row>
    <row r="4852" spans="1:6" x14ac:dyDescent="0.55000000000000004">
      <c r="A4852" t="s">
        <v>143</v>
      </c>
      <c r="B4852" t="s">
        <v>56</v>
      </c>
      <c r="C4852">
        <v>521.41330000000005</v>
      </c>
      <c r="D4852" t="s">
        <v>269</v>
      </c>
      <c r="E4852">
        <v>2022</v>
      </c>
      <c r="F4852">
        <v>9</v>
      </c>
    </row>
    <row r="4853" spans="1:6" x14ac:dyDescent="0.55000000000000004">
      <c r="A4853" t="s">
        <v>143</v>
      </c>
      <c r="B4853" t="s">
        <v>57</v>
      </c>
      <c r="C4853">
        <v>154.3861</v>
      </c>
      <c r="D4853" t="s">
        <v>269</v>
      </c>
      <c r="E4853">
        <v>2022</v>
      </c>
      <c r="F4853">
        <v>9</v>
      </c>
    </row>
    <row r="4854" spans="1:6" x14ac:dyDescent="0.55000000000000004">
      <c r="A4854" t="s">
        <v>143</v>
      </c>
      <c r="B4854" t="s">
        <v>58</v>
      </c>
      <c r="C4854">
        <v>503695</v>
      </c>
      <c r="D4854" t="s">
        <v>269</v>
      </c>
      <c r="E4854">
        <v>2022</v>
      </c>
      <c r="F4854">
        <v>9</v>
      </c>
    </row>
    <row r="4855" spans="1:6" x14ac:dyDescent="0.55000000000000004">
      <c r="A4855" t="s">
        <v>143</v>
      </c>
      <c r="B4855" t="s">
        <v>59</v>
      </c>
      <c r="C4855">
        <v>3100</v>
      </c>
      <c r="D4855" t="s">
        <v>269</v>
      </c>
      <c r="E4855">
        <v>2022</v>
      </c>
      <c r="F4855">
        <v>9</v>
      </c>
    </row>
    <row r="4856" spans="1:6" x14ac:dyDescent="0.55000000000000004">
      <c r="A4856" t="s">
        <v>143</v>
      </c>
      <c r="B4856" t="s">
        <v>60</v>
      </c>
      <c r="C4856">
        <v>1584000.7679999999</v>
      </c>
      <c r="D4856" t="s">
        <v>269</v>
      </c>
      <c r="E4856">
        <v>2022</v>
      </c>
      <c r="F4856">
        <v>9</v>
      </c>
    </row>
    <row r="4857" spans="1:6" x14ac:dyDescent="0.55000000000000004">
      <c r="A4857" t="s">
        <v>143</v>
      </c>
      <c r="B4857" t="s">
        <v>61</v>
      </c>
      <c r="C4857">
        <v>3599.9956999999999</v>
      </c>
      <c r="D4857" t="s">
        <v>269</v>
      </c>
      <c r="E4857">
        <v>2022</v>
      </c>
      <c r="F4857">
        <v>9</v>
      </c>
    </row>
    <row r="4858" spans="1:6" x14ac:dyDescent="0.55000000000000004">
      <c r="A4858" t="s">
        <v>143</v>
      </c>
      <c r="B4858" t="s">
        <v>62</v>
      </c>
      <c r="C4858">
        <v>10040.7266</v>
      </c>
      <c r="D4858" t="s">
        <v>269</v>
      </c>
      <c r="E4858">
        <v>2022</v>
      </c>
      <c r="F4858">
        <v>9</v>
      </c>
    </row>
    <row r="4859" spans="1:6" x14ac:dyDescent="0.55000000000000004">
      <c r="A4859" t="s">
        <v>143</v>
      </c>
      <c r="B4859" t="s">
        <v>63</v>
      </c>
      <c r="C4859">
        <v>3.9699999999999999E-2</v>
      </c>
      <c r="D4859" t="s">
        <v>269</v>
      </c>
      <c r="E4859">
        <v>2022</v>
      </c>
      <c r="F4859">
        <v>9</v>
      </c>
    </row>
    <row r="4860" spans="1:6" x14ac:dyDescent="0.55000000000000004">
      <c r="A4860" t="s">
        <v>144</v>
      </c>
      <c r="B4860" t="s">
        <v>4</v>
      </c>
      <c r="C4860">
        <v>9481097.6050000004</v>
      </c>
      <c r="D4860" t="s">
        <v>270</v>
      </c>
      <c r="E4860">
        <v>2022</v>
      </c>
      <c r="F4860">
        <v>10</v>
      </c>
    </row>
    <row r="4861" spans="1:6" x14ac:dyDescent="0.55000000000000004">
      <c r="A4861" t="s">
        <v>144</v>
      </c>
      <c r="B4861" t="s">
        <v>5</v>
      </c>
      <c r="C4861">
        <v>1029800.9214</v>
      </c>
      <c r="D4861" t="s">
        <v>270</v>
      </c>
      <c r="E4861">
        <v>2022</v>
      </c>
      <c r="F4861">
        <v>10</v>
      </c>
    </row>
    <row r="4862" spans="1:6" x14ac:dyDescent="0.55000000000000004">
      <c r="A4862" t="s">
        <v>144</v>
      </c>
      <c r="B4862" t="s">
        <v>6</v>
      </c>
      <c r="C4862">
        <v>1662392.4901999999</v>
      </c>
      <c r="D4862" t="s">
        <v>270</v>
      </c>
      <c r="E4862">
        <v>2022</v>
      </c>
      <c r="F4862">
        <v>10</v>
      </c>
    </row>
    <row r="4863" spans="1:6" x14ac:dyDescent="0.55000000000000004">
      <c r="A4863" t="s">
        <v>144</v>
      </c>
      <c r="B4863" t="s">
        <v>7</v>
      </c>
      <c r="C4863">
        <v>3660144.2716999999</v>
      </c>
      <c r="D4863" t="s">
        <v>270</v>
      </c>
      <c r="E4863">
        <v>2022</v>
      </c>
      <c r="F4863">
        <v>10</v>
      </c>
    </row>
    <row r="4864" spans="1:6" x14ac:dyDescent="0.55000000000000004">
      <c r="A4864" t="s">
        <v>144</v>
      </c>
      <c r="B4864" t="s">
        <v>8</v>
      </c>
      <c r="C4864">
        <v>3128759.9216999998</v>
      </c>
      <c r="D4864" t="s">
        <v>270</v>
      </c>
      <c r="E4864">
        <v>2022</v>
      </c>
      <c r="F4864">
        <v>10</v>
      </c>
    </row>
    <row r="4865" spans="1:6" x14ac:dyDescent="0.55000000000000004">
      <c r="A4865" t="s">
        <v>144</v>
      </c>
      <c r="B4865" t="s">
        <v>9</v>
      </c>
      <c r="C4865">
        <v>0.86670000000000003</v>
      </c>
      <c r="D4865" t="s">
        <v>270</v>
      </c>
      <c r="E4865">
        <v>2022</v>
      </c>
      <c r="F4865">
        <v>10</v>
      </c>
    </row>
    <row r="4866" spans="1:6" x14ac:dyDescent="0.55000000000000004">
      <c r="A4866" t="s">
        <v>144</v>
      </c>
      <c r="B4866" t="s">
        <v>10</v>
      </c>
      <c r="C4866">
        <v>3386.0333000000001</v>
      </c>
      <c r="D4866" t="s">
        <v>270</v>
      </c>
      <c r="E4866">
        <v>2022</v>
      </c>
      <c r="F4866">
        <v>10</v>
      </c>
    </row>
    <row r="4867" spans="1:6" x14ac:dyDescent="0.55000000000000004">
      <c r="A4867" t="s">
        <v>144</v>
      </c>
      <c r="B4867" t="s">
        <v>11</v>
      </c>
      <c r="C4867">
        <v>3589378.1941</v>
      </c>
      <c r="D4867" t="s">
        <v>270</v>
      </c>
      <c r="E4867">
        <v>2022</v>
      </c>
      <c r="F4867">
        <v>10</v>
      </c>
    </row>
    <row r="4868" spans="1:6" x14ac:dyDescent="0.55000000000000004">
      <c r="A4868" t="s">
        <v>144</v>
      </c>
      <c r="B4868" t="s">
        <v>12</v>
      </c>
      <c r="C4868">
        <v>45704.683299999997</v>
      </c>
      <c r="D4868" t="s">
        <v>270</v>
      </c>
      <c r="E4868">
        <v>2022</v>
      </c>
      <c r="F4868">
        <v>10</v>
      </c>
    </row>
    <row r="4869" spans="1:6" x14ac:dyDescent="0.55000000000000004">
      <c r="A4869" t="s">
        <v>144</v>
      </c>
      <c r="B4869" t="s">
        <v>13</v>
      </c>
      <c r="C4869">
        <v>15507.966700000001</v>
      </c>
      <c r="D4869" t="s">
        <v>270</v>
      </c>
      <c r="E4869">
        <v>2022</v>
      </c>
      <c r="F4869">
        <v>10</v>
      </c>
    </row>
    <row r="4870" spans="1:6" x14ac:dyDescent="0.55000000000000004">
      <c r="A4870" t="s">
        <v>144</v>
      </c>
      <c r="B4870" t="s">
        <v>14</v>
      </c>
      <c r="C4870">
        <v>900</v>
      </c>
      <c r="D4870" t="s">
        <v>270</v>
      </c>
      <c r="E4870">
        <v>2022</v>
      </c>
      <c r="F4870">
        <v>10</v>
      </c>
    </row>
    <row r="4871" spans="1:6" x14ac:dyDescent="0.55000000000000004">
      <c r="A4871" t="s">
        <v>144</v>
      </c>
      <c r="B4871" t="s">
        <v>15</v>
      </c>
      <c r="C4871">
        <v>964476.60149999999</v>
      </c>
      <c r="D4871" t="s">
        <v>270</v>
      </c>
      <c r="E4871">
        <v>2022</v>
      </c>
      <c r="F4871">
        <v>10</v>
      </c>
    </row>
    <row r="4872" spans="1:6" x14ac:dyDescent="0.55000000000000004">
      <c r="A4872" t="s">
        <v>144</v>
      </c>
      <c r="B4872" t="s">
        <v>16</v>
      </c>
      <c r="C4872">
        <v>0.82650000000000001</v>
      </c>
      <c r="D4872" t="s">
        <v>270</v>
      </c>
      <c r="E4872">
        <v>2022</v>
      </c>
      <c r="F4872">
        <v>10</v>
      </c>
    </row>
    <row r="4873" spans="1:6" x14ac:dyDescent="0.55000000000000004">
      <c r="A4873" t="s">
        <v>144</v>
      </c>
      <c r="B4873" t="s">
        <v>17</v>
      </c>
      <c r="C4873">
        <v>9216.0735999999997</v>
      </c>
      <c r="D4873" t="s">
        <v>270</v>
      </c>
      <c r="E4873">
        <v>2022</v>
      </c>
      <c r="F4873">
        <v>10</v>
      </c>
    </row>
    <row r="4874" spans="1:6" x14ac:dyDescent="0.55000000000000004">
      <c r="A4874" t="s">
        <v>144</v>
      </c>
      <c r="B4874" t="s">
        <v>18</v>
      </c>
      <c r="C4874">
        <v>26973.099300000002</v>
      </c>
      <c r="D4874" t="s">
        <v>270</v>
      </c>
      <c r="E4874">
        <v>2022</v>
      </c>
      <c r="F4874">
        <v>10</v>
      </c>
    </row>
    <row r="4875" spans="1:6" x14ac:dyDescent="0.55000000000000004">
      <c r="A4875" t="s">
        <v>144</v>
      </c>
      <c r="B4875" t="s">
        <v>19</v>
      </c>
      <c r="C4875">
        <v>1385.5616</v>
      </c>
      <c r="D4875" t="s">
        <v>270</v>
      </c>
      <c r="E4875">
        <v>2022</v>
      </c>
      <c r="F4875">
        <v>10</v>
      </c>
    </row>
    <row r="4876" spans="1:6" x14ac:dyDescent="0.55000000000000004">
      <c r="A4876" t="s">
        <v>144</v>
      </c>
      <c r="B4876" t="s">
        <v>20</v>
      </c>
      <c r="C4876">
        <v>9000</v>
      </c>
      <c r="D4876" t="s">
        <v>270</v>
      </c>
      <c r="E4876">
        <v>2022</v>
      </c>
      <c r="F4876">
        <v>10</v>
      </c>
    </row>
    <row r="4877" spans="1:6" x14ac:dyDescent="0.55000000000000004">
      <c r="A4877" t="s">
        <v>144</v>
      </c>
      <c r="B4877" t="s">
        <v>21</v>
      </c>
      <c r="C4877">
        <v>11032.3478</v>
      </c>
      <c r="D4877" t="s">
        <v>270</v>
      </c>
      <c r="E4877">
        <v>2022</v>
      </c>
      <c r="F4877">
        <v>10</v>
      </c>
    </row>
    <row r="4878" spans="1:6" x14ac:dyDescent="0.55000000000000004">
      <c r="A4878" t="s">
        <v>144</v>
      </c>
      <c r="B4878" t="s">
        <v>22</v>
      </c>
      <c r="C4878">
        <v>70427.664000000004</v>
      </c>
      <c r="D4878" t="s">
        <v>270</v>
      </c>
      <c r="E4878">
        <v>2022</v>
      </c>
      <c r="F4878">
        <v>10</v>
      </c>
    </row>
    <row r="4879" spans="1:6" x14ac:dyDescent="0.55000000000000004">
      <c r="A4879" t="s">
        <v>144</v>
      </c>
      <c r="B4879" t="s">
        <v>23</v>
      </c>
      <c r="C4879">
        <v>10710.579900000001</v>
      </c>
      <c r="D4879" t="s">
        <v>270</v>
      </c>
      <c r="E4879">
        <v>2022</v>
      </c>
      <c r="F4879">
        <v>10</v>
      </c>
    </row>
    <row r="4880" spans="1:6" x14ac:dyDescent="0.55000000000000004">
      <c r="A4880" t="s">
        <v>144</v>
      </c>
      <c r="B4880" t="s">
        <v>24</v>
      </c>
      <c r="C4880">
        <v>0</v>
      </c>
      <c r="D4880" t="s">
        <v>270</v>
      </c>
      <c r="E4880">
        <v>2022</v>
      </c>
      <c r="F4880">
        <v>10</v>
      </c>
    </row>
    <row r="4881" spans="1:6" x14ac:dyDescent="0.55000000000000004">
      <c r="A4881" t="s">
        <v>144</v>
      </c>
      <c r="B4881" t="s">
        <v>25</v>
      </c>
      <c r="C4881">
        <v>370000</v>
      </c>
      <c r="D4881" t="s">
        <v>270</v>
      </c>
      <c r="E4881">
        <v>2022</v>
      </c>
      <c r="F4881">
        <v>10</v>
      </c>
    </row>
    <row r="4882" spans="1:6" x14ac:dyDescent="0.55000000000000004">
      <c r="A4882" t="s">
        <v>144</v>
      </c>
      <c r="B4882" t="s">
        <v>26</v>
      </c>
      <c r="C4882">
        <v>0</v>
      </c>
      <c r="D4882" t="s">
        <v>270</v>
      </c>
      <c r="E4882">
        <v>2022</v>
      </c>
      <c r="F4882">
        <v>10</v>
      </c>
    </row>
    <row r="4883" spans="1:6" x14ac:dyDescent="0.55000000000000004">
      <c r="A4883" t="s">
        <v>144</v>
      </c>
      <c r="B4883" t="s">
        <v>27</v>
      </c>
      <c r="C4883">
        <v>534.04430000000002</v>
      </c>
      <c r="D4883" t="s">
        <v>270</v>
      </c>
      <c r="E4883">
        <v>2022</v>
      </c>
      <c r="F4883">
        <v>10</v>
      </c>
    </row>
    <row r="4884" spans="1:6" x14ac:dyDescent="0.55000000000000004">
      <c r="A4884" t="s">
        <v>144</v>
      </c>
      <c r="B4884" t="s">
        <v>28</v>
      </c>
      <c r="C4884">
        <v>76208.790599999993</v>
      </c>
      <c r="D4884" t="s">
        <v>270</v>
      </c>
      <c r="E4884">
        <v>2022</v>
      </c>
      <c r="F4884">
        <v>10</v>
      </c>
    </row>
    <row r="4885" spans="1:6" x14ac:dyDescent="0.55000000000000004">
      <c r="A4885" t="s">
        <v>144</v>
      </c>
      <c r="B4885" t="s">
        <v>29</v>
      </c>
      <c r="C4885">
        <v>8995.8986000000004</v>
      </c>
      <c r="D4885" t="s">
        <v>270</v>
      </c>
      <c r="E4885">
        <v>2022</v>
      </c>
      <c r="F4885">
        <v>10</v>
      </c>
    </row>
    <row r="4886" spans="1:6" x14ac:dyDescent="0.55000000000000004">
      <c r="A4886" t="s">
        <v>144</v>
      </c>
      <c r="B4886" t="s">
        <v>30</v>
      </c>
      <c r="C4886">
        <v>62.738999999999997</v>
      </c>
      <c r="D4886" t="s">
        <v>270</v>
      </c>
      <c r="E4886">
        <v>2022</v>
      </c>
      <c r="F4886">
        <v>10</v>
      </c>
    </row>
    <row r="4887" spans="1:6" x14ac:dyDescent="0.55000000000000004">
      <c r="A4887" t="s">
        <v>144</v>
      </c>
      <c r="B4887" t="s">
        <v>31</v>
      </c>
      <c r="C4887">
        <v>149.99600000000001</v>
      </c>
      <c r="D4887" t="s">
        <v>270</v>
      </c>
      <c r="E4887">
        <v>2022</v>
      </c>
      <c r="F4887">
        <v>10</v>
      </c>
    </row>
    <row r="4888" spans="1:6" x14ac:dyDescent="0.55000000000000004">
      <c r="A4888" t="s">
        <v>144</v>
      </c>
      <c r="B4888" t="s">
        <v>32</v>
      </c>
      <c r="C4888">
        <v>40841.980000000003</v>
      </c>
      <c r="D4888" t="s">
        <v>270</v>
      </c>
      <c r="E4888">
        <v>2022</v>
      </c>
      <c r="F4888">
        <v>10</v>
      </c>
    </row>
    <row r="4889" spans="1:6" x14ac:dyDescent="0.55000000000000004">
      <c r="A4889" t="s">
        <v>144</v>
      </c>
      <c r="B4889" t="s">
        <v>33</v>
      </c>
      <c r="C4889">
        <v>420387.50679999997</v>
      </c>
      <c r="D4889" t="s">
        <v>270</v>
      </c>
      <c r="E4889">
        <v>2022</v>
      </c>
      <c r="F4889">
        <v>10</v>
      </c>
    </row>
    <row r="4890" spans="1:6" x14ac:dyDescent="0.55000000000000004">
      <c r="A4890" t="s">
        <v>144</v>
      </c>
      <c r="B4890" t="s">
        <v>34</v>
      </c>
      <c r="C4890">
        <v>787098.3112</v>
      </c>
      <c r="D4890" t="s">
        <v>270</v>
      </c>
      <c r="E4890">
        <v>2022</v>
      </c>
      <c r="F4890">
        <v>10</v>
      </c>
    </row>
    <row r="4891" spans="1:6" x14ac:dyDescent="0.55000000000000004">
      <c r="A4891" t="s">
        <v>144</v>
      </c>
      <c r="B4891" t="s">
        <v>35</v>
      </c>
      <c r="C4891">
        <v>583.29650000000004</v>
      </c>
      <c r="D4891" t="s">
        <v>270</v>
      </c>
      <c r="E4891">
        <v>2022</v>
      </c>
      <c r="F4891">
        <v>10</v>
      </c>
    </row>
    <row r="4892" spans="1:6" x14ac:dyDescent="0.55000000000000004">
      <c r="A4892" t="s">
        <v>144</v>
      </c>
      <c r="B4892" t="s">
        <v>36</v>
      </c>
      <c r="C4892">
        <v>46694.819900000002</v>
      </c>
      <c r="D4892" t="s">
        <v>270</v>
      </c>
      <c r="E4892">
        <v>2022</v>
      </c>
      <c r="F4892">
        <v>10</v>
      </c>
    </row>
    <row r="4893" spans="1:6" x14ac:dyDescent="0.55000000000000004">
      <c r="A4893" t="s">
        <v>144</v>
      </c>
      <c r="B4893" t="s">
        <v>37</v>
      </c>
      <c r="C4893">
        <v>46899.984700000001</v>
      </c>
      <c r="D4893" t="s">
        <v>270</v>
      </c>
      <c r="E4893">
        <v>2022</v>
      </c>
      <c r="F4893">
        <v>10</v>
      </c>
    </row>
    <row r="4894" spans="1:6" x14ac:dyDescent="0.55000000000000004">
      <c r="A4894" t="s">
        <v>144</v>
      </c>
      <c r="B4894" t="s">
        <v>38</v>
      </c>
      <c r="C4894">
        <v>0</v>
      </c>
      <c r="D4894" t="s">
        <v>270</v>
      </c>
      <c r="E4894">
        <v>2022</v>
      </c>
      <c r="F4894">
        <v>10</v>
      </c>
    </row>
    <row r="4895" spans="1:6" x14ac:dyDescent="0.55000000000000004">
      <c r="A4895" t="s">
        <v>144</v>
      </c>
      <c r="B4895" t="s">
        <v>39</v>
      </c>
      <c r="C4895">
        <v>0.31419999999999998</v>
      </c>
      <c r="D4895" t="s">
        <v>270</v>
      </c>
      <c r="E4895">
        <v>2022</v>
      </c>
      <c r="F4895">
        <v>10</v>
      </c>
    </row>
    <row r="4896" spans="1:6" x14ac:dyDescent="0.55000000000000004">
      <c r="A4896" t="s">
        <v>144</v>
      </c>
      <c r="B4896" t="s">
        <v>40</v>
      </c>
      <c r="C4896">
        <v>768.19870000000003</v>
      </c>
      <c r="D4896" t="s">
        <v>270</v>
      </c>
      <c r="E4896">
        <v>2022</v>
      </c>
      <c r="F4896">
        <v>10</v>
      </c>
    </row>
    <row r="4897" spans="1:6" x14ac:dyDescent="0.55000000000000004">
      <c r="A4897" t="s">
        <v>144</v>
      </c>
      <c r="B4897" t="s">
        <v>41</v>
      </c>
      <c r="C4897">
        <v>232999.98970000001</v>
      </c>
      <c r="D4897" t="s">
        <v>270</v>
      </c>
      <c r="E4897">
        <v>2022</v>
      </c>
      <c r="F4897">
        <v>10</v>
      </c>
    </row>
    <row r="4898" spans="1:6" x14ac:dyDescent="0.55000000000000004">
      <c r="A4898" t="s">
        <v>144</v>
      </c>
      <c r="B4898" t="s">
        <v>42</v>
      </c>
      <c r="C4898">
        <v>7.2525000000000004</v>
      </c>
      <c r="D4898" t="s">
        <v>270</v>
      </c>
      <c r="E4898">
        <v>2022</v>
      </c>
      <c r="F4898">
        <v>10</v>
      </c>
    </row>
    <row r="4899" spans="1:6" x14ac:dyDescent="0.55000000000000004">
      <c r="A4899" t="s">
        <v>144</v>
      </c>
      <c r="B4899" t="s">
        <v>43</v>
      </c>
      <c r="C4899">
        <v>71080.485199999996</v>
      </c>
      <c r="D4899" t="s">
        <v>270</v>
      </c>
      <c r="E4899">
        <v>2022</v>
      </c>
      <c r="F4899">
        <v>10</v>
      </c>
    </row>
    <row r="4900" spans="1:6" x14ac:dyDescent="0.55000000000000004">
      <c r="A4900" t="s">
        <v>144</v>
      </c>
      <c r="B4900" t="s">
        <v>44</v>
      </c>
      <c r="C4900">
        <v>0</v>
      </c>
      <c r="D4900" t="s">
        <v>270</v>
      </c>
      <c r="E4900">
        <v>2022</v>
      </c>
      <c r="F4900">
        <v>10</v>
      </c>
    </row>
    <row r="4901" spans="1:6" x14ac:dyDescent="0.55000000000000004">
      <c r="A4901" t="s">
        <v>144</v>
      </c>
      <c r="B4901" t="s">
        <v>45</v>
      </c>
      <c r="C4901">
        <v>1594.2817</v>
      </c>
      <c r="D4901" t="s">
        <v>270</v>
      </c>
      <c r="E4901">
        <v>2022</v>
      </c>
      <c r="F4901">
        <v>10</v>
      </c>
    </row>
    <row r="4902" spans="1:6" x14ac:dyDescent="0.55000000000000004">
      <c r="A4902" t="s">
        <v>144</v>
      </c>
      <c r="B4902" t="s">
        <v>46</v>
      </c>
      <c r="C4902">
        <v>156737.29</v>
      </c>
      <c r="D4902" t="s">
        <v>270</v>
      </c>
      <c r="E4902">
        <v>2022</v>
      </c>
      <c r="F4902">
        <v>10</v>
      </c>
    </row>
    <row r="4903" spans="1:6" x14ac:dyDescent="0.55000000000000004">
      <c r="A4903" t="s">
        <v>144</v>
      </c>
      <c r="B4903" t="s">
        <v>47</v>
      </c>
      <c r="C4903">
        <v>0</v>
      </c>
      <c r="D4903" t="s">
        <v>270</v>
      </c>
      <c r="E4903">
        <v>2022</v>
      </c>
      <c r="F4903">
        <v>10</v>
      </c>
    </row>
    <row r="4904" spans="1:6" x14ac:dyDescent="0.55000000000000004">
      <c r="A4904" t="s">
        <v>144</v>
      </c>
      <c r="B4904" t="s">
        <v>48</v>
      </c>
      <c r="C4904">
        <v>480423.55989999999</v>
      </c>
      <c r="D4904" t="s">
        <v>270</v>
      </c>
      <c r="E4904">
        <v>2022</v>
      </c>
      <c r="F4904">
        <v>10</v>
      </c>
    </row>
    <row r="4905" spans="1:6" x14ac:dyDescent="0.55000000000000004">
      <c r="A4905" t="s">
        <v>144</v>
      </c>
      <c r="B4905" t="s">
        <v>49</v>
      </c>
      <c r="C4905">
        <v>3.8332999999999999</v>
      </c>
      <c r="D4905" t="s">
        <v>270</v>
      </c>
      <c r="E4905">
        <v>2022</v>
      </c>
      <c r="F4905">
        <v>10</v>
      </c>
    </row>
    <row r="4906" spans="1:6" x14ac:dyDescent="0.55000000000000004">
      <c r="A4906" t="s">
        <v>144</v>
      </c>
      <c r="B4906" t="s">
        <v>50</v>
      </c>
      <c r="C4906">
        <v>46200.007400000002</v>
      </c>
      <c r="D4906" t="s">
        <v>270</v>
      </c>
      <c r="E4906">
        <v>2022</v>
      </c>
      <c r="F4906">
        <v>10</v>
      </c>
    </row>
    <row r="4907" spans="1:6" x14ac:dyDescent="0.55000000000000004">
      <c r="A4907" t="s">
        <v>144</v>
      </c>
      <c r="B4907" t="s">
        <v>51</v>
      </c>
      <c r="C4907">
        <v>3400</v>
      </c>
      <c r="D4907" t="s">
        <v>270</v>
      </c>
      <c r="E4907">
        <v>2022</v>
      </c>
      <c r="F4907">
        <v>10</v>
      </c>
    </row>
    <row r="4908" spans="1:6" x14ac:dyDescent="0.55000000000000004">
      <c r="A4908" t="s">
        <v>144</v>
      </c>
      <c r="B4908" t="s">
        <v>52</v>
      </c>
      <c r="C4908">
        <v>46.8919</v>
      </c>
      <c r="D4908" t="s">
        <v>270</v>
      </c>
      <c r="E4908">
        <v>2022</v>
      </c>
      <c r="F4908">
        <v>10</v>
      </c>
    </row>
    <row r="4909" spans="1:6" x14ac:dyDescent="0.55000000000000004">
      <c r="A4909" t="s">
        <v>144</v>
      </c>
      <c r="B4909" t="s">
        <v>53</v>
      </c>
      <c r="C4909">
        <v>72958.16</v>
      </c>
      <c r="D4909" t="s">
        <v>270</v>
      </c>
      <c r="E4909">
        <v>2022</v>
      </c>
      <c r="F4909">
        <v>10</v>
      </c>
    </row>
    <row r="4910" spans="1:6" x14ac:dyDescent="0.55000000000000004">
      <c r="A4910" t="s">
        <v>144</v>
      </c>
      <c r="B4910" t="s">
        <v>54</v>
      </c>
      <c r="C4910">
        <v>14942.082399999999</v>
      </c>
      <c r="D4910" t="s">
        <v>270</v>
      </c>
      <c r="E4910">
        <v>2022</v>
      </c>
      <c r="F4910">
        <v>10</v>
      </c>
    </row>
    <row r="4911" spans="1:6" x14ac:dyDescent="0.55000000000000004">
      <c r="A4911" t="s">
        <v>144</v>
      </c>
      <c r="B4911" t="s">
        <v>55</v>
      </c>
      <c r="C4911">
        <v>12508</v>
      </c>
      <c r="D4911" t="s">
        <v>270</v>
      </c>
      <c r="E4911">
        <v>2022</v>
      </c>
      <c r="F4911">
        <v>10</v>
      </c>
    </row>
    <row r="4912" spans="1:6" x14ac:dyDescent="0.55000000000000004">
      <c r="A4912" t="s">
        <v>144</v>
      </c>
      <c r="B4912" t="s">
        <v>56</v>
      </c>
      <c r="C4912">
        <v>0</v>
      </c>
      <c r="D4912" t="s">
        <v>270</v>
      </c>
      <c r="E4912">
        <v>2022</v>
      </c>
      <c r="F4912">
        <v>10</v>
      </c>
    </row>
    <row r="4913" spans="1:6" x14ac:dyDescent="0.55000000000000004">
      <c r="A4913" t="s">
        <v>144</v>
      </c>
      <c r="B4913" t="s">
        <v>57</v>
      </c>
      <c r="C4913">
        <v>154.3861</v>
      </c>
      <c r="D4913" t="s">
        <v>270</v>
      </c>
      <c r="E4913">
        <v>2022</v>
      </c>
      <c r="F4913">
        <v>10</v>
      </c>
    </row>
    <row r="4914" spans="1:6" x14ac:dyDescent="0.55000000000000004">
      <c r="A4914" t="s">
        <v>144</v>
      </c>
      <c r="B4914" t="s">
        <v>58</v>
      </c>
      <c r="C4914">
        <v>457244</v>
      </c>
      <c r="D4914" t="s">
        <v>270</v>
      </c>
      <c r="E4914">
        <v>2022</v>
      </c>
      <c r="F4914">
        <v>10</v>
      </c>
    </row>
    <row r="4915" spans="1:6" x14ac:dyDescent="0.55000000000000004">
      <c r="A4915" t="s">
        <v>144</v>
      </c>
      <c r="B4915" t="s">
        <v>59</v>
      </c>
      <c r="C4915">
        <v>5600</v>
      </c>
      <c r="D4915" t="s">
        <v>270</v>
      </c>
      <c r="E4915">
        <v>2022</v>
      </c>
      <c r="F4915">
        <v>10</v>
      </c>
    </row>
    <row r="4916" spans="1:6" x14ac:dyDescent="0.55000000000000004">
      <c r="A4916" t="s">
        <v>144</v>
      </c>
      <c r="B4916" t="s">
        <v>60</v>
      </c>
      <c r="C4916">
        <v>1356700.0027999999</v>
      </c>
      <c r="D4916" t="s">
        <v>270</v>
      </c>
      <c r="E4916">
        <v>2022</v>
      </c>
      <c r="F4916">
        <v>10</v>
      </c>
    </row>
    <row r="4917" spans="1:6" x14ac:dyDescent="0.55000000000000004">
      <c r="A4917" t="s">
        <v>144</v>
      </c>
      <c r="B4917" t="s">
        <v>61</v>
      </c>
      <c r="C4917">
        <v>5100.0033000000003</v>
      </c>
      <c r="D4917" t="s">
        <v>270</v>
      </c>
      <c r="E4917">
        <v>2022</v>
      </c>
      <c r="F4917">
        <v>10</v>
      </c>
    </row>
    <row r="4918" spans="1:6" x14ac:dyDescent="0.55000000000000004">
      <c r="A4918" t="s">
        <v>144</v>
      </c>
      <c r="B4918" t="s">
        <v>62</v>
      </c>
      <c r="C4918">
        <v>6071</v>
      </c>
      <c r="D4918" t="s">
        <v>270</v>
      </c>
      <c r="E4918">
        <v>2022</v>
      </c>
      <c r="F4918">
        <v>10</v>
      </c>
    </row>
    <row r="4919" spans="1:6" x14ac:dyDescent="0.55000000000000004">
      <c r="A4919" t="s">
        <v>144</v>
      </c>
      <c r="B4919" t="s">
        <v>63</v>
      </c>
      <c r="C4919">
        <v>0</v>
      </c>
      <c r="D4919" t="s">
        <v>270</v>
      </c>
      <c r="E4919">
        <v>2022</v>
      </c>
      <c r="F4919">
        <v>10</v>
      </c>
    </row>
    <row r="4920" spans="1:6" x14ac:dyDescent="0.55000000000000004">
      <c r="A4920" t="s">
        <v>145</v>
      </c>
      <c r="B4920" t="s">
        <v>4</v>
      </c>
      <c r="C4920">
        <v>10208222.981799999</v>
      </c>
      <c r="D4920" t="s">
        <v>271</v>
      </c>
      <c r="E4920">
        <v>2022</v>
      </c>
      <c r="F4920">
        <v>11</v>
      </c>
    </row>
    <row r="4921" spans="1:6" x14ac:dyDescent="0.55000000000000004">
      <c r="A4921" t="s">
        <v>145</v>
      </c>
      <c r="B4921" t="s">
        <v>5</v>
      </c>
      <c r="C4921">
        <v>960381.10849999997</v>
      </c>
      <c r="D4921" t="s">
        <v>271</v>
      </c>
      <c r="E4921">
        <v>2022</v>
      </c>
      <c r="F4921">
        <v>11</v>
      </c>
    </row>
    <row r="4922" spans="1:6" x14ac:dyDescent="0.55000000000000004">
      <c r="A4922" t="s">
        <v>145</v>
      </c>
      <c r="B4922" t="s">
        <v>6</v>
      </c>
      <c r="C4922">
        <v>1385038.9904</v>
      </c>
      <c r="D4922" t="s">
        <v>271</v>
      </c>
      <c r="E4922">
        <v>2022</v>
      </c>
      <c r="F4922">
        <v>11</v>
      </c>
    </row>
    <row r="4923" spans="1:6" x14ac:dyDescent="0.55000000000000004">
      <c r="A4923" t="s">
        <v>145</v>
      </c>
      <c r="B4923" t="s">
        <v>7</v>
      </c>
      <c r="C4923">
        <v>3799198.2697999999</v>
      </c>
      <c r="D4923" t="s">
        <v>271</v>
      </c>
      <c r="E4923">
        <v>2022</v>
      </c>
      <c r="F4923">
        <v>11</v>
      </c>
    </row>
    <row r="4924" spans="1:6" x14ac:dyDescent="0.55000000000000004">
      <c r="A4924" t="s">
        <v>145</v>
      </c>
      <c r="B4924" t="s">
        <v>8</v>
      </c>
      <c r="C4924">
        <v>4063604.6131000002</v>
      </c>
      <c r="D4924" t="s">
        <v>271</v>
      </c>
      <c r="E4924">
        <v>2022</v>
      </c>
      <c r="F4924">
        <v>11</v>
      </c>
    </row>
    <row r="4925" spans="1:6" x14ac:dyDescent="0.55000000000000004">
      <c r="A4925" t="s">
        <v>145</v>
      </c>
      <c r="B4925" t="s">
        <v>9</v>
      </c>
      <c r="C4925">
        <v>0</v>
      </c>
      <c r="D4925" t="s">
        <v>271</v>
      </c>
      <c r="E4925">
        <v>2022</v>
      </c>
      <c r="F4925">
        <v>11</v>
      </c>
    </row>
    <row r="4926" spans="1:6" x14ac:dyDescent="0.55000000000000004">
      <c r="A4926" t="s">
        <v>145</v>
      </c>
      <c r="B4926" t="s">
        <v>10</v>
      </c>
      <c r="C4926">
        <v>5457.67</v>
      </c>
      <c r="D4926" t="s">
        <v>271</v>
      </c>
      <c r="E4926">
        <v>2022</v>
      </c>
      <c r="F4926">
        <v>11</v>
      </c>
    </row>
    <row r="4927" spans="1:6" x14ac:dyDescent="0.55000000000000004">
      <c r="A4927" t="s">
        <v>145</v>
      </c>
      <c r="B4927" t="s">
        <v>11</v>
      </c>
      <c r="C4927">
        <v>3583957.5606</v>
      </c>
      <c r="D4927" t="s">
        <v>271</v>
      </c>
      <c r="E4927">
        <v>2022</v>
      </c>
      <c r="F4927">
        <v>11</v>
      </c>
    </row>
    <row r="4928" spans="1:6" x14ac:dyDescent="0.55000000000000004">
      <c r="A4928" t="s">
        <v>145</v>
      </c>
      <c r="B4928" t="s">
        <v>12</v>
      </c>
      <c r="C4928">
        <v>44961.333299999998</v>
      </c>
      <c r="D4928" t="s">
        <v>271</v>
      </c>
      <c r="E4928">
        <v>2022</v>
      </c>
      <c r="F4928">
        <v>11</v>
      </c>
    </row>
    <row r="4929" spans="1:6" x14ac:dyDescent="0.55000000000000004">
      <c r="A4929" t="s">
        <v>145</v>
      </c>
      <c r="B4929" t="s">
        <v>13</v>
      </c>
      <c r="C4929">
        <v>14024.0834</v>
      </c>
      <c r="D4929" t="s">
        <v>271</v>
      </c>
      <c r="E4929">
        <v>2022</v>
      </c>
      <c r="F4929">
        <v>11</v>
      </c>
    </row>
    <row r="4930" spans="1:6" x14ac:dyDescent="0.55000000000000004">
      <c r="A4930" t="s">
        <v>145</v>
      </c>
      <c r="B4930" t="s">
        <v>14</v>
      </c>
      <c r="C4930">
        <v>600</v>
      </c>
      <c r="D4930" t="s">
        <v>271</v>
      </c>
      <c r="E4930">
        <v>2022</v>
      </c>
      <c r="F4930">
        <v>11</v>
      </c>
    </row>
    <row r="4931" spans="1:6" x14ac:dyDescent="0.55000000000000004">
      <c r="A4931" t="s">
        <v>145</v>
      </c>
      <c r="B4931" t="s">
        <v>15</v>
      </c>
      <c r="C4931">
        <v>868172.13789999997</v>
      </c>
      <c r="D4931" t="s">
        <v>271</v>
      </c>
      <c r="E4931">
        <v>2022</v>
      </c>
      <c r="F4931">
        <v>11</v>
      </c>
    </row>
    <row r="4932" spans="1:6" x14ac:dyDescent="0.55000000000000004">
      <c r="A4932" t="s">
        <v>145</v>
      </c>
      <c r="B4932" t="s">
        <v>16</v>
      </c>
      <c r="C4932">
        <v>0.82650000000000001</v>
      </c>
      <c r="D4932" t="s">
        <v>271</v>
      </c>
      <c r="E4932">
        <v>2022</v>
      </c>
      <c r="F4932">
        <v>11</v>
      </c>
    </row>
    <row r="4933" spans="1:6" x14ac:dyDescent="0.55000000000000004">
      <c r="A4933" t="s">
        <v>145</v>
      </c>
      <c r="B4933" t="s">
        <v>17</v>
      </c>
      <c r="C4933">
        <v>9600.6458000000002</v>
      </c>
      <c r="D4933" t="s">
        <v>271</v>
      </c>
      <c r="E4933">
        <v>2022</v>
      </c>
      <c r="F4933">
        <v>11</v>
      </c>
    </row>
    <row r="4934" spans="1:6" x14ac:dyDescent="0.55000000000000004">
      <c r="A4934" t="s">
        <v>145</v>
      </c>
      <c r="B4934" t="s">
        <v>18</v>
      </c>
      <c r="C4934">
        <v>135732.15040000001</v>
      </c>
      <c r="D4934" t="s">
        <v>271</v>
      </c>
      <c r="E4934">
        <v>2022</v>
      </c>
      <c r="F4934">
        <v>11</v>
      </c>
    </row>
    <row r="4935" spans="1:6" x14ac:dyDescent="0.55000000000000004">
      <c r="A4935" t="s">
        <v>145</v>
      </c>
      <c r="B4935" t="s">
        <v>19</v>
      </c>
      <c r="C4935">
        <v>1385.5616</v>
      </c>
      <c r="D4935" t="s">
        <v>271</v>
      </c>
      <c r="E4935">
        <v>2022</v>
      </c>
      <c r="F4935">
        <v>11</v>
      </c>
    </row>
    <row r="4936" spans="1:6" x14ac:dyDescent="0.55000000000000004">
      <c r="A4936" t="s">
        <v>145</v>
      </c>
      <c r="B4936" t="s">
        <v>20</v>
      </c>
      <c r="C4936">
        <v>14200</v>
      </c>
      <c r="D4936" t="s">
        <v>271</v>
      </c>
      <c r="E4936">
        <v>2022</v>
      </c>
      <c r="F4936">
        <v>11</v>
      </c>
    </row>
    <row r="4937" spans="1:6" x14ac:dyDescent="0.55000000000000004">
      <c r="A4937" t="s">
        <v>145</v>
      </c>
      <c r="B4937" t="s">
        <v>21</v>
      </c>
      <c r="C4937">
        <v>17104.928599999999</v>
      </c>
      <c r="D4937" t="s">
        <v>271</v>
      </c>
      <c r="E4937">
        <v>2022</v>
      </c>
      <c r="F4937">
        <v>11</v>
      </c>
    </row>
    <row r="4938" spans="1:6" x14ac:dyDescent="0.55000000000000004">
      <c r="A4938" t="s">
        <v>145</v>
      </c>
      <c r="B4938" t="s">
        <v>22</v>
      </c>
      <c r="C4938">
        <v>56349.277999999998</v>
      </c>
      <c r="D4938" t="s">
        <v>271</v>
      </c>
      <c r="E4938">
        <v>2022</v>
      </c>
      <c r="F4938">
        <v>11</v>
      </c>
    </row>
    <row r="4939" spans="1:6" x14ac:dyDescent="0.55000000000000004">
      <c r="A4939" t="s">
        <v>145</v>
      </c>
      <c r="B4939" t="s">
        <v>23</v>
      </c>
      <c r="C4939">
        <v>8444.4707999999991</v>
      </c>
      <c r="D4939" t="s">
        <v>271</v>
      </c>
      <c r="E4939">
        <v>2022</v>
      </c>
      <c r="F4939">
        <v>11</v>
      </c>
    </row>
    <row r="4940" spans="1:6" x14ac:dyDescent="0.55000000000000004">
      <c r="A4940" t="s">
        <v>145</v>
      </c>
      <c r="B4940" t="s">
        <v>24</v>
      </c>
      <c r="C4940">
        <v>0</v>
      </c>
      <c r="D4940" t="s">
        <v>271</v>
      </c>
      <c r="E4940">
        <v>2022</v>
      </c>
      <c r="F4940">
        <v>11</v>
      </c>
    </row>
    <row r="4941" spans="1:6" x14ac:dyDescent="0.55000000000000004">
      <c r="A4941" t="s">
        <v>145</v>
      </c>
      <c r="B4941" t="s">
        <v>25</v>
      </c>
      <c r="C4941">
        <v>299760.8</v>
      </c>
      <c r="D4941" t="s">
        <v>271</v>
      </c>
      <c r="E4941">
        <v>2022</v>
      </c>
      <c r="F4941">
        <v>11</v>
      </c>
    </row>
    <row r="4942" spans="1:6" x14ac:dyDescent="0.55000000000000004">
      <c r="A4942" t="s">
        <v>145</v>
      </c>
      <c r="B4942" t="s">
        <v>26</v>
      </c>
      <c r="C4942">
        <v>0</v>
      </c>
      <c r="D4942" t="s">
        <v>271</v>
      </c>
      <c r="E4942">
        <v>2022</v>
      </c>
      <c r="F4942">
        <v>11</v>
      </c>
    </row>
    <row r="4943" spans="1:6" x14ac:dyDescent="0.55000000000000004">
      <c r="A4943" t="s">
        <v>145</v>
      </c>
      <c r="B4943" t="s">
        <v>27</v>
      </c>
      <c r="C4943">
        <v>463.09300000000002</v>
      </c>
      <c r="D4943" t="s">
        <v>271</v>
      </c>
      <c r="E4943">
        <v>2022</v>
      </c>
      <c r="F4943">
        <v>11</v>
      </c>
    </row>
    <row r="4944" spans="1:6" x14ac:dyDescent="0.55000000000000004">
      <c r="A4944" t="s">
        <v>145</v>
      </c>
      <c r="B4944" t="s">
        <v>28</v>
      </c>
      <c r="C4944">
        <v>37313.063099999999</v>
      </c>
      <c r="D4944" t="s">
        <v>271</v>
      </c>
      <c r="E4944">
        <v>2022</v>
      </c>
      <c r="F4944">
        <v>11</v>
      </c>
    </row>
    <row r="4945" spans="1:6" x14ac:dyDescent="0.55000000000000004">
      <c r="A4945" t="s">
        <v>145</v>
      </c>
      <c r="B4945" t="s">
        <v>29</v>
      </c>
      <c r="C4945">
        <v>0</v>
      </c>
      <c r="D4945" t="s">
        <v>271</v>
      </c>
      <c r="E4945">
        <v>2022</v>
      </c>
      <c r="F4945">
        <v>11</v>
      </c>
    </row>
    <row r="4946" spans="1:6" x14ac:dyDescent="0.55000000000000004">
      <c r="A4946" t="s">
        <v>145</v>
      </c>
      <c r="B4946" t="s">
        <v>30</v>
      </c>
      <c r="C4946">
        <v>0</v>
      </c>
      <c r="D4946" t="s">
        <v>271</v>
      </c>
      <c r="E4946">
        <v>2022</v>
      </c>
      <c r="F4946">
        <v>11</v>
      </c>
    </row>
    <row r="4947" spans="1:6" x14ac:dyDescent="0.55000000000000004">
      <c r="A4947" t="s">
        <v>145</v>
      </c>
      <c r="B4947" t="s">
        <v>31</v>
      </c>
      <c r="C4947">
        <v>349.99990000000003</v>
      </c>
      <c r="D4947" t="s">
        <v>271</v>
      </c>
      <c r="E4947">
        <v>2022</v>
      </c>
      <c r="F4947">
        <v>11</v>
      </c>
    </row>
    <row r="4948" spans="1:6" x14ac:dyDescent="0.55000000000000004">
      <c r="A4948" t="s">
        <v>145</v>
      </c>
      <c r="B4948" t="s">
        <v>32</v>
      </c>
      <c r="C4948">
        <v>52022.94</v>
      </c>
      <c r="D4948" t="s">
        <v>271</v>
      </c>
      <c r="E4948">
        <v>2022</v>
      </c>
      <c r="F4948">
        <v>11</v>
      </c>
    </row>
    <row r="4949" spans="1:6" x14ac:dyDescent="0.55000000000000004">
      <c r="A4949" t="s">
        <v>145</v>
      </c>
      <c r="B4949" t="s">
        <v>33</v>
      </c>
      <c r="C4949">
        <v>448999.47840000002</v>
      </c>
      <c r="D4949" t="s">
        <v>271</v>
      </c>
      <c r="E4949">
        <v>2022</v>
      </c>
      <c r="F4949">
        <v>11</v>
      </c>
    </row>
    <row r="4950" spans="1:6" x14ac:dyDescent="0.55000000000000004">
      <c r="A4950" t="s">
        <v>145</v>
      </c>
      <c r="B4950" t="s">
        <v>34</v>
      </c>
      <c r="C4950">
        <v>885319.94499999995</v>
      </c>
      <c r="D4950" t="s">
        <v>271</v>
      </c>
      <c r="E4950">
        <v>2022</v>
      </c>
      <c r="F4950">
        <v>11</v>
      </c>
    </row>
    <row r="4951" spans="1:6" x14ac:dyDescent="0.55000000000000004">
      <c r="A4951" t="s">
        <v>145</v>
      </c>
      <c r="B4951" t="s">
        <v>35</v>
      </c>
      <c r="C4951">
        <v>440.01580000000001</v>
      </c>
      <c r="D4951" t="s">
        <v>271</v>
      </c>
      <c r="E4951">
        <v>2022</v>
      </c>
      <c r="F4951">
        <v>11</v>
      </c>
    </row>
    <row r="4952" spans="1:6" x14ac:dyDescent="0.55000000000000004">
      <c r="A4952" t="s">
        <v>145</v>
      </c>
      <c r="B4952" t="s">
        <v>36</v>
      </c>
      <c r="C4952">
        <v>45133.140599999999</v>
      </c>
      <c r="D4952" t="s">
        <v>271</v>
      </c>
      <c r="E4952">
        <v>2022</v>
      </c>
      <c r="F4952">
        <v>11</v>
      </c>
    </row>
    <row r="4953" spans="1:6" x14ac:dyDescent="0.55000000000000004">
      <c r="A4953" t="s">
        <v>145</v>
      </c>
      <c r="B4953" t="s">
        <v>37</v>
      </c>
      <c r="C4953">
        <v>76300.004000000001</v>
      </c>
      <c r="D4953" t="s">
        <v>271</v>
      </c>
      <c r="E4953">
        <v>2022</v>
      </c>
      <c r="F4953">
        <v>11</v>
      </c>
    </row>
    <row r="4954" spans="1:6" x14ac:dyDescent="0.55000000000000004">
      <c r="A4954" t="s">
        <v>145</v>
      </c>
      <c r="B4954" t="s">
        <v>38</v>
      </c>
      <c r="C4954">
        <v>0</v>
      </c>
      <c r="D4954" t="s">
        <v>271</v>
      </c>
      <c r="E4954">
        <v>2022</v>
      </c>
      <c r="F4954">
        <v>11</v>
      </c>
    </row>
    <row r="4955" spans="1:6" x14ac:dyDescent="0.55000000000000004">
      <c r="A4955" t="s">
        <v>145</v>
      </c>
      <c r="B4955" t="s">
        <v>39</v>
      </c>
      <c r="C4955">
        <v>0</v>
      </c>
      <c r="D4955" t="s">
        <v>271</v>
      </c>
      <c r="E4955">
        <v>2022</v>
      </c>
      <c r="F4955">
        <v>11</v>
      </c>
    </row>
    <row r="4956" spans="1:6" x14ac:dyDescent="0.55000000000000004">
      <c r="A4956" t="s">
        <v>145</v>
      </c>
      <c r="B4956" t="s">
        <v>40</v>
      </c>
      <c r="C4956">
        <v>768.19870000000003</v>
      </c>
      <c r="D4956" t="s">
        <v>271</v>
      </c>
      <c r="E4956">
        <v>2022</v>
      </c>
      <c r="F4956">
        <v>11</v>
      </c>
    </row>
    <row r="4957" spans="1:6" x14ac:dyDescent="0.55000000000000004">
      <c r="A4957" t="s">
        <v>145</v>
      </c>
      <c r="B4957" t="s">
        <v>41</v>
      </c>
      <c r="C4957">
        <v>159200.0148</v>
      </c>
      <c r="D4957" t="s">
        <v>271</v>
      </c>
      <c r="E4957">
        <v>2022</v>
      </c>
      <c r="F4957">
        <v>11</v>
      </c>
    </row>
    <row r="4958" spans="1:6" x14ac:dyDescent="0.55000000000000004">
      <c r="A4958" t="s">
        <v>145</v>
      </c>
      <c r="B4958" t="s">
        <v>42</v>
      </c>
      <c r="C4958">
        <v>22.711300000000001</v>
      </c>
      <c r="D4958" t="s">
        <v>271</v>
      </c>
      <c r="E4958">
        <v>2022</v>
      </c>
      <c r="F4958">
        <v>11</v>
      </c>
    </row>
    <row r="4959" spans="1:6" x14ac:dyDescent="0.55000000000000004">
      <c r="A4959" t="s">
        <v>145</v>
      </c>
      <c r="B4959" t="s">
        <v>43</v>
      </c>
      <c r="C4959">
        <v>66725.985700000005</v>
      </c>
      <c r="D4959" t="s">
        <v>271</v>
      </c>
      <c r="E4959">
        <v>2022</v>
      </c>
      <c r="F4959">
        <v>11</v>
      </c>
    </row>
    <row r="4960" spans="1:6" x14ac:dyDescent="0.55000000000000004">
      <c r="A4960" t="s">
        <v>145</v>
      </c>
      <c r="B4960" t="s">
        <v>44</v>
      </c>
      <c r="C4960">
        <v>0</v>
      </c>
      <c r="D4960" t="s">
        <v>271</v>
      </c>
      <c r="E4960">
        <v>2022</v>
      </c>
      <c r="F4960">
        <v>11</v>
      </c>
    </row>
    <row r="4961" spans="1:6" x14ac:dyDescent="0.55000000000000004">
      <c r="A4961" t="s">
        <v>145</v>
      </c>
      <c r="B4961" t="s">
        <v>45</v>
      </c>
      <c r="C4961">
        <v>1693.4609</v>
      </c>
      <c r="D4961" t="s">
        <v>271</v>
      </c>
      <c r="E4961">
        <v>2022</v>
      </c>
      <c r="F4961">
        <v>11</v>
      </c>
    </row>
    <row r="4962" spans="1:6" x14ac:dyDescent="0.55000000000000004">
      <c r="A4962" t="s">
        <v>145</v>
      </c>
      <c r="B4962" t="s">
        <v>46</v>
      </c>
      <c r="C4962">
        <v>152587.35999999999</v>
      </c>
      <c r="D4962" t="s">
        <v>271</v>
      </c>
      <c r="E4962">
        <v>2022</v>
      </c>
      <c r="F4962">
        <v>11</v>
      </c>
    </row>
    <row r="4963" spans="1:6" x14ac:dyDescent="0.55000000000000004">
      <c r="A4963" t="s">
        <v>145</v>
      </c>
      <c r="B4963" t="s">
        <v>47</v>
      </c>
      <c r="C4963">
        <v>0</v>
      </c>
      <c r="D4963" t="s">
        <v>271</v>
      </c>
      <c r="E4963">
        <v>2022</v>
      </c>
      <c r="F4963">
        <v>11</v>
      </c>
    </row>
    <row r="4964" spans="1:6" x14ac:dyDescent="0.55000000000000004">
      <c r="A4964" t="s">
        <v>145</v>
      </c>
      <c r="B4964" t="s">
        <v>48</v>
      </c>
      <c r="C4964">
        <v>353250.51799999998</v>
      </c>
      <c r="D4964" t="s">
        <v>271</v>
      </c>
      <c r="E4964">
        <v>2022</v>
      </c>
      <c r="F4964">
        <v>11</v>
      </c>
    </row>
    <row r="4965" spans="1:6" x14ac:dyDescent="0.55000000000000004">
      <c r="A4965" t="s">
        <v>145</v>
      </c>
      <c r="B4965" t="s">
        <v>49</v>
      </c>
      <c r="C4965">
        <v>322.49720000000002</v>
      </c>
      <c r="D4965" t="s">
        <v>271</v>
      </c>
      <c r="E4965">
        <v>2022</v>
      </c>
      <c r="F4965">
        <v>11</v>
      </c>
    </row>
    <row r="4966" spans="1:6" x14ac:dyDescent="0.55000000000000004">
      <c r="A4966" t="s">
        <v>145</v>
      </c>
      <c r="B4966" t="s">
        <v>50</v>
      </c>
      <c r="C4966">
        <v>48210.003400000001</v>
      </c>
      <c r="D4966" t="s">
        <v>271</v>
      </c>
      <c r="E4966">
        <v>2022</v>
      </c>
      <c r="F4966">
        <v>11</v>
      </c>
    </row>
    <row r="4967" spans="1:6" x14ac:dyDescent="0.55000000000000004">
      <c r="A4967" t="s">
        <v>145</v>
      </c>
      <c r="B4967" t="s">
        <v>51</v>
      </c>
      <c r="C4967">
        <v>1800</v>
      </c>
      <c r="D4967" t="s">
        <v>271</v>
      </c>
      <c r="E4967">
        <v>2022</v>
      </c>
      <c r="F4967">
        <v>11</v>
      </c>
    </row>
    <row r="4968" spans="1:6" x14ac:dyDescent="0.55000000000000004">
      <c r="A4968" t="s">
        <v>145</v>
      </c>
      <c r="B4968" t="s">
        <v>52</v>
      </c>
      <c r="C4968">
        <v>46.8919</v>
      </c>
      <c r="D4968" t="s">
        <v>271</v>
      </c>
      <c r="E4968">
        <v>2022</v>
      </c>
      <c r="F4968">
        <v>11</v>
      </c>
    </row>
    <row r="4969" spans="1:6" x14ac:dyDescent="0.55000000000000004">
      <c r="A4969" t="s">
        <v>145</v>
      </c>
      <c r="B4969" t="s">
        <v>53</v>
      </c>
      <c r="C4969">
        <v>118493.47</v>
      </c>
      <c r="D4969" t="s">
        <v>271</v>
      </c>
      <c r="E4969">
        <v>2022</v>
      </c>
      <c r="F4969">
        <v>11</v>
      </c>
    </row>
    <row r="4970" spans="1:6" x14ac:dyDescent="0.55000000000000004">
      <c r="A4970" t="s">
        <v>145</v>
      </c>
      <c r="B4970" t="s">
        <v>54</v>
      </c>
      <c r="C4970">
        <v>19733.086800000001</v>
      </c>
      <c r="D4970" t="s">
        <v>271</v>
      </c>
      <c r="E4970">
        <v>2022</v>
      </c>
      <c r="F4970">
        <v>11</v>
      </c>
    </row>
    <row r="4971" spans="1:6" x14ac:dyDescent="0.55000000000000004">
      <c r="A4971" t="s">
        <v>145</v>
      </c>
      <c r="B4971" t="s">
        <v>55</v>
      </c>
      <c r="C4971">
        <v>10200</v>
      </c>
      <c r="D4971" t="s">
        <v>271</v>
      </c>
      <c r="E4971">
        <v>2022</v>
      </c>
      <c r="F4971">
        <v>11</v>
      </c>
    </row>
    <row r="4972" spans="1:6" x14ac:dyDescent="0.55000000000000004">
      <c r="A4972" t="s">
        <v>145</v>
      </c>
      <c r="B4972" t="s">
        <v>56</v>
      </c>
      <c r="C4972">
        <v>1691.0166999999999</v>
      </c>
      <c r="D4972" t="s">
        <v>271</v>
      </c>
      <c r="E4972">
        <v>2022</v>
      </c>
      <c r="F4972">
        <v>11</v>
      </c>
    </row>
    <row r="4973" spans="1:6" x14ac:dyDescent="0.55000000000000004">
      <c r="A4973" t="s">
        <v>145</v>
      </c>
      <c r="B4973" t="s">
        <v>57</v>
      </c>
      <c r="C4973">
        <v>154.3861</v>
      </c>
      <c r="D4973" t="s">
        <v>271</v>
      </c>
      <c r="E4973">
        <v>2022</v>
      </c>
      <c r="F4973">
        <v>11</v>
      </c>
    </row>
    <row r="4974" spans="1:6" x14ac:dyDescent="0.55000000000000004">
      <c r="A4974" t="s">
        <v>145</v>
      </c>
      <c r="B4974" t="s">
        <v>58</v>
      </c>
      <c r="C4974">
        <v>447162.01</v>
      </c>
      <c r="D4974" t="s">
        <v>271</v>
      </c>
      <c r="E4974">
        <v>2022</v>
      </c>
      <c r="F4974">
        <v>11</v>
      </c>
    </row>
    <row r="4975" spans="1:6" x14ac:dyDescent="0.55000000000000004">
      <c r="A4975" t="s">
        <v>145</v>
      </c>
      <c r="B4975" t="s">
        <v>59</v>
      </c>
      <c r="C4975">
        <v>6000</v>
      </c>
      <c r="D4975" t="s">
        <v>271</v>
      </c>
      <c r="E4975">
        <v>2022</v>
      </c>
      <c r="F4975">
        <v>11</v>
      </c>
    </row>
    <row r="4976" spans="1:6" x14ac:dyDescent="0.55000000000000004">
      <c r="A4976" t="s">
        <v>145</v>
      </c>
      <c r="B4976" t="s">
        <v>60</v>
      </c>
      <c r="C4976">
        <v>2203999.9903000002</v>
      </c>
      <c r="D4976" t="s">
        <v>271</v>
      </c>
      <c r="E4976">
        <v>2022</v>
      </c>
      <c r="F4976">
        <v>11</v>
      </c>
    </row>
    <row r="4977" spans="1:6" x14ac:dyDescent="0.55000000000000004">
      <c r="A4977" t="s">
        <v>145</v>
      </c>
      <c r="B4977" t="s">
        <v>61</v>
      </c>
      <c r="C4977">
        <v>5100.0033000000003</v>
      </c>
      <c r="D4977" t="s">
        <v>271</v>
      </c>
      <c r="E4977">
        <v>2022</v>
      </c>
      <c r="F4977">
        <v>11</v>
      </c>
    </row>
    <row r="4978" spans="1:6" x14ac:dyDescent="0.55000000000000004">
      <c r="A4978" t="s">
        <v>145</v>
      </c>
      <c r="B4978" t="s">
        <v>62</v>
      </c>
      <c r="C4978">
        <v>4968.25</v>
      </c>
      <c r="D4978" t="s">
        <v>271</v>
      </c>
      <c r="E4978">
        <v>2022</v>
      </c>
      <c r="F4978">
        <v>11</v>
      </c>
    </row>
    <row r="4979" spans="1:6" x14ac:dyDescent="0.55000000000000004">
      <c r="A4979" t="s">
        <v>145</v>
      </c>
      <c r="B4979" t="s">
        <v>63</v>
      </c>
      <c r="C4979">
        <v>0</v>
      </c>
      <c r="D4979" t="s">
        <v>271</v>
      </c>
      <c r="E4979">
        <v>2022</v>
      </c>
      <c r="F4979">
        <v>11</v>
      </c>
    </row>
    <row r="4980" spans="1:6" x14ac:dyDescent="0.55000000000000004">
      <c r="A4980" t="s">
        <v>146</v>
      </c>
      <c r="B4980" t="s">
        <v>4</v>
      </c>
      <c r="C4980">
        <v>10739767.406099999</v>
      </c>
      <c r="D4980" t="s">
        <v>272</v>
      </c>
      <c r="E4980">
        <v>2022</v>
      </c>
      <c r="F4980">
        <v>12</v>
      </c>
    </row>
    <row r="4981" spans="1:6" x14ac:dyDescent="0.55000000000000004">
      <c r="A4981" t="s">
        <v>146</v>
      </c>
      <c r="B4981" t="s">
        <v>5</v>
      </c>
      <c r="C4981">
        <v>1130594.8802</v>
      </c>
      <c r="D4981" t="s">
        <v>272</v>
      </c>
      <c r="E4981">
        <v>2022</v>
      </c>
      <c r="F4981">
        <v>12</v>
      </c>
    </row>
    <row r="4982" spans="1:6" x14ac:dyDescent="0.55000000000000004">
      <c r="A4982" t="s">
        <v>146</v>
      </c>
      <c r="B4982" t="s">
        <v>6</v>
      </c>
      <c r="C4982">
        <v>1495437.9783999999</v>
      </c>
      <c r="D4982" t="s">
        <v>272</v>
      </c>
      <c r="E4982">
        <v>2022</v>
      </c>
      <c r="F4982">
        <v>12</v>
      </c>
    </row>
    <row r="4983" spans="1:6" x14ac:dyDescent="0.55000000000000004">
      <c r="A4983" t="s">
        <v>146</v>
      </c>
      <c r="B4983" t="s">
        <v>7</v>
      </c>
      <c r="C4983">
        <v>3351655.6033000001</v>
      </c>
      <c r="D4983" t="s">
        <v>272</v>
      </c>
      <c r="E4983">
        <v>2022</v>
      </c>
      <c r="F4983">
        <v>12</v>
      </c>
    </row>
    <row r="4984" spans="1:6" x14ac:dyDescent="0.55000000000000004">
      <c r="A4984" t="s">
        <v>146</v>
      </c>
      <c r="B4984" t="s">
        <v>8</v>
      </c>
      <c r="C4984">
        <v>4762078.9441999998</v>
      </c>
      <c r="D4984" t="s">
        <v>272</v>
      </c>
      <c r="E4984">
        <v>2022</v>
      </c>
      <c r="F4984">
        <v>12</v>
      </c>
    </row>
    <row r="4985" spans="1:6" x14ac:dyDescent="0.55000000000000004">
      <c r="A4985" t="s">
        <v>146</v>
      </c>
      <c r="B4985" t="s">
        <v>9</v>
      </c>
      <c r="C4985">
        <v>2008.0453</v>
      </c>
      <c r="D4985" t="s">
        <v>272</v>
      </c>
      <c r="E4985">
        <v>2022</v>
      </c>
      <c r="F4985">
        <v>12</v>
      </c>
    </row>
    <row r="4986" spans="1:6" x14ac:dyDescent="0.55000000000000004">
      <c r="A4986" t="s">
        <v>146</v>
      </c>
      <c r="B4986" t="s">
        <v>10</v>
      </c>
      <c r="C4986">
        <v>5254.05</v>
      </c>
      <c r="D4986" t="s">
        <v>272</v>
      </c>
      <c r="E4986">
        <v>2022</v>
      </c>
      <c r="F4986">
        <v>12</v>
      </c>
    </row>
    <row r="4987" spans="1:6" x14ac:dyDescent="0.55000000000000004">
      <c r="A4987" t="s">
        <v>146</v>
      </c>
      <c r="B4987" t="s">
        <v>11</v>
      </c>
      <c r="C4987">
        <v>3137089.7341999998</v>
      </c>
      <c r="D4987" t="s">
        <v>272</v>
      </c>
      <c r="E4987">
        <v>2022</v>
      </c>
      <c r="F4987">
        <v>12</v>
      </c>
    </row>
    <row r="4988" spans="1:6" x14ac:dyDescent="0.55000000000000004">
      <c r="A4988" t="s">
        <v>146</v>
      </c>
      <c r="B4988" t="s">
        <v>12</v>
      </c>
      <c r="C4988">
        <v>48457.356699999997</v>
      </c>
      <c r="D4988" t="s">
        <v>272</v>
      </c>
      <c r="E4988">
        <v>2022</v>
      </c>
      <c r="F4988">
        <v>12</v>
      </c>
    </row>
    <row r="4989" spans="1:6" x14ac:dyDescent="0.55000000000000004">
      <c r="A4989" t="s">
        <v>146</v>
      </c>
      <c r="B4989" t="s">
        <v>13</v>
      </c>
      <c r="C4989">
        <v>1495</v>
      </c>
      <c r="D4989" t="s">
        <v>272</v>
      </c>
      <c r="E4989">
        <v>2022</v>
      </c>
      <c r="F4989">
        <v>12</v>
      </c>
    </row>
    <row r="4990" spans="1:6" x14ac:dyDescent="0.55000000000000004">
      <c r="A4990" t="s">
        <v>146</v>
      </c>
      <c r="B4990" t="s">
        <v>14</v>
      </c>
      <c r="C4990">
        <v>700</v>
      </c>
      <c r="D4990" t="s">
        <v>272</v>
      </c>
      <c r="E4990">
        <v>2022</v>
      </c>
      <c r="F4990">
        <v>12</v>
      </c>
    </row>
    <row r="4991" spans="1:6" x14ac:dyDescent="0.55000000000000004">
      <c r="A4991" t="s">
        <v>146</v>
      </c>
      <c r="B4991" t="s">
        <v>15</v>
      </c>
      <c r="C4991">
        <v>1046838.1755</v>
      </c>
      <c r="D4991" t="s">
        <v>272</v>
      </c>
      <c r="E4991">
        <v>2022</v>
      </c>
      <c r="F4991">
        <v>12</v>
      </c>
    </row>
    <row r="4992" spans="1:6" x14ac:dyDescent="0.55000000000000004">
      <c r="A4992" t="s">
        <v>146</v>
      </c>
      <c r="B4992" t="s">
        <v>16</v>
      </c>
      <c r="C4992">
        <v>0.82650000000000001</v>
      </c>
      <c r="D4992" t="s">
        <v>272</v>
      </c>
      <c r="E4992">
        <v>2022</v>
      </c>
      <c r="F4992">
        <v>12</v>
      </c>
    </row>
    <row r="4993" spans="1:6" x14ac:dyDescent="0.55000000000000004">
      <c r="A4993" t="s">
        <v>146</v>
      </c>
      <c r="B4993" t="s">
        <v>17</v>
      </c>
      <c r="C4993">
        <v>31847.51</v>
      </c>
      <c r="D4993" t="s">
        <v>272</v>
      </c>
      <c r="E4993">
        <v>2022</v>
      </c>
      <c r="F4993">
        <v>12</v>
      </c>
    </row>
    <row r="4994" spans="1:6" x14ac:dyDescent="0.55000000000000004">
      <c r="A4994" t="s">
        <v>146</v>
      </c>
      <c r="B4994" t="s">
        <v>18</v>
      </c>
      <c r="C4994">
        <v>29166.083500000001</v>
      </c>
      <c r="D4994" t="s">
        <v>272</v>
      </c>
      <c r="E4994">
        <v>2022</v>
      </c>
      <c r="F4994">
        <v>12</v>
      </c>
    </row>
    <row r="4995" spans="1:6" x14ac:dyDescent="0.55000000000000004">
      <c r="A4995" t="s">
        <v>146</v>
      </c>
      <c r="B4995" t="s">
        <v>19</v>
      </c>
      <c r="C4995">
        <v>1385.5616</v>
      </c>
      <c r="D4995" t="s">
        <v>272</v>
      </c>
      <c r="E4995">
        <v>2022</v>
      </c>
      <c r="F4995">
        <v>12</v>
      </c>
    </row>
    <row r="4996" spans="1:6" x14ac:dyDescent="0.55000000000000004">
      <c r="A4996" t="s">
        <v>146</v>
      </c>
      <c r="B4996" t="s">
        <v>20</v>
      </c>
      <c r="C4996">
        <v>11000</v>
      </c>
      <c r="D4996" t="s">
        <v>272</v>
      </c>
      <c r="E4996">
        <v>2022</v>
      </c>
      <c r="F4996">
        <v>12</v>
      </c>
    </row>
    <row r="4997" spans="1:6" x14ac:dyDescent="0.55000000000000004">
      <c r="A4997" t="s">
        <v>146</v>
      </c>
      <c r="B4997" t="s">
        <v>21</v>
      </c>
      <c r="C4997">
        <v>9351.7674000000006</v>
      </c>
      <c r="D4997" t="s">
        <v>272</v>
      </c>
      <c r="E4997">
        <v>2022</v>
      </c>
      <c r="F4997">
        <v>12</v>
      </c>
    </row>
    <row r="4998" spans="1:6" x14ac:dyDescent="0.55000000000000004">
      <c r="A4998" t="s">
        <v>146</v>
      </c>
      <c r="B4998" t="s">
        <v>22</v>
      </c>
      <c r="C4998">
        <v>57599.186000000002</v>
      </c>
      <c r="D4998" t="s">
        <v>272</v>
      </c>
      <c r="E4998">
        <v>2022</v>
      </c>
      <c r="F4998">
        <v>12</v>
      </c>
    </row>
    <row r="4999" spans="1:6" x14ac:dyDescent="0.55000000000000004">
      <c r="A4999" t="s">
        <v>146</v>
      </c>
      <c r="B4999" t="s">
        <v>23</v>
      </c>
      <c r="C4999">
        <v>19366.312699999999</v>
      </c>
      <c r="D4999" t="s">
        <v>272</v>
      </c>
      <c r="E4999">
        <v>2022</v>
      </c>
      <c r="F4999">
        <v>12</v>
      </c>
    </row>
    <row r="5000" spans="1:6" x14ac:dyDescent="0.55000000000000004">
      <c r="A5000" t="s">
        <v>146</v>
      </c>
      <c r="B5000" t="s">
        <v>24</v>
      </c>
      <c r="C5000">
        <v>0</v>
      </c>
      <c r="D5000" t="s">
        <v>272</v>
      </c>
      <c r="E5000">
        <v>2022</v>
      </c>
      <c r="F5000">
        <v>12</v>
      </c>
    </row>
    <row r="5001" spans="1:6" x14ac:dyDescent="0.55000000000000004">
      <c r="A5001" t="s">
        <v>146</v>
      </c>
      <c r="B5001" t="s">
        <v>25</v>
      </c>
      <c r="C5001">
        <v>230631.7</v>
      </c>
      <c r="D5001" t="s">
        <v>272</v>
      </c>
      <c r="E5001">
        <v>2022</v>
      </c>
      <c r="F5001">
        <v>12</v>
      </c>
    </row>
    <row r="5002" spans="1:6" x14ac:dyDescent="0.55000000000000004">
      <c r="A5002" t="s">
        <v>146</v>
      </c>
      <c r="B5002" t="s">
        <v>26</v>
      </c>
      <c r="C5002">
        <v>0</v>
      </c>
      <c r="D5002" t="s">
        <v>272</v>
      </c>
      <c r="E5002">
        <v>2022</v>
      </c>
      <c r="F5002">
        <v>12</v>
      </c>
    </row>
    <row r="5003" spans="1:6" x14ac:dyDescent="0.55000000000000004">
      <c r="A5003" t="s">
        <v>146</v>
      </c>
      <c r="B5003" t="s">
        <v>27</v>
      </c>
      <c r="C5003">
        <v>326.69069999999999</v>
      </c>
      <c r="D5003" t="s">
        <v>272</v>
      </c>
      <c r="E5003">
        <v>2022</v>
      </c>
      <c r="F5003">
        <v>12</v>
      </c>
    </row>
    <row r="5004" spans="1:6" x14ac:dyDescent="0.55000000000000004">
      <c r="A5004" t="s">
        <v>146</v>
      </c>
      <c r="B5004" t="s">
        <v>28</v>
      </c>
      <c r="C5004">
        <v>68928.638999999996</v>
      </c>
      <c r="D5004" t="s">
        <v>272</v>
      </c>
      <c r="E5004">
        <v>2022</v>
      </c>
      <c r="F5004">
        <v>12</v>
      </c>
    </row>
    <row r="5005" spans="1:6" x14ac:dyDescent="0.55000000000000004">
      <c r="A5005" t="s">
        <v>146</v>
      </c>
      <c r="B5005" t="s">
        <v>29</v>
      </c>
      <c r="C5005">
        <v>0</v>
      </c>
      <c r="D5005" t="s">
        <v>272</v>
      </c>
      <c r="E5005">
        <v>2022</v>
      </c>
      <c r="F5005">
        <v>12</v>
      </c>
    </row>
    <row r="5006" spans="1:6" x14ac:dyDescent="0.55000000000000004">
      <c r="A5006" t="s">
        <v>146</v>
      </c>
      <c r="B5006" t="s">
        <v>30</v>
      </c>
      <c r="C5006">
        <v>0</v>
      </c>
      <c r="D5006" t="s">
        <v>272</v>
      </c>
      <c r="E5006">
        <v>2022</v>
      </c>
      <c r="F5006">
        <v>12</v>
      </c>
    </row>
    <row r="5007" spans="1:6" x14ac:dyDescent="0.55000000000000004">
      <c r="A5007" t="s">
        <v>146</v>
      </c>
      <c r="B5007" t="s">
        <v>31</v>
      </c>
      <c r="C5007">
        <v>260</v>
      </c>
      <c r="D5007" t="s">
        <v>272</v>
      </c>
      <c r="E5007">
        <v>2022</v>
      </c>
      <c r="F5007">
        <v>12</v>
      </c>
    </row>
    <row r="5008" spans="1:6" x14ac:dyDescent="0.55000000000000004">
      <c r="A5008" t="s">
        <v>146</v>
      </c>
      <c r="B5008" t="s">
        <v>32</v>
      </c>
      <c r="C5008">
        <v>196304.68</v>
      </c>
      <c r="D5008" t="s">
        <v>272</v>
      </c>
      <c r="E5008">
        <v>2022</v>
      </c>
      <c r="F5008">
        <v>12</v>
      </c>
    </row>
    <row r="5009" spans="1:6" x14ac:dyDescent="0.55000000000000004">
      <c r="A5009" t="s">
        <v>146</v>
      </c>
      <c r="B5009" t="s">
        <v>33</v>
      </c>
      <c r="C5009">
        <v>417056.58260000002</v>
      </c>
      <c r="D5009" t="s">
        <v>272</v>
      </c>
      <c r="E5009">
        <v>2022</v>
      </c>
      <c r="F5009">
        <v>12</v>
      </c>
    </row>
    <row r="5010" spans="1:6" x14ac:dyDescent="0.55000000000000004">
      <c r="A5010" t="s">
        <v>146</v>
      </c>
      <c r="B5010" t="s">
        <v>34</v>
      </c>
      <c r="C5010">
        <v>687525.57079999999</v>
      </c>
      <c r="D5010" t="s">
        <v>272</v>
      </c>
      <c r="E5010">
        <v>2022</v>
      </c>
      <c r="F5010">
        <v>12</v>
      </c>
    </row>
    <row r="5011" spans="1:6" x14ac:dyDescent="0.55000000000000004">
      <c r="A5011" t="s">
        <v>146</v>
      </c>
      <c r="B5011" t="s">
        <v>35</v>
      </c>
      <c r="C5011">
        <v>1010.7924</v>
      </c>
      <c r="D5011" t="s">
        <v>272</v>
      </c>
      <c r="E5011">
        <v>2022</v>
      </c>
      <c r="F5011">
        <v>12</v>
      </c>
    </row>
    <row r="5012" spans="1:6" x14ac:dyDescent="0.55000000000000004">
      <c r="A5012" t="s">
        <v>146</v>
      </c>
      <c r="B5012" t="s">
        <v>36</v>
      </c>
      <c r="C5012">
        <v>29991.414700000001</v>
      </c>
      <c r="D5012" t="s">
        <v>272</v>
      </c>
      <c r="E5012">
        <v>2022</v>
      </c>
      <c r="F5012">
        <v>12</v>
      </c>
    </row>
    <row r="5013" spans="1:6" x14ac:dyDescent="0.55000000000000004">
      <c r="A5013" t="s">
        <v>146</v>
      </c>
      <c r="B5013" t="s">
        <v>37</v>
      </c>
      <c r="C5013">
        <v>42599.996700000003</v>
      </c>
      <c r="D5013" t="s">
        <v>272</v>
      </c>
      <c r="E5013">
        <v>2022</v>
      </c>
      <c r="F5013">
        <v>12</v>
      </c>
    </row>
    <row r="5014" spans="1:6" x14ac:dyDescent="0.55000000000000004">
      <c r="A5014" t="s">
        <v>146</v>
      </c>
      <c r="B5014" t="s">
        <v>38</v>
      </c>
      <c r="C5014">
        <v>0</v>
      </c>
      <c r="D5014" t="s">
        <v>272</v>
      </c>
      <c r="E5014">
        <v>2022</v>
      </c>
      <c r="F5014">
        <v>12</v>
      </c>
    </row>
    <row r="5015" spans="1:6" x14ac:dyDescent="0.55000000000000004">
      <c r="A5015" t="s">
        <v>146</v>
      </c>
      <c r="B5015" t="s">
        <v>39</v>
      </c>
      <c r="C5015">
        <v>4.9767000000000001</v>
      </c>
      <c r="D5015" t="s">
        <v>272</v>
      </c>
      <c r="E5015">
        <v>2022</v>
      </c>
      <c r="F5015">
        <v>12</v>
      </c>
    </row>
    <row r="5016" spans="1:6" x14ac:dyDescent="0.55000000000000004">
      <c r="A5016" t="s">
        <v>146</v>
      </c>
      <c r="B5016" t="s">
        <v>40</v>
      </c>
      <c r="C5016">
        <v>768.19870000000003</v>
      </c>
      <c r="D5016" t="s">
        <v>272</v>
      </c>
      <c r="E5016">
        <v>2022</v>
      </c>
      <c r="F5016">
        <v>12</v>
      </c>
    </row>
    <row r="5017" spans="1:6" x14ac:dyDescent="0.55000000000000004">
      <c r="A5017" t="s">
        <v>146</v>
      </c>
      <c r="B5017" t="s">
        <v>41</v>
      </c>
      <c r="C5017">
        <v>144800.00820000001</v>
      </c>
      <c r="D5017" t="s">
        <v>272</v>
      </c>
      <c r="E5017">
        <v>2022</v>
      </c>
      <c r="F5017">
        <v>12</v>
      </c>
    </row>
    <row r="5018" spans="1:6" x14ac:dyDescent="0.55000000000000004">
      <c r="A5018" t="s">
        <v>146</v>
      </c>
      <c r="B5018" t="s">
        <v>42</v>
      </c>
      <c r="C5018">
        <v>61.746000000000002</v>
      </c>
      <c r="D5018" t="s">
        <v>272</v>
      </c>
      <c r="E5018">
        <v>2022</v>
      </c>
      <c r="F5018">
        <v>12</v>
      </c>
    </row>
    <row r="5019" spans="1:6" x14ac:dyDescent="0.55000000000000004">
      <c r="A5019" t="s">
        <v>146</v>
      </c>
      <c r="B5019" t="s">
        <v>43</v>
      </c>
      <c r="C5019">
        <v>120636.9339</v>
      </c>
      <c r="D5019" t="s">
        <v>272</v>
      </c>
      <c r="E5019">
        <v>2022</v>
      </c>
      <c r="F5019">
        <v>12</v>
      </c>
    </row>
    <row r="5020" spans="1:6" x14ac:dyDescent="0.55000000000000004">
      <c r="A5020" t="s">
        <v>146</v>
      </c>
      <c r="B5020" t="s">
        <v>44</v>
      </c>
      <c r="C5020">
        <v>0</v>
      </c>
      <c r="D5020" t="s">
        <v>272</v>
      </c>
      <c r="E5020">
        <v>2022</v>
      </c>
      <c r="F5020">
        <v>12</v>
      </c>
    </row>
    <row r="5021" spans="1:6" x14ac:dyDescent="0.55000000000000004">
      <c r="A5021" t="s">
        <v>146</v>
      </c>
      <c r="B5021" t="s">
        <v>45</v>
      </c>
      <c r="C5021">
        <v>451.57069999999999</v>
      </c>
      <c r="D5021" t="s">
        <v>272</v>
      </c>
      <c r="E5021">
        <v>2022</v>
      </c>
      <c r="F5021">
        <v>12</v>
      </c>
    </row>
    <row r="5022" spans="1:6" x14ac:dyDescent="0.55000000000000004">
      <c r="A5022" t="s">
        <v>146</v>
      </c>
      <c r="B5022" t="s">
        <v>46</v>
      </c>
      <c r="C5022">
        <v>62912.08</v>
      </c>
      <c r="D5022" t="s">
        <v>272</v>
      </c>
      <c r="E5022">
        <v>2022</v>
      </c>
      <c r="F5022">
        <v>12</v>
      </c>
    </row>
    <row r="5023" spans="1:6" x14ac:dyDescent="0.55000000000000004">
      <c r="A5023" t="s">
        <v>146</v>
      </c>
      <c r="B5023" t="s">
        <v>47</v>
      </c>
      <c r="C5023">
        <v>0</v>
      </c>
      <c r="D5023" t="s">
        <v>272</v>
      </c>
      <c r="E5023">
        <v>2022</v>
      </c>
      <c r="F5023">
        <v>12</v>
      </c>
    </row>
    <row r="5024" spans="1:6" x14ac:dyDescent="0.55000000000000004">
      <c r="A5024" t="s">
        <v>146</v>
      </c>
      <c r="B5024" t="s">
        <v>48</v>
      </c>
      <c r="C5024">
        <v>313535.70799999998</v>
      </c>
      <c r="D5024" t="s">
        <v>272</v>
      </c>
      <c r="E5024">
        <v>2022</v>
      </c>
      <c r="F5024">
        <v>12</v>
      </c>
    </row>
    <row r="5025" spans="1:6" x14ac:dyDescent="0.55000000000000004">
      <c r="A5025" t="s">
        <v>146</v>
      </c>
      <c r="B5025" t="s">
        <v>49</v>
      </c>
      <c r="C5025">
        <v>20.5001</v>
      </c>
      <c r="D5025" t="s">
        <v>272</v>
      </c>
      <c r="E5025">
        <v>2022</v>
      </c>
      <c r="F5025">
        <v>12</v>
      </c>
    </row>
    <row r="5026" spans="1:6" x14ac:dyDescent="0.55000000000000004">
      <c r="A5026" t="s">
        <v>146</v>
      </c>
      <c r="B5026" t="s">
        <v>50</v>
      </c>
      <c r="C5026">
        <v>94419.9948</v>
      </c>
      <c r="D5026" t="s">
        <v>272</v>
      </c>
      <c r="E5026">
        <v>2022</v>
      </c>
      <c r="F5026">
        <v>12</v>
      </c>
    </row>
    <row r="5027" spans="1:6" x14ac:dyDescent="0.55000000000000004">
      <c r="A5027" t="s">
        <v>146</v>
      </c>
      <c r="B5027" t="s">
        <v>51</v>
      </c>
      <c r="C5027">
        <v>2000</v>
      </c>
      <c r="D5027" t="s">
        <v>272</v>
      </c>
      <c r="E5027">
        <v>2022</v>
      </c>
      <c r="F5027">
        <v>12</v>
      </c>
    </row>
    <row r="5028" spans="1:6" x14ac:dyDescent="0.55000000000000004">
      <c r="A5028" t="s">
        <v>146</v>
      </c>
      <c r="B5028" t="s">
        <v>52</v>
      </c>
      <c r="C5028">
        <v>46.8919</v>
      </c>
      <c r="D5028" t="s">
        <v>272</v>
      </c>
      <c r="E5028">
        <v>2022</v>
      </c>
      <c r="F5028">
        <v>12</v>
      </c>
    </row>
    <row r="5029" spans="1:6" x14ac:dyDescent="0.55000000000000004">
      <c r="A5029" t="s">
        <v>146</v>
      </c>
      <c r="B5029" t="s">
        <v>53</v>
      </c>
      <c r="C5029">
        <v>74501.62</v>
      </c>
      <c r="D5029" t="s">
        <v>272</v>
      </c>
      <c r="E5029">
        <v>2022</v>
      </c>
      <c r="F5029">
        <v>12</v>
      </c>
    </row>
    <row r="5030" spans="1:6" x14ac:dyDescent="0.55000000000000004">
      <c r="A5030" t="s">
        <v>146</v>
      </c>
      <c r="B5030" t="s">
        <v>54</v>
      </c>
      <c r="C5030">
        <v>14201.241</v>
      </c>
      <c r="D5030" t="s">
        <v>272</v>
      </c>
      <c r="E5030">
        <v>2022</v>
      </c>
      <c r="F5030">
        <v>12</v>
      </c>
    </row>
    <row r="5031" spans="1:6" x14ac:dyDescent="0.55000000000000004">
      <c r="A5031" t="s">
        <v>146</v>
      </c>
      <c r="B5031" t="s">
        <v>55</v>
      </c>
      <c r="C5031">
        <v>9467</v>
      </c>
      <c r="D5031" t="s">
        <v>272</v>
      </c>
      <c r="E5031">
        <v>2022</v>
      </c>
      <c r="F5031">
        <v>12</v>
      </c>
    </row>
    <row r="5032" spans="1:6" x14ac:dyDescent="0.55000000000000004">
      <c r="A5032" t="s">
        <v>146</v>
      </c>
      <c r="B5032" t="s">
        <v>56</v>
      </c>
      <c r="C5032">
        <v>1294.7466999999999</v>
      </c>
      <c r="D5032" t="s">
        <v>272</v>
      </c>
      <c r="E5032">
        <v>2022</v>
      </c>
      <c r="F5032">
        <v>12</v>
      </c>
    </row>
    <row r="5033" spans="1:6" x14ac:dyDescent="0.55000000000000004">
      <c r="A5033" t="s">
        <v>146</v>
      </c>
      <c r="B5033" t="s">
        <v>57</v>
      </c>
      <c r="C5033">
        <v>154.3861</v>
      </c>
      <c r="D5033" t="s">
        <v>272</v>
      </c>
      <c r="E5033">
        <v>2022</v>
      </c>
      <c r="F5033">
        <v>12</v>
      </c>
    </row>
    <row r="5034" spans="1:6" x14ac:dyDescent="0.55000000000000004">
      <c r="A5034" t="s">
        <v>146</v>
      </c>
      <c r="B5034" t="s">
        <v>58</v>
      </c>
      <c r="C5034">
        <v>418829.01</v>
      </c>
      <c r="D5034" t="s">
        <v>272</v>
      </c>
      <c r="E5034">
        <v>2022</v>
      </c>
      <c r="F5034">
        <v>12</v>
      </c>
    </row>
    <row r="5035" spans="1:6" x14ac:dyDescent="0.55000000000000004">
      <c r="A5035" t="s">
        <v>146</v>
      </c>
      <c r="B5035" t="s">
        <v>59</v>
      </c>
      <c r="C5035">
        <v>5700</v>
      </c>
      <c r="D5035" t="s">
        <v>272</v>
      </c>
      <c r="E5035">
        <v>2022</v>
      </c>
      <c r="F5035">
        <v>12</v>
      </c>
    </row>
    <row r="5036" spans="1:6" x14ac:dyDescent="0.55000000000000004">
      <c r="A5036" t="s">
        <v>146</v>
      </c>
      <c r="B5036" t="s">
        <v>60</v>
      </c>
      <c r="C5036">
        <v>3379225.1137000001</v>
      </c>
      <c r="D5036" t="s">
        <v>272</v>
      </c>
      <c r="E5036">
        <v>2022</v>
      </c>
      <c r="F5036">
        <v>12</v>
      </c>
    </row>
    <row r="5037" spans="1:6" x14ac:dyDescent="0.55000000000000004">
      <c r="A5037" t="s">
        <v>146</v>
      </c>
      <c r="B5037" t="s">
        <v>61</v>
      </c>
      <c r="C5037">
        <v>4700.0033000000003</v>
      </c>
      <c r="D5037" t="s">
        <v>272</v>
      </c>
      <c r="E5037">
        <v>2022</v>
      </c>
      <c r="F5037">
        <v>12</v>
      </c>
    </row>
    <row r="5038" spans="1:6" x14ac:dyDescent="0.55000000000000004">
      <c r="A5038" t="s">
        <v>146</v>
      </c>
      <c r="B5038" t="s">
        <v>62</v>
      </c>
      <c r="C5038">
        <v>15520</v>
      </c>
      <c r="D5038" t="s">
        <v>272</v>
      </c>
      <c r="E5038">
        <v>2022</v>
      </c>
      <c r="F5038">
        <v>12</v>
      </c>
    </row>
    <row r="5039" spans="1:6" x14ac:dyDescent="0.55000000000000004">
      <c r="A5039" t="s">
        <v>146</v>
      </c>
      <c r="B5039" t="s">
        <v>63</v>
      </c>
      <c r="C5039">
        <v>320</v>
      </c>
      <c r="D5039" t="s">
        <v>272</v>
      </c>
      <c r="E5039">
        <v>2022</v>
      </c>
      <c r="F5039">
        <v>12</v>
      </c>
    </row>
    <row r="5040" spans="1:6" x14ac:dyDescent="0.55000000000000004">
      <c r="A5040" t="s">
        <v>147</v>
      </c>
      <c r="B5040" t="s">
        <v>4</v>
      </c>
      <c r="C5040">
        <v>8885954.0467000008</v>
      </c>
      <c r="D5040" t="s">
        <v>273</v>
      </c>
      <c r="E5040">
        <v>2023</v>
      </c>
      <c r="F5040">
        <v>1</v>
      </c>
    </row>
    <row r="5041" spans="1:6" x14ac:dyDescent="0.55000000000000004">
      <c r="A5041" t="s">
        <v>147</v>
      </c>
      <c r="B5041" t="s">
        <v>5</v>
      </c>
      <c r="C5041">
        <v>950025.69700000004</v>
      </c>
      <c r="D5041" t="s">
        <v>273</v>
      </c>
      <c r="E5041">
        <v>2023</v>
      </c>
      <c r="F5041">
        <v>1</v>
      </c>
    </row>
    <row r="5042" spans="1:6" x14ac:dyDescent="0.55000000000000004">
      <c r="A5042" t="s">
        <v>147</v>
      </c>
      <c r="B5042" t="s">
        <v>6</v>
      </c>
      <c r="C5042">
        <v>1821777.0355</v>
      </c>
      <c r="D5042" t="s">
        <v>273</v>
      </c>
      <c r="E5042">
        <v>2023</v>
      </c>
      <c r="F5042">
        <v>1</v>
      </c>
    </row>
    <row r="5043" spans="1:6" x14ac:dyDescent="0.55000000000000004">
      <c r="A5043" t="s">
        <v>147</v>
      </c>
      <c r="B5043" t="s">
        <v>7</v>
      </c>
      <c r="C5043">
        <v>2563735.8122999999</v>
      </c>
      <c r="D5043" t="s">
        <v>273</v>
      </c>
      <c r="E5043">
        <v>2023</v>
      </c>
      <c r="F5043">
        <v>1</v>
      </c>
    </row>
    <row r="5044" spans="1:6" x14ac:dyDescent="0.55000000000000004">
      <c r="A5044" t="s">
        <v>147</v>
      </c>
      <c r="B5044" t="s">
        <v>8</v>
      </c>
      <c r="C5044">
        <v>3550415.5019</v>
      </c>
      <c r="D5044" t="s">
        <v>273</v>
      </c>
      <c r="E5044">
        <v>2023</v>
      </c>
      <c r="F5044">
        <v>1</v>
      </c>
    </row>
    <row r="5045" spans="1:6" x14ac:dyDescent="0.55000000000000004">
      <c r="A5045" t="s">
        <v>147</v>
      </c>
      <c r="B5045" t="s">
        <v>9</v>
      </c>
      <c r="C5045">
        <v>1786.5367000000001</v>
      </c>
      <c r="D5045" t="s">
        <v>273</v>
      </c>
      <c r="E5045">
        <v>2023</v>
      </c>
      <c r="F5045">
        <v>1</v>
      </c>
    </row>
    <row r="5046" spans="1:6" x14ac:dyDescent="0.55000000000000004">
      <c r="A5046" t="s">
        <v>147</v>
      </c>
      <c r="B5046" t="s">
        <v>10</v>
      </c>
      <c r="C5046">
        <v>4630.25</v>
      </c>
      <c r="D5046" t="s">
        <v>273</v>
      </c>
      <c r="E5046">
        <v>2023</v>
      </c>
      <c r="F5046">
        <v>1</v>
      </c>
    </row>
    <row r="5047" spans="1:6" x14ac:dyDescent="0.55000000000000004">
      <c r="A5047" t="s">
        <v>147</v>
      </c>
      <c r="B5047" t="s">
        <v>11</v>
      </c>
      <c r="C5047">
        <v>2591523.6557</v>
      </c>
      <c r="D5047" t="s">
        <v>273</v>
      </c>
      <c r="E5047">
        <v>2023</v>
      </c>
      <c r="F5047">
        <v>1</v>
      </c>
    </row>
    <row r="5048" spans="1:6" x14ac:dyDescent="0.55000000000000004">
      <c r="A5048" t="s">
        <v>147</v>
      </c>
      <c r="B5048" t="s">
        <v>12</v>
      </c>
      <c r="C5048">
        <v>14388.7752</v>
      </c>
      <c r="D5048" t="s">
        <v>273</v>
      </c>
      <c r="E5048">
        <v>2023</v>
      </c>
      <c r="F5048">
        <v>1</v>
      </c>
    </row>
    <row r="5049" spans="1:6" x14ac:dyDescent="0.55000000000000004">
      <c r="A5049" t="s">
        <v>147</v>
      </c>
      <c r="B5049" t="s">
        <v>13</v>
      </c>
      <c r="C5049">
        <v>3879.25</v>
      </c>
      <c r="D5049" t="s">
        <v>273</v>
      </c>
      <c r="E5049">
        <v>2023</v>
      </c>
      <c r="F5049">
        <v>1</v>
      </c>
    </row>
    <row r="5050" spans="1:6" x14ac:dyDescent="0.55000000000000004">
      <c r="A5050" t="s">
        <v>147</v>
      </c>
      <c r="B5050" t="s">
        <v>14</v>
      </c>
      <c r="C5050">
        <v>1400</v>
      </c>
      <c r="D5050" t="s">
        <v>273</v>
      </c>
      <c r="E5050">
        <v>2023</v>
      </c>
      <c r="F5050">
        <v>1</v>
      </c>
    </row>
    <row r="5051" spans="1:6" x14ac:dyDescent="0.55000000000000004">
      <c r="A5051" t="s">
        <v>147</v>
      </c>
      <c r="B5051" t="s">
        <v>15</v>
      </c>
      <c r="C5051">
        <v>848131.34149999998</v>
      </c>
      <c r="D5051" t="s">
        <v>273</v>
      </c>
      <c r="E5051">
        <v>2023</v>
      </c>
      <c r="F5051">
        <v>1</v>
      </c>
    </row>
    <row r="5052" spans="1:6" x14ac:dyDescent="0.55000000000000004">
      <c r="A5052" t="s">
        <v>147</v>
      </c>
      <c r="B5052" t="s">
        <v>16</v>
      </c>
      <c r="C5052">
        <v>0</v>
      </c>
      <c r="D5052" t="s">
        <v>273</v>
      </c>
      <c r="E5052">
        <v>2023</v>
      </c>
      <c r="F5052">
        <v>1</v>
      </c>
    </row>
    <row r="5053" spans="1:6" x14ac:dyDescent="0.55000000000000004">
      <c r="A5053" t="s">
        <v>147</v>
      </c>
      <c r="B5053" t="s">
        <v>17</v>
      </c>
      <c r="C5053">
        <v>71855.491999999998</v>
      </c>
      <c r="D5053" t="s">
        <v>273</v>
      </c>
      <c r="E5053">
        <v>2023</v>
      </c>
      <c r="F5053">
        <v>1</v>
      </c>
    </row>
    <row r="5054" spans="1:6" x14ac:dyDescent="0.55000000000000004">
      <c r="A5054" t="s">
        <v>147</v>
      </c>
      <c r="B5054" t="s">
        <v>18</v>
      </c>
      <c r="C5054">
        <v>90925.316600000006</v>
      </c>
      <c r="D5054" t="s">
        <v>273</v>
      </c>
      <c r="E5054">
        <v>2023</v>
      </c>
      <c r="F5054">
        <v>1</v>
      </c>
    </row>
    <row r="5055" spans="1:6" x14ac:dyDescent="0.55000000000000004">
      <c r="A5055" t="s">
        <v>147</v>
      </c>
      <c r="B5055" t="s">
        <v>19</v>
      </c>
      <c r="C5055">
        <v>1399.9992999999999</v>
      </c>
      <c r="D5055" t="s">
        <v>273</v>
      </c>
      <c r="E5055">
        <v>2023</v>
      </c>
      <c r="F5055">
        <v>1</v>
      </c>
    </row>
    <row r="5056" spans="1:6" x14ac:dyDescent="0.55000000000000004">
      <c r="A5056" t="s">
        <v>147</v>
      </c>
      <c r="B5056" t="s">
        <v>20</v>
      </c>
      <c r="C5056">
        <v>15400</v>
      </c>
      <c r="D5056" t="s">
        <v>273</v>
      </c>
      <c r="E5056">
        <v>2023</v>
      </c>
      <c r="F5056">
        <v>1</v>
      </c>
    </row>
    <row r="5057" spans="1:6" x14ac:dyDescent="0.55000000000000004">
      <c r="A5057" t="s">
        <v>147</v>
      </c>
      <c r="B5057" t="s">
        <v>21</v>
      </c>
      <c r="C5057">
        <v>0</v>
      </c>
      <c r="D5057" t="s">
        <v>273</v>
      </c>
      <c r="E5057">
        <v>2023</v>
      </c>
      <c r="F5057">
        <v>1</v>
      </c>
    </row>
    <row r="5058" spans="1:6" x14ac:dyDescent="0.55000000000000004">
      <c r="A5058" t="s">
        <v>147</v>
      </c>
      <c r="B5058" t="s">
        <v>22</v>
      </c>
      <c r="C5058">
        <v>62052.05</v>
      </c>
      <c r="D5058" t="s">
        <v>273</v>
      </c>
      <c r="E5058">
        <v>2023</v>
      </c>
      <c r="F5058">
        <v>1</v>
      </c>
    </row>
    <row r="5059" spans="1:6" x14ac:dyDescent="0.55000000000000004">
      <c r="A5059" t="s">
        <v>147</v>
      </c>
      <c r="B5059" t="s">
        <v>23</v>
      </c>
      <c r="C5059">
        <v>25465.7847</v>
      </c>
      <c r="D5059" t="s">
        <v>273</v>
      </c>
      <c r="E5059">
        <v>2023</v>
      </c>
      <c r="F5059">
        <v>1</v>
      </c>
    </row>
    <row r="5060" spans="1:6" x14ac:dyDescent="0.55000000000000004">
      <c r="A5060" t="s">
        <v>147</v>
      </c>
      <c r="B5060" t="s">
        <v>24</v>
      </c>
      <c r="C5060">
        <v>0</v>
      </c>
      <c r="D5060" t="s">
        <v>273</v>
      </c>
      <c r="E5060">
        <v>2023</v>
      </c>
      <c r="F5060">
        <v>1</v>
      </c>
    </row>
    <row r="5061" spans="1:6" x14ac:dyDescent="0.55000000000000004">
      <c r="A5061" t="s">
        <v>147</v>
      </c>
      <c r="B5061" t="s">
        <v>25</v>
      </c>
      <c r="C5061">
        <v>92474.466700000004</v>
      </c>
      <c r="D5061" t="s">
        <v>273</v>
      </c>
      <c r="E5061">
        <v>2023</v>
      </c>
      <c r="F5061">
        <v>1</v>
      </c>
    </row>
    <row r="5062" spans="1:6" x14ac:dyDescent="0.55000000000000004">
      <c r="A5062" t="s">
        <v>147</v>
      </c>
      <c r="B5062" t="s">
        <v>26</v>
      </c>
      <c r="C5062">
        <v>0</v>
      </c>
      <c r="D5062" t="s">
        <v>273</v>
      </c>
      <c r="E5062">
        <v>2023</v>
      </c>
      <c r="F5062">
        <v>1</v>
      </c>
    </row>
    <row r="5063" spans="1:6" x14ac:dyDescent="0.55000000000000004">
      <c r="A5063" t="s">
        <v>147</v>
      </c>
      <c r="B5063" t="s">
        <v>27</v>
      </c>
      <c r="C5063">
        <v>435.09699999999998</v>
      </c>
      <c r="D5063" t="s">
        <v>273</v>
      </c>
      <c r="E5063">
        <v>2023</v>
      </c>
      <c r="F5063">
        <v>1</v>
      </c>
    </row>
    <row r="5064" spans="1:6" x14ac:dyDescent="0.55000000000000004">
      <c r="A5064" t="s">
        <v>147</v>
      </c>
      <c r="B5064" t="s">
        <v>28</v>
      </c>
      <c r="C5064">
        <v>220067.4988</v>
      </c>
      <c r="D5064" t="s">
        <v>273</v>
      </c>
      <c r="E5064">
        <v>2023</v>
      </c>
      <c r="F5064">
        <v>1</v>
      </c>
    </row>
    <row r="5065" spans="1:6" x14ac:dyDescent="0.55000000000000004">
      <c r="A5065" t="s">
        <v>147</v>
      </c>
      <c r="B5065" t="s">
        <v>29</v>
      </c>
      <c r="C5065">
        <v>0</v>
      </c>
      <c r="D5065" t="s">
        <v>273</v>
      </c>
      <c r="E5065">
        <v>2023</v>
      </c>
      <c r="F5065">
        <v>1</v>
      </c>
    </row>
    <row r="5066" spans="1:6" x14ac:dyDescent="0.55000000000000004">
      <c r="A5066" t="s">
        <v>147</v>
      </c>
      <c r="B5066" t="s">
        <v>30</v>
      </c>
      <c r="C5066">
        <v>13</v>
      </c>
      <c r="D5066" t="s">
        <v>273</v>
      </c>
      <c r="E5066">
        <v>2023</v>
      </c>
      <c r="F5066">
        <v>1</v>
      </c>
    </row>
    <row r="5067" spans="1:6" x14ac:dyDescent="0.55000000000000004">
      <c r="A5067" t="s">
        <v>147</v>
      </c>
      <c r="B5067" t="s">
        <v>31</v>
      </c>
      <c r="C5067">
        <v>60</v>
      </c>
      <c r="D5067" t="s">
        <v>273</v>
      </c>
      <c r="E5067">
        <v>2023</v>
      </c>
      <c r="F5067">
        <v>1</v>
      </c>
    </row>
    <row r="5068" spans="1:6" x14ac:dyDescent="0.55000000000000004">
      <c r="A5068" t="s">
        <v>147</v>
      </c>
      <c r="B5068" t="s">
        <v>32</v>
      </c>
      <c r="C5068">
        <v>520794.77</v>
      </c>
      <c r="D5068" t="s">
        <v>273</v>
      </c>
      <c r="E5068">
        <v>2023</v>
      </c>
      <c r="F5068">
        <v>1</v>
      </c>
    </row>
    <row r="5069" spans="1:6" x14ac:dyDescent="0.55000000000000004">
      <c r="A5069" t="s">
        <v>147</v>
      </c>
      <c r="B5069" t="s">
        <v>33</v>
      </c>
      <c r="C5069">
        <v>418807.38689999998</v>
      </c>
      <c r="D5069" t="s">
        <v>273</v>
      </c>
      <c r="E5069">
        <v>2023</v>
      </c>
      <c r="F5069">
        <v>1</v>
      </c>
    </row>
    <row r="5070" spans="1:6" x14ac:dyDescent="0.55000000000000004">
      <c r="A5070" t="s">
        <v>147</v>
      </c>
      <c r="B5070" t="s">
        <v>34</v>
      </c>
      <c r="C5070">
        <v>467979.93719999999</v>
      </c>
      <c r="D5070" t="s">
        <v>273</v>
      </c>
      <c r="E5070">
        <v>2023</v>
      </c>
      <c r="F5070">
        <v>1</v>
      </c>
    </row>
    <row r="5071" spans="1:6" x14ac:dyDescent="0.55000000000000004">
      <c r="A5071" t="s">
        <v>147</v>
      </c>
      <c r="B5071" t="s">
        <v>35</v>
      </c>
      <c r="C5071">
        <v>403.90660000000003</v>
      </c>
      <c r="D5071" t="s">
        <v>273</v>
      </c>
      <c r="E5071">
        <v>2023</v>
      </c>
      <c r="F5071">
        <v>1</v>
      </c>
    </row>
    <row r="5072" spans="1:6" x14ac:dyDescent="0.55000000000000004">
      <c r="A5072" t="s">
        <v>147</v>
      </c>
      <c r="B5072" t="s">
        <v>36</v>
      </c>
      <c r="C5072">
        <v>33930.215499999998</v>
      </c>
      <c r="D5072" t="s">
        <v>273</v>
      </c>
      <c r="E5072">
        <v>2023</v>
      </c>
      <c r="F5072">
        <v>1</v>
      </c>
    </row>
    <row r="5073" spans="1:6" x14ac:dyDescent="0.55000000000000004">
      <c r="A5073" t="s">
        <v>147</v>
      </c>
      <c r="B5073" t="s">
        <v>37</v>
      </c>
      <c r="C5073">
        <v>39199.987000000001</v>
      </c>
      <c r="D5073" t="s">
        <v>273</v>
      </c>
      <c r="E5073">
        <v>2023</v>
      </c>
      <c r="F5073">
        <v>1</v>
      </c>
    </row>
    <row r="5074" spans="1:6" x14ac:dyDescent="0.55000000000000004">
      <c r="A5074" t="s">
        <v>147</v>
      </c>
      <c r="B5074" t="s">
        <v>38</v>
      </c>
      <c r="C5074">
        <v>0</v>
      </c>
      <c r="D5074" t="s">
        <v>273</v>
      </c>
      <c r="E5074">
        <v>2023</v>
      </c>
      <c r="F5074">
        <v>1</v>
      </c>
    </row>
    <row r="5075" spans="1:6" x14ac:dyDescent="0.55000000000000004">
      <c r="A5075" t="s">
        <v>147</v>
      </c>
      <c r="B5075" t="s">
        <v>39</v>
      </c>
      <c r="C5075">
        <v>0.38329999999999997</v>
      </c>
      <c r="D5075" t="s">
        <v>273</v>
      </c>
      <c r="E5075">
        <v>2023</v>
      </c>
      <c r="F5075">
        <v>1</v>
      </c>
    </row>
    <row r="5076" spans="1:6" x14ac:dyDescent="0.55000000000000004">
      <c r="A5076" t="s">
        <v>147</v>
      </c>
      <c r="B5076" t="s">
        <v>40</v>
      </c>
      <c r="C5076">
        <v>609.3175</v>
      </c>
      <c r="D5076" t="s">
        <v>273</v>
      </c>
      <c r="E5076">
        <v>2023</v>
      </c>
      <c r="F5076">
        <v>1</v>
      </c>
    </row>
    <row r="5077" spans="1:6" x14ac:dyDescent="0.55000000000000004">
      <c r="A5077" t="s">
        <v>147</v>
      </c>
      <c r="B5077" t="s">
        <v>41</v>
      </c>
      <c r="C5077">
        <v>180999.9903</v>
      </c>
      <c r="D5077" t="s">
        <v>273</v>
      </c>
      <c r="E5077">
        <v>2023</v>
      </c>
      <c r="F5077">
        <v>1</v>
      </c>
    </row>
    <row r="5078" spans="1:6" x14ac:dyDescent="0.55000000000000004">
      <c r="A5078" t="s">
        <v>147</v>
      </c>
      <c r="B5078" t="s">
        <v>42</v>
      </c>
      <c r="C5078">
        <v>57.583300000000001</v>
      </c>
      <c r="D5078" t="s">
        <v>273</v>
      </c>
      <c r="E5078">
        <v>2023</v>
      </c>
      <c r="F5078">
        <v>1</v>
      </c>
    </row>
    <row r="5079" spans="1:6" x14ac:dyDescent="0.55000000000000004">
      <c r="A5079" t="s">
        <v>147</v>
      </c>
      <c r="B5079" t="s">
        <v>43</v>
      </c>
      <c r="C5079">
        <v>175871.00769999999</v>
      </c>
      <c r="D5079" t="s">
        <v>273</v>
      </c>
      <c r="E5079">
        <v>2023</v>
      </c>
      <c r="F5079">
        <v>1</v>
      </c>
    </row>
    <row r="5080" spans="1:6" x14ac:dyDescent="0.55000000000000004">
      <c r="A5080" t="s">
        <v>147</v>
      </c>
      <c r="B5080" t="s">
        <v>44</v>
      </c>
      <c r="C5080">
        <v>0</v>
      </c>
      <c r="D5080" t="s">
        <v>273</v>
      </c>
      <c r="E5080">
        <v>2023</v>
      </c>
      <c r="F5080">
        <v>1</v>
      </c>
    </row>
    <row r="5081" spans="1:6" x14ac:dyDescent="0.55000000000000004">
      <c r="A5081" t="s">
        <v>147</v>
      </c>
      <c r="B5081" t="s">
        <v>45</v>
      </c>
      <c r="C5081">
        <v>1569.3520000000001</v>
      </c>
      <c r="D5081" t="s">
        <v>273</v>
      </c>
      <c r="E5081">
        <v>2023</v>
      </c>
      <c r="F5081">
        <v>1</v>
      </c>
    </row>
    <row r="5082" spans="1:6" x14ac:dyDescent="0.55000000000000004">
      <c r="A5082" t="s">
        <v>147</v>
      </c>
      <c r="B5082" t="s">
        <v>46</v>
      </c>
      <c r="C5082">
        <v>60197.47</v>
      </c>
      <c r="D5082" t="s">
        <v>273</v>
      </c>
      <c r="E5082">
        <v>2023</v>
      </c>
      <c r="F5082">
        <v>1</v>
      </c>
    </row>
    <row r="5083" spans="1:6" x14ac:dyDescent="0.55000000000000004">
      <c r="A5083" t="s">
        <v>147</v>
      </c>
      <c r="B5083" t="s">
        <v>47</v>
      </c>
      <c r="C5083">
        <v>0</v>
      </c>
      <c r="D5083" t="s">
        <v>273</v>
      </c>
      <c r="E5083">
        <v>2023</v>
      </c>
      <c r="F5083">
        <v>1</v>
      </c>
    </row>
    <row r="5084" spans="1:6" x14ac:dyDescent="0.55000000000000004">
      <c r="A5084" t="s">
        <v>147</v>
      </c>
      <c r="B5084" t="s">
        <v>48</v>
      </c>
      <c r="C5084">
        <v>158386.5938</v>
      </c>
      <c r="D5084" t="s">
        <v>273</v>
      </c>
      <c r="E5084">
        <v>2023</v>
      </c>
      <c r="F5084">
        <v>1</v>
      </c>
    </row>
    <row r="5085" spans="1:6" x14ac:dyDescent="0.55000000000000004">
      <c r="A5085" t="s">
        <v>147</v>
      </c>
      <c r="B5085" t="s">
        <v>49</v>
      </c>
      <c r="C5085">
        <v>78.217299999999994</v>
      </c>
      <c r="D5085" t="s">
        <v>273</v>
      </c>
      <c r="E5085">
        <v>2023</v>
      </c>
      <c r="F5085">
        <v>1</v>
      </c>
    </row>
    <row r="5086" spans="1:6" x14ac:dyDescent="0.55000000000000004">
      <c r="A5086" t="s">
        <v>147</v>
      </c>
      <c r="B5086" t="s">
        <v>50</v>
      </c>
      <c r="C5086">
        <v>21099.9977</v>
      </c>
      <c r="D5086" t="s">
        <v>273</v>
      </c>
      <c r="E5086">
        <v>2023</v>
      </c>
      <c r="F5086">
        <v>1</v>
      </c>
    </row>
    <row r="5087" spans="1:6" x14ac:dyDescent="0.55000000000000004">
      <c r="A5087" t="s">
        <v>147</v>
      </c>
      <c r="B5087" t="s">
        <v>51</v>
      </c>
      <c r="C5087">
        <v>1700</v>
      </c>
      <c r="D5087" t="s">
        <v>273</v>
      </c>
      <c r="E5087">
        <v>2023</v>
      </c>
      <c r="F5087">
        <v>1</v>
      </c>
    </row>
    <row r="5088" spans="1:6" x14ac:dyDescent="0.55000000000000004">
      <c r="A5088" t="s">
        <v>147</v>
      </c>
      <c r="B5088" t="s">
        <v>52</v>
      </c>
      <c r="C5088">
        <v>16.285</v>
      </c>
      <c r="D5088" t="s">
        <v>273</v>
      </c>
      <c r="E5088">
        <v>2023</v>
      </c>
      <c r="F5088">
        <v>1</v>
      </c>
    </row>
    <row r="5089" spans="1:6" x14ac:dyDescent="0.55000000000000004">
      <c r="A5089" t="s">
        <v>147</v>
      </c>
      <c r="B5089" t="s">
        <v>53</v>
      </c>
      <c r="C5089">
        <v>153451.76</v>
      </c>
      <c r="D5089" t="s">
        <v>273</v>
      </c>
      <c r="E5089">
        <v>2023</v>
      </c>
      <c r="F5089">
        <v>1</v>
      </c>
    </row>
    <row r="5090" spans="1:6" x14ac:dyDescent="0.55000000000000004">
      <c r="A5090" t="s">
        <v>147</v>
      </c>
      <c r="B5090" t="s">
        <v>54</v>
      </c>
      <c r="C5090">
        <v>13482.4946</v>
      </c>
      <c r="D5090" t="s">
        <v>273</v>
      </c>
      <c r="E5090">
        <v>2023</v>
      </c>
      <c r="F5090">
        <v>1</v>
      </c>
    </row>
    <row r="5091" spans="1:6" x14ac:dyDescent="0.55000000000000004">
      <c r="A5091" t="s">
        <v>147</v>
      </c>
      <c r="B5091" t="s">
        <v>55</v>
      </c>
      <c r="C5091">
        <v>2524</v>
      </c>
      <c r="D5091" t="s">
        <v>273</v>
      </c>
      <c r="E5091">
        <v>2023</v>
      </c>
      <c r="F5091">
        <v>1</v>
      </c>
    </row>
    <row r="5092" spans="1:6" x14ac:dyDescent="0.55000000000000004">
      <c r="A5092" t="s">
        <v>147</v>
      </c>
      <c r="B5092" t="s">
        <v>56</v>
      </c>
      <c r="C5092">
        <v>10412.799999999999</v>
      </c>
      <c r="D5092" t="s">
        <v>273</v>
      </c>
      <c r="E5092">
        <v>2023</v>
      </c>
      <c r="F5092">
        <v>1</v>
      </c>
    </row>
    <row r="5093" spans="1:6" x14ac:dyDescent="0.55000000000000004">
      <c r="A5093" t="s">
        <v>147</v>
      </c>
      <c r="B5093" t="s">
        <v>57</v>
      </c>
      <c r="C5093">
        <v>363.87720000000002</v>
      </c>
      <c r="D5093" t="s">
        <v>273</v>
      </c>
      <c r="E5093">
        <v>2023</v>
      </c>
      <c r="F5093">
        <v>1</v>
      </c>
    </row>
    <row r="5094" spans="1:6" x14ac:dyDescent="0.55000000000000004">
      <c r="A5094" t="s">
        <v>147</v>
      </c>
      <c r="B5094" t="s">
        <v>58</v>
      </c>
      <c r="C5094">
        <v>494225.99</v>
      </c>
      <c r="D5094" t="s">
        <v>273</v>
      </c>
      <c r="E5094">
        <v>2023</v>
      </c>
      <c r="F5094">
        <v>1</v>
      </c>
    </row>
    <row r="5095" spans="1:6" x14ac:dyDescent="0.55000000000000004">
      <c r="A5095" t="s">
        <v>147</v>
      </c>
      <c r="B5095" t="s">
        <v>59</v>
      </c>
      <c r="C5095">
        <v>1800</v>
      </c>
      <c r="D5095" t="s">
        <v>273</v>
      </c>
      <c r="E5095">
        <v>2023</v>
      </c>
      <c r="F5095">
        <v>1</v>
      </c>
    </row>
    <row r="5096" spans="1:6" x14ac:dyDescent="0.55000000000000004">
      <c r="A5096" t="s">
        <v>147</v>
      </c>
      <c r="B5096" t="s">
        <v>60</v>
      </c>
      <c r="C5096">
        <v>2067734.5371999999</v>
      </c>
      <c r="D5096" t="s">
        <v>273</v>
      </c>
      <c r="E5096">
        <v>2023</v>
      </c>
      <c r="F5096">
        <v>1</v>
      </c>
    </row>
    <row r="5097" spans="1:6" x14ac:dyDescent="0.55000000000000004">
      <c r="A5097" t="s">
        <v>147</v>
      </c>
      <c r="B5097" t="s">
        <v>61</v>
      </c>
      <c r="C5097">
        <v>4364.5056999999997</v>
      </c>
      <c r="D5097" t="s">
        <v>273</v>
      </c>
      <c r="E5097">
        <v>2023</v>
      </c>
      <c r="F5097">
        <v>1</v>
      </c>
    </row>
    <row r="5098" spans="1:6" x14ac:dyDescent="0.55000000000000004">
      <c r="A5098" t="s">
        <v>147</v>
      </c>
      <c r="B5098" t="s">
        <v>62</v>
      </c>
      <c r="C5098">
        <v>9597.1666999999998</v>
      </c>
      <c r="D5098" t="s">
        <v>273</v>
      </c>
      <c r="E5098">
        <v>2023</v>
      </c>
      <c r="F5098">
        <v>1</v>
      </c>
    </row>
    <row r="5099" spans="1:6" x14ac:dyDescent="0.55000000000000004">
      <c r="A5099" t="s">
        <v>147</v>
      </c>
      <c r="B5099" t="s">
        <v>63</v>
      </c>
      <c r="C5099">
        <v>406</v>
      </c>
      <c r="D5099" t="s">
        <v>273</v>
      </c>
      <c r="E5099">
        <v>2023</v>
      </c>
      <c r="F5099">
        <v>1</v>
      </c>
    </row>
    <row r="5100" spans="1:6" x14ac:dyDescent="0.55000000000000004">
      <c r="A5100" t="s">
        <v>148</v>
      </c>
      <c r="B5100" t="s">
        <v>4</v>
      </c>
      <c r="C5100">
        <v>10984231.7937</v>
      </c>
      <c r="D5100" t="s">
        <v>274</v>
      </c>
      <c r="E5100">
        <v>2023</v>
      </c>
      <c r="F5100">
        <v>2</v>
      </c>
    </row>
    <row r="5101" spans="1:6" x14ac:dyDescent="0.55000000000000004">
      <c r="A5101" t="s">
        <v>148</v>
      </c>
      <c r="B5101" t="s">
        <v>5</v>
      </c>
      <c r="C5101">
        <v>1064135.5478999999</v>
      </c>
      <c r="D5101" t="s">
        <v>274</v>
      </c>
      <c r="E5101">
        <v>2023</v>
      </c>
      <c r="F5101">
        <v>2</v>
      </c>
    </row>
    <row r="5102" spans="1:6" x14ac:dyDescent="0.55000000000000004">
      <c r="A5102" t="s">
        <v>148</v>
      </c>
      <c r="B5102" t="s">
        <v>6</v>
      </c>
      <c r="C5102">
        <v>2043961.9865999999</v>
      </c>
      <c r="D5102" t="s">
        <v>274</v>
      </c>
      <c r="E5102">
        <v>2023</v>
      </c>
      <c r="F5102">
        <v>2</v>
      </c>
    </row>
    <row r="5103" spans="1:6" x14ac:dyDescent="0.55000000000000004">
      <c r="A5103" t="s">
        <v>148</v>
      </c>
      <c r="B5103" t="s">
        <v>7</v>
      </c>
      <c r="C5103">
        <v>2559988.1825999999</v>
      </c>
      <c r="D5103" t="s">
        <v>274</v>
      </c>
      <c r="E5103">
        <v>2023</v>
      </c>
      <c r="F5103">
        <v>2</v>
      </c>
    </row>
    <row r="5104" spans="1:6" x14ac:dyDescent="0.55000000000000004">
      <c r="A5104" t="s">
        <v>148</v>
      </c>
      <c r="B5104" t="s">
        <v>8</v>
      </c>
      <c r="C5104">
        <v>5316146.0766000003</v>
      </c>
      <c r="D5104" t="s">
        <v>274</v>
      </c>
      <c r="E5104">
        <v>2023</v>
      </c>
      <c r="F5104">
        <v>2</v>
      </c>
    </row>
    <row r="5105" spans="1:6" x14ac:dyDescent="0.55000000000000004">
      <c r="A5105" t="s">
        <v>148</v>
      </c>
      <c r="B5105" t="s">
        <v>9</v>
      </c>
      <c r="C5105">
        <v>2658.6597999999999</v>
      </c>
      <c r="D5105" t="s">
        <v>274</v>
      </c>
      <c r="E5105">
        <v>2023</v>
      </c>
      <c r="F5105">
        <v>2</v>
      </c>
    </row>
    <row r="5106" spans="1:6" x14ac:dyDescent="0.55000000000000004">
      <c r="A5106" t="s">
        <v>148</v>
      </c>
      <c r="B5106" t="s">
        <v>10</v>
      </c>
      <c r="C5106">
        <v>6499.0734000000002</v>
      </c>
      <c r="D5106" t="s">
        <v>274</v>
      </c>
      <c r="E5106">
        <v>2023</v>
      </c>
      <c r="F5106">
        <v>2</v>
      </c>
    </row>
    <row r="5107" spans="1:6" x14ac:dyDescent="0.55000000000000004">
      <c r="A5107" t="s">
        <v>148</v>
      </c>
      <c r="B5107" t="s">
        <v>11</v>
      </c>
      <c r="C5107">
        <v>2461834.4695000001</v>
      </c>
      <c r="D5107" t="s">
        <v>274</v>
      </c>
      <c r="E5107">
        <v>2023</v>
      </c>
      <c r="F5107">
        <v>2</v>
      </c>
    </row>
    <row r="5108" spans="1:6" x14ac:dyDescent="0.55000000000000004">
      <c r="A5108" t="s">
        <v>148</v>
      </c>
      <c r="B5108" t="s">
        <v>12</v>
      </c>
      <c r="C5108">
        <v>14388.7752</v>
      </c>
      <c r="D5108" t="s">
        <v>274</v>
      </c>
      <c r="E5108">
        <v>2023</v>
      </c>
      <c r="F5108">
        <v>2</v>
      </c>
    </row>
    <row r="5109" spans="1:6" x14ac:dyDescent="0.55000000000000004">
      <c r="A5109" t="s">
        <v>148</v>
      </c>
      <c r="B5109" t="s">
        <v>13</v>
      </c>
      <c r="C5109">
        <v>8855.7443000000003</v>
      </c>
      <c r="D5109" t="s">
        <v>274</v>
      </c>
      <c r="E5109">
        <v>2023</v>
      </c>
      <c r="F5109">
        <v>2</v>
      </c>
    </row>
    <row r="5110" spans="1:6" x14ac:dyDescent="0.55000000000000004">
      <c r="A5110" t="s">
        <v>148</v>
      </c>
      <c r="B5110" t="s">
        <v>14</v>
      </c>
      <c r="C5110">
        <v>2500</v>
      </c>
      <c r="D5110" t="s">
        <v>274</v>
      </c>
      <c r="E5110">
        <v>2023</v>
      </c>
      <c r="F5110">
        <v>2</v>
      </c>
    </row>
    <row r="5111" spans="1:6" x14ac:dyDescent="0.55000000000000004">
      <c r="A5111" t="s">
        <v>148</v>
      </c>
      <c r="B5111" t="s">
        <v>15</v>
      </c>
      <c r="C5111">
        <v>940676.77249999996</v>
      </c>
      <c r="D5111" t="s">
        <v>274</v>
      </c>
      <c r="E5111">
        <v>2023</v>
      </c>
      <c r="F5111">
        <v>2</v>
      </c>
    </row>
    <row r="5112" spans="1:6" x14ac:dyDescent="0.55000000000000004">
      <c r="A5112" t="s">
        <v>148</v>
      </c>
      <c r="B5112" t="s">
        <v>16</v>
      </c>
      <c r="C5112">
        <v>0</v>
      </c>
      <c r="D5112" t="s">
        <v>274</v>
      </c>
      <c r="E5112">
        <v>2023</v>
      </c>
      <c r="F5112">
        <v>2</v>
      </c>
    </row>
    <row r="5113" spans="1:6" x14ac:dyDescent="0.55000000000000004">
      <c r="A5113" t="s">
        <v>148</v>
      </c>
      <c r="B5113" t="s">
        <v>17</v>
      </c>
      <c r="C5113">
        <v>78016.602700000003</v>
      </c>
      <c r="D5113" t="s">
        <v>274</v>
      </c>
      <c r="E5113">
        <v>2023</v>
      </c>
      <c r="F5113">
        <v>2</v>
      </c>
    </row>
    <row r="5114" spans="1:6" x14ac:dyDescent="0.55000000000000004">
      <c r="A5114" t="s">
        <v>148</v>
      </c>
      <c r="B5114" t="s">
        <v>18</v>
      </c>
      <c r="C5114">
        <v>53547.433700000001</v>
      </c>
      <c r="D5114" t="s">
        <v>274</v>
      </c>
      <c r="E5114">
        <v>2023</v>
      </c>
      <c r="F5114">
        <v>2</v>
      </c>
    </row>
    <row r="5115" spans="1:6" x14ac:dyDescent="0.55000000000000004">
      <c r="A5115" t="s">
        <v>148</v>
      </c>
      <c r="B5115" t="s">
        <v>19</v>
      </c>
      <c r="C5115">
        <v>1399.9992999999999</v>
      </c>
      <c r="D5115" t="s">
        <v>274</v>
      </c>
      <c r="E5115">
        <v>2023</v>
      </c>
      <c r="F5115">
        <v>2</v>
      </c>
    </row>
    <row r="5116" spans="1:6" x14ac:dyDescent="0.55000000000000004">
      <c r="A5116" t="s">
        <v>148</v>
      </c>
      <c r="B5116" t="s">
        <v>20</v>
      </c>
      <c r="C5116">
        <v>16900</v>
      </c>
      <c r="D5116" t="s">
        <v>274</v>
      </c>
      <c r="E5116">
        <v>2023</v>
      </c>
      <c r="F5116">
        <v>2</v>
      </c>
    </row>
    <row r="5117" spans="1:6" x14ac:dyDescent="0.55000000000000004">
      <c r="A5117" t="s">
        <v>148</v>
      </c>
      <c r="B5117" t="s">
        <v>21</v>
      </c>
      <c r="C5117">
        <v>1448.0020999999999</v>
      </c>
      <c r="D5117" t="s">
        <v>274</v>
      </c>
      <c r="E5117">
        <v>2023</v>
      </c>
      <c r="F5117">
        <v>2</v>
      </c>
    </row>
    <row r="5118" spans="1:6" x14ac:dyDescent="0.55000000000000004">
      <c r="A5118" t="s">
        <v>148</v>
      </c>
      <c r="B5118" t="s">
        <v>22</v>
      </c>
      <c r="C5118">
        <v>56527.394</v>
      </c>
      <c r="D5118" t="s">
        <v>274</v>
      </c>
      <c r="E5118">
        <v>2023</v>
      </c>
      <c r="F5118">
        <v>2</v>
      </c>
    </row>
    <row r="5119" spans="1:6" x14ac:dyDescent="0.55000000000000004">
      <c r="A5119" t="s">
        <v>148</v>
      </c>
      <c r="B5119" t="s">
        <v>23</v>
      </c>
      <c r="C5119">
        <v>54576.340600000003</v>
      </c>
      <c r="D5119" t="s">
        <v>274</v>
      </c>
      <c r="E5119">
        <v>2023</v>
      </c>
      <c r="F5119">
        <v>2</v>
      </c>
    </row>
    <row r="5120" spans="1:6" x14ac:dyDescent="0.55000000000000004">
      <c r="A5120" t="s">
        <v>148</v>
      </c>
      <c r="B5120" t="s">
        <v>24</v>
      </c>
      <c r="C5120">
        <v>0</v>
      </c>
      <c r="D5120" t="s">
        <v>274</v>
      </c>
      <c r="E5120">
        <v>2023</v>
      </c>
      <c r="F5120">
        <v>2</v>
      </c>
    </row>
    <row r="5121" spans="1:6" x14ac:dyDescent="0.55000000000000004">
      <c r="A5121" t="s">
        <v>148</v>
      </c>
      <c r="B5121" t="s">
        <v>25</v>
      </c>
      <c r="C5121">
        <v>98075.116699999999</v>
      </c>
      <c r="D5121" t="s">
        <v>274</v>
      </c>
      <c r="E5121">
        <v>2023</v>
      </c>
      <c r="F5121">
        <v>2</v>
      </c>
    </row>
    <row r="5122" spans="1:6" x14ac:dyDescent="0.55000000000000004">
      <c r="A5122" t="s">
        <v>148</v>
      </c>
      <c r="B5122" t="s">
        <v>26</v>
      </c>
      <c r="C5122">
        <v>0</v>
      </c>
      <c r="D5122" t="s">
        <v>274</v>
      </c>
      <c r="E5122">
        <v>2023</v>
      </c>
      <c r="F5122">
        <v>2</v>
      </c>
    </row>
    <row r="5123" spans="1:6" x14ac:dyDescent="0.55000000000000004">
      <c r="A5123" t="s">
        <v>148</v>
      </c>
      <c r="B5123" t="s">
        <v>27</v>
      </c>
      <c r="C5123">
        <v>527.36559999999997</v>
      </c>
      <c r="D5123" t="s">
        <v>274</v>
      </c>
      <c r="E5123">
        <v>2023</v>
      </c>
      <c r="F5123">
        <v>2</v>
      </c>
    </row>
    <row r="5124" spans="1:6" x14ac:dyDescent="0.55000000000000004">
      <c r="A5124" t="s">
        <v>148</v>
      </c>
      <c r="B5124" t="s">
        <v>28</v>
      </c>
      <c r="C5124">
        <v>307741.80290000001</v>
      </c>
      <c r="D5124" t="s">
        <v>274</v>
      </c>
      <c r="E5124">
        <v>2023</v>
      </c>
      <c r="F5124">
        <v>2</v>
      </c>
    </row>
    <row r="5125" spans="1:6" x14ac:dyDescent="0.55000000000000004">
      <c r="A5125" t="s">
        <v>148</v>
      </c>
      <c r="B5125" t="s">
        <v>29</v>
      </c>
      <c r="C5125">
        <v>29695.667099999999</v>
      </c>
      <c r="D5125" t="s">
        <v>274</v>
      </c>
      <c r="E5125">
        <v>2023</v>
      </c>
      <c r="F5125">
        <v>2</v>
      </c>
    </row>
    <row r="5126" spans="1:6" x14ac:dyDescent="0.55000000000000004">
      <c r="A5126" t="s">
        <v>148</v>
      </c>
      <c r="B5126" t="s">
        <v>30</v>
      </c>
      <c r="C5126">
        <v>0</v>
      </c>
      <c r="D5126" t="s">
        <v>274</v>
      </c>
      <c r="E5126">
        <v>2023</v>
      </c>
      <c r="F5126">
        <v>2</v>
      </c>
    </row>
    <row r="5127" spans="1:6" x14ac:dyDescent="0.55000000000000004">
      <c r="A5127" t="s">
        <v>148</v>
      </c>
      <c r="B5127" t="s">
        <v>31</v>
      </c>
      <c r="C5127">
        <v>50</v>
      </c>
      <c r="D5127" t="s">
        <v>274</v>
      </c>
      <c r="E5127">
        <v>2023</v>
      </c>
      <c r="F5127">
        <v>2</v>
      </c>
    </row>
    <row r="5128" spans="1:6" x14ac:dyDescent="0.55000000000000004">
      <c r="A5128" t="s">
        <v>148</v>
      </c>
      <c r="B5128" t="s">
        <v>32</v>
      </c>
      <c r="C5128">
        <v>567110.91</v>
      </c>
      <c r="D5128" t="s">
        <v>274</v>
      </c>
      <c r="E5128">
        <v>2023</v>
      </c>
      <c r="F5128">
        <v>2</v>
      </c>
    </row>
    <row r="5129" spans="1:6" x14ac:dyDescent="0.55000000000000004">
      <c r="A5129" t="s">
        <v>148</v>
      </c>
      <c r="B5129" t="s">
        <v>33</v>
      </c>
      <c r="C5129">
        <v>637698.90110000002</v>
      </c>
      <c r="D5129" t="s">
        <v>274</v>
      </c>
      <c r="E5129">
        <v>2023</v>
      </c>
      <c r="F5129">
        <v>2</v>
      </c>
    </row>
    <row r="5130" spans="1:6" x14ac:dyDescent="0.55000000000000004">
      <c r="A5130" t="s">
        <v>148</v>
      </c>
      <c r="B5130" t="s">
        <v>34</v>
      </c>
      <c r="C5130">
        <v>595003.00560000003</v>
      </c>
      <c r="D5130" t="s">
        <v>274</v>
      </c>
      <c r="E5130">
        <v>2023</v>
      </c>
      <c r="F5130">
        <v>2</v>
      </c>
    </row>
    <row r="5131" spans="1:6" x14ac:dyDescent="0.55000000000000004">
      <c r="A5131" t="s">
        <v>148</v>
      </c>
      <c r="B5131" t="s">
        <v>35</v>
      </c>
      <c r="C5131">
        <v>607.81910000000005</v>
      </c>
      <c r="D5131" t="s">
        <v>274</v>
      </c>
      <c r="E5131">
        <v>2023</v>
      </c>
      <c r="F5131">
        <v>2</v>
      </c>
    </row>
    <row r="5132" spans="1:6" x14ac:dyDescent="0.55000000000000004">
      <c r="A5132" t="s">
        <v>148</v>
      </c>
      <c r="B5132" t="s">
        <v>36</v>
      </c>
      <c r="C5132">
        <v>58213.785400000001</v>
      </c>
      <c r="D5132" t="s">
        <v>274</v>
      </c>
      <c r="E5132">
        <v>2023</v>
      </c>
      <c r="F5132">
        <v>2</v>
      </c>
    </row>
    <row r="5133" spans="1:6" x14ac:dyDescent="0.55000000000000004">
      <c r="A5133" t="s">
        <v>148</v>
      </c>
      <c r="B5133" t="s">
        <v>37</v>
      </c>
      <c r="C5133">
        <v>66500.009999999995</v>
      </c>
      <c r="D5133" t="s">
        <v>274</v>
      </c>
      <c r="E5133">
        <v>2023</v>
      </c>
      <c r="F5133">
        <v>2</v>
      </c>
    </row>
    <row r="5134" spans="1:6" x14ac:dyDescent="0.55000000000000004">
      <c r="A5134" t="s">
        <v>148</v>
      </c>
      <c r="B5134" t="s">
        <v>38</v>
      </c>
      <c r="C5134">
        <v>0</v>
      </c>
      <c r="D5134" t="s">
        <v>274</v>
      </c>
      <c r="E5134">
        <v>2023</v>
      </c>
      <c r="F5134">
        <v>2</v>
      </c>
    </row>
    <row r="5135" spans="1:6" x14ac:dyDescent="0.55000000000000004">
      <c r="A5135" t="s">
        <v>148</v>
      </c>
      <c r="B5135" t="s">
        <v>39</v>
      </c>
      <c r="C5135">
        <v>0.45619999999999999</v>
      </c>
      <c r="D5135" t="s">
        <v>274</v>
      </c>
      <c r="E5135">
        <v>2023</v>
      </c>
      <c r="F5135">
        <v>2</v>
      </c>
    </row>
    <row r="5136" spans="1:6" x14ac:dyDescent="0.55000000000000004">
      <c r="A5136" t="s">
        <v>148</v>
      </c>
      <c r="B5136" t="s">
        <v>40</v>
      </c>
      <c r="C5136">
        <v>609.3175</v>
      </c>
      <c r="D5136" t="s">
        <v>274</v>
      </c>
      <c r="E5136">
        <v>2023</v>
      </c>
      <c r="F5136">
        <v>2</v>
      </c>
    </row>
    <row r="5137" spans="1:6" x14ac:dyDescent="0.55000000000000004">
      <c r="A5137" t="s">
        <v>148</v>
      </c>
      <c r="B5137" t="s">
        <v>41</v>
      </c>
      <c r="C5137">
        <v>202049.99290000001</v>
      </c>
      <c r="D5137" t="s">
        <v>274</v>
      </c>
      <c r="E5137">
        <v>2023</v>
      </c>
      <c r="F5137">
        <v>2</v>
      </c>
    </row>
    <row r="5138" spans="1:6" x14ac:dyDescent="0.55000000000000004">
      <c r="A5138" t="s">
        <v>148</v>
      </c>
      <c r="B5138" t="s">
        <v>42</v>
      </c>
      <c r="C5138">
        <v>29.033300000000001</v>
      </c>
      <c r="D5138" t="s">
        <v>274</v>
      </c>
      <c r="E5138">
        <v>2023</v>
      </c>
      <c r="F5138">
        <v>2</v>
      </c>
    </row>
    <row r="5139" spans="1:6" x14ac:dyDescent="0.55000000000000004">
      <c r="A5139" t="s">
        <v>148</v>
      </c>
      <c r="B5139" t="s">
        <v>43</v>
      </c>
      <c r="C5139">
        <v>277319.40409999999</v>
      </c>
      <c r="D5139" t="s">
        <v>274</v>
      </c>
      <c r="E5139">
        <v>2023</v>
      </c>
      <c r="F5139">
        <v>2</v>
      </c>
    </row>
    <row r="5140" spans="1:6" x14ac:dyDescent="0.55000000000000004">
      <c r="A5140" t="s">
        <v>148</v>
      </c>
      <c r="B5140" t="s">
        <v>44</v>
      </c>
      <c r="C5140">
        <v>0</v>
      </c>
      <c r="D5140" t="s">
        <v>274</v>
      </c>
      <c r="E5140">
        <v>2023</v>
      </c>
      <c r="F5140">
        <v>2</v>
      </c>
    </row>
    <row r="5141" spans="1:6" x14ac:dyDescent="0.55000000000000004">
      <c r="A5141" t="s">
        <v>148</v>
      </c>
      <c r="B5141" t="s">
        <v>45</v>
      </c>
      <c r="C5141">
        <v>1035.4304999999999</v>
      </c>
      <c r="D5141" t="s">
        <v>274</v>
      </c>
      <c r="E5141">
        <v>2023</v>
      </c>
      <c r="F5141">
        <v>2</v>
      </c>
    </row>
    <row r="5142" spans="1:6" x14ac:dyDescent="0.55000000000000004">
      <c r="A5142" t="s">
        <v>148</v>
      </c>
      <c r="B5142" t="s">
        <v>46</v>
      </c>
      <c r="C5142">
        <v>44904.17</v>
      </c>
      <c r="D5142" t="s">
        <v>274</v>
      </c>
      <c r="E5142">
        <v>2023</v>
      </c>
      <c r="F5142">
        <v>2</v>
      </c>
    </row>
    <row r="5143" spans="1:6" x14ac:dyDescent="0.55000000000000004">
      <c r="A5143" t="s">
        <v>148</v>
      </c>
      <c r="B5143" t="s">
        <v>47</v>
      </c>
      <c r="C5143">
        <v>0</v>
      </c>
      <c r="D5143" t="s">
        <v>274</v>
      </c>
      <c r="E5143">
        <v>2023</v>
      </c>
      <c r="F5143">
        <v>2</v>
      </c>
    </row>
    <row r="5144" spans="1:6" x14ac:dyDescent="0.55000000000000004">
      <c r="A5144" t="s">
        <v>148</v>
      </c>
      <c r="B5144" t="s">
        <v>48</v>
      </c>
      <c r="C5144">
        <v>65147.991900000001</v>
      </c>
      <c r="D5144" t="s">
        <v>274</v>
      </c>
      <c r="E5144">
        <v>2023</v>
      </c>
      <c r="F5144">
        <v>2</v>
      </c>
    </row>
    <row r="5145" spans="1:6" x14ac:dyDescent="0.55000000000000004">
      <c r="A5145" t="s">
        <v>148</v>
      </c>
      <c r="B5145" t="s">
        <v>49</v>
      </c>
      <c r="C5145">
        <v>65.52</v>
      </c>
      <c r="D5145" t="s">
        <v>274</v>
      </c>
      <c r="E5145">
        <v>2023</v>
      </c>
      <c r="F5145">
        <v>2</v>
      </c>
    </row>
    <row r="5146" spans="1:6" x14ac:dyDescent="0.55000000000000004">
      <c r="A5146" t="s">
        <v>148</v>
      </c>
      <c r="B5146" t="s">
        <v>50</v>
      </c>
      <c r="C5146">
        <v>7020.0038999999997</v>
      </c>
      <c r="D5146" t="s">
        <v>274</v>
      </c>
      <c r="E5146">
        <v>2023</v>
      </c>
      <c r="F5146">
        <v>2</v>
      </c>
    </row>
    <row r="5147" spans="1:6" x14ac:dyDescent="0.55000000000000004">
      <c r="A5147" t="s">
        <v>148</v>
      </c>
      <c r="B5147" t="s">
        <v>51</v>
      </c>
      <c r="C5147">
        <v>2000</v>
      </c>
      <c r="D5147" t="s">
        <v>274</v>
      </c>
      <c r="E5147">
        <v>2023</v>
      </c>
      <c r="F5147">
        <v>2</v>
      </c>
    </row>
    <row r="5148" spans="1:6" x14ac:dyDescent="0.55000000000000004">
      <c r="A5148" t="s">
        <v>148</v>
      </c>
      <c r="B5148" t="s">
        <v>52</v>
      </c>
      <c r="C5148">
        <v>85.484099999999998</v>
      </c>
      <c r="D5148" t="s">
        <v>274</v>
      </c>
      <c r="E5148">
        <v>2023</v>
      </c>
      <c r="F5148">
        <v>2</v>
      </c>
    </row>
    <row r="5149" spans="1:6" x14ac:dyDescent="0.55000000000000004">
      <c r="A5149" t="s">
        <v>148</v>
      </c>
      <c r="B5149" t="s">
        <v>53</v>
      </c>
      <c r="C5149">
        <v>79321.8</v>
      </c>
      <c r="D5149" t="s">
        <v>274</v>
      </c>
      <c r="E5149">
        <v>2023</v>
      </c>
      <c r="F5149">
        <v>2</v>
      </c>
    </row>
    <row r="5150" spans="1:6" x14ac:dyDescent="0.55000000000000004">
      <c r="A5150" t="s">
        <v>148</v>
      </c>
      <c r="B5150" t="s">
        <v>54</v>
      </c>
      <c r="C5150">
        <v>14993.7114</v>
      </c>
      <c r="D5150" t="s">
        <v>274</v>
      </c>
      <c r="E5150">
        <v>2023</v>
      </c>
      <c r="F5150">
        <v>2</v>
      </c>
    </row>
    <row r="5151" spans="1:6" x14ac:dyDescent="0.55000000000000004">
      <c r="A5151" t="s">
        <v>148</v>
      </c>
      <c r="B5151" t="s">
        <v>55</v>
      </c>
      <c r="C5151">
        <v>9462.5332999999991</v>
      </c>
      <c r="D5151" t="s">
        <v>274</v>
      </c>
      <c r="E5151">
        <v>2023</v>
      </c>
      <c r="F5151">
        <v>2</v>
      </c>
    </row>
    <row r="5152" spans="1:6" x14ac:dyDescent="0.55000000000000004">
      <c r="A5152" t="s">
        <v>148</v>
      </c>
      <c r="B5152" t="s">
        <v>56</v>
      </c>
      <c r="C5152">
        <v>20062.433300000001</v>
      </c>
      <c r="D5152" t="s">
        <v>274</v>
      </c>
      <c r="E5152">
        <v>2023</v>
      </c>
      <c r="F5152">
        <v>2</v>
      </c>
    </row>
    <row r="5153" spans="1:6" x14ac:dyDescent="0.55000000000000004">
      <c r="A5153" t="s">
        <v>148</v>
      </c>
      <c r="B5153" t="s">
        <v>57</v>
      </c>
      <c r="C5153">
        <v>787.74580000000003</v>
      </c>
      <c r="D5153" t="s">
        <v>274</v>
      </c>
      <c r="E5153">
        <v>2023</v>
      </c>
      <c r="F5153">
        <v>2</v>
      </c>
    </row>
    <row r="5154" spans="1:6" x14ac:dyDescent="0.55000000000000004">
      <c r="A5154" t="s">
        <v>148</v>
      </c>
      <c r="B5154" t="s">
        <v>58</v>
      </c>
      <c r="C5154">
        <v>478646</v>
      </c>
      <c r="D5154" t="s">
        <v>274</v>
      </c>
      <c r="E5154">
        <v>2023</v>
      </c>
      <c r="F5154">
        <v>2</v>
      </c>
    </row>
    <row r="5155" spans="1:6" x14ac:dyDescent="0.55000000000000004">
      <c r="A5155" t="s">
        <v>148</v>
      </c>
      <c r="B5155" t="s">
        <v>59</v>
      </c>
      <c r="C5155">
        <v>5500</v>
      </c>
      <c r="D5155" t="s">
        <v>274</v>
      </c>
      <c r="E5155">
        <v>2023</v>
      </c>
      <c r="F5155">
        <v>2</v>
      </c>
    </row>
    <row r="5156" spans="1:6" x14ac:dyDescent="0.55000000000000004">
      <c r="A5156" t="s">
        <v>148</v>
      </c>
      <c r="B5156" t="s">
        <v>60</v>
      </c>
      <c r="C5156">
        <v>3705361.2982000001</v>
      </c>
      <c r="D5156" t="s">
        <v>274</v>
      </c>
      <c r="E5156">
        <v>2023</v>
      </c>
      <c r="F5156">
        <v>2</v>
      </c>
    </row>
    <row r="5157" spans="1:6" x14ac:dyDescent="0.55000000000000004">
      <c r="A5157" t="s">
        <v>148</v>
      </c>
      <c r="B5157" t="s">
        <v>61</v>
      </c>
      <c r="C5157">
        <v>4105.8</v>
      </c>
      <c r="D5157" t="s">
        <v>274</v>
      </c>
      <c r="E5157">
        <v>2023</v>
      </c>
      <c r="F5157">
        <v>2</v>
      </c>
    </row>
    <row r="5158" spans="1:6" x14ac:dyDescent="0.55000000000000004">
      <c r="A5158" t="s">
        <v>148</v>
      </c>
      <c r="B5158" t="s">
        <v>62</v>
      </c>
      <c r="C5158">
        <v>4670.0167000000001</v>
      </c>
      <c r="D5158" t="s">
        <v>274</v>
      </c>
      <c r="E5158">
        <v>2023</v>
      </c>
      <c r="F5158">
        <v>2</v>
      </c>
    </row>
    <row r="5159" spans="1:6" x14ac:dyDescent="0.55000000000000004">
      <c r="A5159" t="s">
        <v>148</v>
      </c>
      <c r="B5159" t="s">
        <v>63</v>
      </c>
      <c r="C5159">
        <v>0</v>
      </c>
      <c r="D5159" t="s">
        <v>274</v>
      </c>
      <c r="E5159">
        <v>2023</v>
      </c>
      <c r="F5159">
        <v>2</v>
      </c>
    </row>
    <row r="5160" spans="1:6" x14ac:dyDescent="0.55000000000000004">
      <c r="A5160" t="s">
        <v>149</v>
      </c>
      <c r="B5160" t="s">
        <v>4</v>
      </c>
      <c r="C5160">
        <v>11963723.8156</v>
      </c>
      <c r="D5160" t="s">
        <v>275</v>
      </c>
      <c r="E5160">
        <v>2023</v>
      </c>
      <c r="F5160">
        <v>3</v>
      </c>
    </row>
    <row r="5161" spans="1:6" x14ac:dyDescent="0.55000000000000004">
      <c r="A5161" t="s">
        <v>149</v>
      </c>
      <c r="B5161" t="s">
        <v>5</v>
      </c>
      <c r="C5161">
        <v>1043297.6985000001</v>
      </c>
      <c r="D5161" t="s">
        <v>275</v>
      </c>
      <c r="E5161">
        <v>2023</v>
      </c>
      <c r="F5161">
        <v>3</v>
      </c>
    </row>
    <row r="5162" spans="1:6" x14ac:dyDescent="0.55000000000000004">
      <c r="A5162" t="s">
        <v>149</v>
      </c>
      <c r="B5162" t="s">
        <v>6</v>
      </c>
      <c r="C5162">
        <v>2484132.1390999998</v>
      </c>
      <c r="D5162" t="s">
        <v>275</v>
      </c>
      <c r="E5162">
        <v>2023</v>
      </c>
      <c r="F5162">
        <v>3</v>
      </c>
    </row>
    <row r="5163" spans="1:6" x14ac:dyDescent="0.55000000000000004">
      <c r="A5163" t="s">
        <v>149</v>
      </c>
      <c r="B5163" t="s">
        <v>7</v>
      </c>
      <c r="C5163">
        <v>3232169.7143999999</v>
      </c>
      <c r="D5163" t="s">
        <v>275</v>
      </c>
      <c r="E5163">
        <v>2023</v>
      </c>
      <c r="F5163">
        <v>3</v>
      </c>
    </row>
    <row r="5164" spans="1:6" x14ac:dyDescent="0.55000000000000004">
      <c r="A5164" t="s">
        <v>149</v>
      </c>
      <c r="B5164" t="s">
        <v>8</v>
      </c>
      <c r="C5164">
        <v>5204124.2636000002</v>
      </c>
      <c r="D5164" t="s">
        <v>275</v>
      </c>
      <c r="E5164">
        <v>2023</v>
      </c>
      <c r="F5164">
        <v>3</v>
      </c>
    </row>
    <row r="5165" spans="1:6" x14ac:dyDescent="0.55000000000000004">
      <c r="A5165" t="s">
        <v>149</v>
      </c>
      <c r="B5165" t="s">
        <v>9</v>
      </c>
      <c r="C5165">
        <v>1777.7134000000001</v>
      </c>
      <c r="D5165" t="s">
        <v>275</v>
      </c>
      <c r="E5165">
        <v>2023</v>
      </c>
      <c r="F5165">
        <v>3</v>
      </c>
    </row>
    <row r="5166" spans="1:6" x14ac:dyDescent="0.55000000000000004">
      <c r="A5166" t="s">
        <v>149</v>
      </c>
      <c r="B5166" t="s">
        <v>10</v>
      </c>
      <c r="C5166">
        <v>2224.8000000000002</v>
      </c>
      <c r="D5166" t="s">
        <v>275</v>
      </c>
      <c r="E5166">
        <v>2023</v>
      </c>
      <c r="F5166">
        <v>3</v>
      </c>
    </row>
    <row r="5167" spans="1:6" x14ac:dyDescent="0.55000000000000004">
      <c r="A5167" t="s">
        <v>149</v>
      </c>
      <c r="B5167" t="s">
        <v>11</v>
      </c>
      <c r="C5167">
        <v>3166636.1178000001</v>
      </c>
      <c r="D5167" t="s">
        <v>275</v>
      </c>
      <c r="E5167">
        <v>2023</v>
      </c>
      <c r="F5167">
        <v>3</v>
      </c>
    </row>
    <row r="5168" spans="1:6" x14ac:dyDescent="0.55000000000000004">
      <c r="A5168" t="s">
        <v>149</v>
      </c>
      <c r="B5168" t="s">
        <v>12</v>
      </c>
      <c r="C5168">
        <v>14388.7752</v>
      </c>
      <c r="D5168" t="s">
        <v>275</v>
      </c>
      <c r="E5168">
        <v>2023</v>
      </c>
      <c r="F5168">
        <v>3</v>
      </c>
    </row>
    <row r="5169" spans="1:6" x14ac:dyDescent="0.55000000000000004">
      <c r="A5169" t="s">
        <v>149</v>
      </c>
      <c r="B5169" t="s">
        <v>13</v>
      </c>
      <c r="C5169">
        <v>1363.8163999999999</v>
      </c>
      <c r="D5169" t="s">
        <v>275</v>
      </c>
      <c r="E5169">
        <v>2023</v>
      </c>
      <c r="F5169">
        <v>3</v>
      </c>
    </row>
    <row r="5170" spans="1:6" x14ac:dyDescent="0.55000000000000004">
      <c r="A5170" t="s">
        <v>149</v>
      </c>
      <c r="B5170" t="s">
        <v>14</v>
      </c>
      <c r="C5170">
        <v>5000</v>
      </c>
      <c r="D5170" t="s">
        <v>275</v>
      </c>
      <c r="E5170">
        <v>2023</v>
      </c>
      <c r="F5170">
        <v>3</v>
      </c>
    </row>
    <row r="5171" spans="1:6" x14ac:dyDescent="0.55000000000000004">
      <c r="A5171" t="s">
        <v>149</v>
      </c>
      <c r="B5171" t="s">
        <v>15</v>
      </c>
      <c r="C5171">
        <v>915724.55240000004</v>
      </c>
      <c r="D5171" t="s">
        <v>275</v>
      </c>
      <c r="E5171">
        <v>2023</v>
      </c>
      <c r="F5171">
        <v>3</v>
      </c>
    </row>
    <row r="5172" spans="1:6" x14ac:dyDescent="0.55000000000000004">
      <c r="A5172" t="s">
        <v>149</v>
      </c>
      <c r="B5172" t="s">
        <v>16</v>
      </c>
      <c r="C5172">
        <v>0</v>
      </c>
      <c r="D5172" t="s">
        <v>275</v>
      </c>
      <c r="E5172">
        <v>2023</v>
      </c>
      <c r="F5172">
        <v>3</v>
      </c>
    </row>
    <row r="5173" spans="1:6" x14ac:dyDescent="0.55000000000000004">
      <c r="A5173" t="s">
        <v>149</v>
      </c>
      <c r="B5173" t="s">
        <v>17</v>
      </c>
      <c r="C5173">
        <v>115202.853</v>
      </c>
      <c r="D5173" t="s">
        <v>275</v>
      </c>
      <c r="E5173">
        <v>2023</v>
      </c>
      <c r="F5173">
        <v>3</v>
      </c>
    </row>
    <row r="5174" spans="1:6" x14ac:dyDescent="0.55000000000000004">
      <c r="A5174" t="s">
        <v>149</v>
      </c>
      <c r="B5174" t="s">
        <v>18</v>
      </c>
      <c r="C5174">
        <v>123132.3336</v>
      </c>
      <c r="D5174" t="s">
        <v>275</v>
      </c>
      <c r="E5174">
        <v>2023</v>
      </c>
      <c r="F5174">
        <v>3</v>
      </c>
    </row>
    <row r="5175" spans="1:6" x14ac:dyDescent="0.55000000000000004">
      <c r="A5175" t="s">
        <v>149</v>
      </c>
      <c r="B5175" t="s">
        <v>19</v>
      </c>
      <c r="C5175">
        <v>999.99170000000004</v>
      </c>
      <c r="D5175" t="s">
        <v>275</v>
      </c>
      <c r="E5175">
        <v>2023</v>
      </c>
      <c r="F5175">
        <v>3</v>
      </c>
    </row>
    <row r="5176" spans="1:6" x14ac:dyDescent="0.55000000000000004">
      <c r="A5176" t="s">
        <v>149</v>
      </c>
      <c r="B5176" t="s">
        <v>20</v>
      </c>
      <c r="C5176">
        <v>16700</v>
      </c>
      <c r="D5176" t="s">
        <v>275</v>
      </c>
      <c r="E5176">
        <v>2023</v>
      </c>
      <c r="F5176">
        <v>3</v>
      </c>
    </row>
    <row r="5177" spans="1:6" x14ac:dyDescent="0.55000000000000004">
      <c r="A5177" t="s">
        <v>149</v>
      </c>
      <c r="B5177" t="s">
        <v>21</v>
      </c>
      <c r="C5177">
        <v>8330.2739000000001</v>
      </c>
      <c r="D5177" t="s">
        <v>275</v>
      </c>
      <c r="E5177">
        <v>2023</v>
      </c>
      <c r="F5177">
        <v>3</v>
      </c>
    </row>
    <row r="5178" spans="1:6" x14ac:dyDescent="0.55000000000000004">
      <c r="A5178" t="s">
        <v>149</v>
      </c>
      <c r="B5178" t="s">
        <v>22</v>
      </c>
      <c r="C5178">
        <v>53365.671999999999</v>
      </c>
      <c r="D5178" t="s">
        <v>275</v>
      </c>
      <c r="E5178">
        <v>2023</v>
      </c>
      <c r="F5178">
        <v>3</v>
      </c>
    </row>
    <row r="5179" spans="1:6" x14ac:dyDescent="0.55000000000000004">
      <c r="A5179" t="s">
        <v>149</v>
      </c>
      <c r="B5179" t="s">
        <v>23</v>
      </c>
      <c r="C5179">
        <v>64927.540800000002</v>
      </c>
      <c r="D5179" t="s">
        <v>275</v>
      </c>
      <c r="E5179">
        <v>2023</v>
      </c>
      <c r="F5179">
        <v>3</v>
      </c>
    </row>
    <row r="5180" spans="1:6" x14ac:dyDescent="0.55000000000000004">
      <c r="A5180" t="s">
        <v>149</v>
      </c>
      <c r="B5180" t="s">
        <v>24</v>
      </c>
      <c r="C5180">
        <v>0</v>
      </c>
      <c r="D5180" t="s">
        <v>275</v>
      </c>
      <c r="E5180">
        <v>2023</v>
      </c>
      <c r="F5180">
        <v>3</v>
      </c>
    </row>
    <row r="5181" spans="1:6" x14ac:dyDescent="0.55000000000000004">
      <c r="A5181" t="s">
        <v>149</v>
      </c>
      <c r="B5181" t="s">
        <v>25</v>
      </c>
      <c r="C5181">
        <v>178531.28339999999</v>
      </c>
      <c r="D5181" t="s">
        <v>275</v>
      </c>
      <c r="E5181">
        <v>2023</v>
      </c>
      <c r="F5181">
        <v>3</v>
      </c>
    </row>
    <row r="5182" spans="1:6" x14ac:dyDescent="0.55000000000000004">
      <c r="A5182" t="s">
        <v>149</v>
      </c>
      <c r="B5182" t="s">
        <v>26</v>
      </c>
      <c r="C5182">
        <v>0</v>
      </c>
      <c r="D5182" t="s">
        <v>275</v>
      </c>
      <c r="E5182">
        <v>2023</v>
      </c>
      <c r="F5182">
        <v>3</v>
      </c>
    </row>
    <row r="5183" spans="1:6" x14ac:dyDescent="0.55000000000000004">
      <c r="A5183" t="s">
        <v>149</v>
      </c>
      <c r="B5183" t="s">
        <v>27</v>
      </c>
      <c r="C5183">
        <v>232.48869999999999</v>
      </c>
      <c r="D5183" t="s">
        <v>275</v>
      </c>
      <c r="E5183">
        <v>2023</v>
      </c>
      <c r="F5183">
        <v>3</v>
      </c>
    </row>
    <row r="5184" spans="1:6" x14ac:dyDescent="0.55000000000000004">
      <c r="A5184" t="s">
        <v>149</v>
      </c>
      <c r="B5184" t="s">
        <v>28</v>
      </c>
      <c r="C5184">
        <v>360455.84330000001</v>
      </c>
      <c r="D5184" t="s">
        <v>275</v>
      </c>
      <c r="E5184">
        <v>2023</v>
      </c>
      <c r="F5184">
        <v>3</v>
      </c>
    </row>
    <row r="5185" spans="1:6" x14ac:dyDescent="0.55000000000000004">
      <c r="A5185" t="s">
        <v>149</v>
      </c>
      <c r="B5185" t="s">
        <v>29</v>
      </c>
      <c r="C5185">
        <v>19931.383300000001</v>
      </c>
      <c r="D5185" t="s">
        <v>275</v>
      </c>
      <c r="E5185">
        <v>2023</v>
      </c>
      <c r="F5185">
        <v>3</v>
      </c>
    </row>
    <row r="5186" spans="1:6" x14ac:dyDescent="0.55000000000000004">
      <c r="A5186" t="s">
        <v>149</v>
      </c>
      <c r="B5186" t="s">
        <v>30</v>
      </c>
      <c r="C5186">
        <v>6.5438000000000001</v>
      </c>
      <c r="D5186" t="s">
        <v>275</v>
      </c>
      <c r="E5186">
        <v>2023</v>
      </c>
      <c r="F5186">
        <v>3</v>
      </c>
    </row>
    <row r="5187" spans="1:6" x14ac:dyDescent="0.55000000000000004">
      <c r="A5187" t="s">
        <v>149</v>
      </c>
      <c r="B5187" t="s">
        <v>31</v>
      </c>
      <c r="C5187">
        <v>120</v>
      </c>
      <c r="D5187" t="s">
        <v>275</v>
      </c>
      <c r="E5187">
        <v>2023</v>
      </c>
      <c r="F5187">
        <v>3</v>
      </c>
    </row>
    <row r="5188" spans="1:6" x14ac:dyDescent="0.55000000000000004">
      <c r="A5188" t="s">
        <v>149</v>
      </c>
      <c r="B5188" t="s">
        <v>32</v>
      </c>
      <c r="C5188">
        <v>633984.22829999996</v>
      </c>
      <c r="D5188" t="s">
        <v>275</v>
      </c>
      <c r="E5188">
        <v>2023</v>
      </c>
      <c r="F5188">
        <v>3</v>
      </c>
    </row>
    <row r="5189" spans="1:6" x14ac:dyDescent="0.55000000000000004">
      <c r="A5189" t="s">
        <v>149</v>
      </c>
      <c r="B5189" t="s">
        <v>33</v>
      </c>
      <c r="C5189">
        <v>786702.5834</v>
      </c>
      <c r="D5189" t="s">
        <v>275</v>
      </c>
      <c r="E5189">
        <v>2023</v>
      </c>
      <c r="F5189">
        <v>3</v>
      </c>
    </row>
    <row r="5190" spans="1:6" x14ac:dyDescent="0.55000000000000004">
      <c r="A5190" t="s">
        <v>149</v>
      </c>
      <c r="B5190" t="s">
        <v>34</v>
      </c>
      <c r="C5190">
        <v>462927.0294</v>
      </c>
      <c r="D5190" t="s">
        <v>275</v>
      </c>
      <c r="E5190">
        <v>2023</v>
      </c>
      <c r="F5190">
        <v>3</v>
      </c>
    </row>
    <row r="5191" spans="1:6" x14ac:dyDescent="0.55000000000000004">
      <c r="A5191" t="s">
        <v>149</v>
      </c>
      <c r="B5191" t="s">
        <v>35</v>
      </c>
      <c r="C5191">
        <v>1048.8991000000001</v>
      </c>
      <c r="D5191" t="s">
        <v>275</v>
      </c>
      <c r="E5191">
        <v>2023</v>
      </c>
      <c r="F5191">
        <v>3</v>
      </c>
    </row>
    <row r="5192" spans="1:6" x14ac:dyDescent="0.55000000000000004">
      <c r="A5192" t="s">
        <v>149</v>
      </c>
      <c r="B5192" t="s">
        <v>36</v>
      </c>
      <c r="C5192">
        <v>72240.056100000002</v>
      </c>
      <c r="D5192" t="s">
        <v>275</v>
      </c>
      <c r="E5192">
        <v>2023</v>
      </c>
      <c r="F5192">
        <v>3</v>
      </c>
    </row>
    <row r="5193" spans="1:6" x14ac:dyDescent="0.55000000000000004">
      <c r="A5193" t="s">
        <v>149</v>
      </c>
      <c r="B5193" t="s">
        <v>37</v>
      </c>
      <c r="C5193">
        <v>122100.0046</v>
      </c>
      <c r="D5193" t="s">
        <v>275</v>
      </c>
      <c r="E5193">
        <v>2023</v>
      </c>
      <c r="F5193">
        <v>3</v>
      </c>
    </row>
    <row r="5194" spans="1:6" x14ac:dyDescent="0.55000000000000004">
      <c r="A5194" t="s">
        <v>149</v>
      </c>
      <c r="B5194" t="s">
        <v>38</v>
      </c>
      <c r="C5194">
        <v>0</v>
      </c>
      <c r="D5194" t="s">
        <v>275</v>
      </c>
      <c r="E5194">
        <v>2023</v>
      </c>
      <c r="F5194">
        <v>3</v>
      </c>
    </row>
    <row r="5195" spans="1:6" x14ac:dyDescent="0.55000000000000004">
      <c r="A5195" t="s">
        <v>149</v>
      </c>
      <c r="B5195" t="s">
        <v>39</v>
      </c>
      <c r="C5195">
        <v>9.9199999999999997E-2</v>
      </c>
      <c r="D5195" t="s">
        <v>275</v>
      </c>
      <c r="E5195">
        <v>2023</v>
      </c>
      <c r="F5195">
        <v>3</v>
      </c>
    </row>
    <row r="5196" spans="1:6" x14ac:dyDescent="0.55000000000000004">
      <c r="A5196" t="s">
        <v>149</v>
      </c>
      <c r="B5196" t="s">
        <v>40</v>
      </c>
      <c r="C5196">
        <v>609.3175</v>
      </c>
      <c r="D5196" t="s">
        <v>275</v>
      </c>
      <c r="E5196">
        <v>2023</v>
      </c>
      <c r="F5196">
        <v>3</v>
      </c>
    </row>
    <row r="5197" spans="1:6" x14ac:dyDescent="0.55000000000000004">
      <c r="A5197" t="s">
        <v>149</v>
      </c>
      <c r="B5197" t="s">
        <v>41</v>
      </c>
      <c r="C5197">
        <v>275800.0074</v>
      </c>
      <c r="D5197" t="s">
        <v>275</v>
      </c>
      <c r="E5197">
        <v>2023</v>
      </c>
      <c r="F5197">
        <v>3</v>
      </c>
    </row>
    <row r="5198" spans="1:6" x14ac:dyDescent="0.55000000000000004">
      <c r="A5198" t="s">
        <v>149</v>
      </c>
      <c r="B5198" t="s">
        <v>42</v>
      </c>
      <c r="C5198">
        <v>39.083300000000001</v>
      </c>
      <c r="D5198" t="s">
        <v>275</v>
      </c>
      <c r="E5198">
        <v>2023</v>
      </c>
      <c r="F5198">
        <v>3</v>
      </c>
    </row>
    <row r="5199" spans="1:6" x14ac:dyDescent="0.55000000000000004">
      <c r="A5199" t="s">
        <v>149</v>
      </c>
      <c r="B5199" t="s">
        <v>43</v>
      </c>
      <c r="C5199">
        <v>349192.29300000001</v>
      </c>
      <c r="D5199" t="s">
        <v>275</v>
      </c>
      <c r="E5199">
        <v>2023</v>
      </c>
      <c r="F5199">
        <v>3</v>
      </c>
    </row>
    <row r="5200" spans="1:6" x14ac:dyDescent="0.55000000000000004">
      <c r="A5200" t="s">
        <v>149</v>
      </c>
      <c r="B5200" t="s">
        <v>44</v>
      </c>
      <c r="C5200">
        <v>0</v>
      </c>
      <c r="D5200" t="s">
        <v>275</v>
      </c>
      <c r="E5200">
        <v>2023</v>
      </c>
      <c r="F5200">
        <v>3</v>
      </c>
    </row>
    <row r="5201" spans="1:6" x14ac:dyDescent="0.55000000000000004">
      <c r="A5201" t="s">
        <v>149</v>
      </c>
      <c r="B5201" t="s">
        <v>45</v>
      </c>
      <c r="C5201">
        <v>4064.8516</v>
      </c>
      <c r="D5201" t="s">
        <v>275</v>
      </c>
      <c r="E5201">
        <v>2023</v>
      </c>
      <c r="F5201">
        <v>3</v>
      </c>
    </row>
    <row r="5202" spans="1:6" x14ac:dyDescent="0.55000000000000004">
      <c r="A5202" t="s">
        <v>149</v>
      </c>
      <c r="B5202" t="s">
        <v>46</v>
      </c>
      <c r="C5202">
        <v>44707.67</v>
      </c>
      <c r="D5202" t="s">
        <v>275</v>
      </c>
      <c r="E5202">
        <v>2023</v>
      </c>
      <c r="F5202">
        <v>3</v>
      </c>
    </row>
    <row r="5203" spans="1:6" x14ac:dyDescent="0.55000000000000004">
      <c r="A5203" t="s">
        <v>149</v>
      </c>
      <c r="B5203" t="s">
        <v>47</v>
      </c>
      <c r="C5203">
        <v>0.41670000000000001</v>
      </c>
      <c r="D5203" t="s">
        <v>275</v>
      </c>
      <c r="E5203">
        <v>2023</v>
      </c>
      <c r="F5203">
        <v>3</v>
      </c>
    </row>
    <row r="5204" spans="1:6" x14ac:dyDescent="0.55000000000000004">
      <c r="A5204" t="s">
        <v>149</v>
      </c>
      <c r="B5204" t="s">
        <v>48</v>
      </c>
      <c r="C5204">
        <v>46324.825499999999</v>
      </c>
      <c r="D5204" t="s">
        <v>275</v>
      </c>
      <c r="E5204">
        <v>2023</v>
      </c>
      <c r="F5204">
        <v>3</v>
      </c>
    </row>
    <row r="5205" spans="1:6" x14ac:dyDescent="0.55000000000000004">
      <c r="A5205" t="s">
        <v>149</v>
      </c>
      <c r="B5205" t="s">
        <v>49</v>
      </c>
      <c r="C5205">
        <v>27.7333</v>
      </c>
      <c r="D5205" t="s">
        <v>275</v>
      </c>
      <c r="E5205">
        <v>2023</v>
      </c>
      <c r="F5205">
        <v>3</v>
      </c>
    </row>
    <row r="5206" spans="1:6" x14ac:dyDescent="0.55000000000000004">
      <c r="A5206" t="s">
        <v>149</v>
      </c>
      <c r="B5206" t="s">
        <v>50</v>
      </c>
      <c r="C5206">
        <v>18090.0137</v>
      </c>
      <c r="D5206" t="s">
        <v>275</v>
      </c>
      <c r="E5206">
        <v>2023</v>
      </c>
      <c r="F5206">
        <v>3</v>
      </c>
    </row>
    <row r="5207" spans="1:6" x14ac:dyDescent="0.55000000000000004">
      <c r="A5207" t="s">
        <v>149</v>
      </c>
      <c r="B5207" t="s">
        <v>51</v>
      </c>
      <c r="C5207">
        <v>1100</v>
      </c>
      <c r="D5207" t="s">
        <v>275</v>
      </c>
      <c r="E5207">
        <v>2023</v>
      </c>
      <c r="F5207">
        <v>3</v>
      </c>
    </row>
    <row r="5208" spans="1:6" x14ac:dyDescent="0.55000000000000004">
      <c r="A5208" t="s">
        <v>149</v>
      </c>
      <c r="B5208" t="s">
        <v>52</v>
      </c>
      <c r="C5208">
        <v>107.971</v>
      </c>
      <c r="D5208" t="s">
        <v>275</v>
      </c>
      <c r="E5208">
        <v>2023</v>
      </c>
      <c r="F5208">
        <v>3</v>
      </c>
    </row>
    <row r="5209" spans="1:6" x14ac:dyDescent="0.55000000000000004">
      <c r="A5209" t="s">
        <v>149</v>
      </c>
      <c r="B5209" t="s">
        <v>53</v>
      </c>
      <c r="C5209">
        <v>90774.02</v>
      </c>
      <c r="D5209" t="s">
        <v>275</v>
      </c>
      <c r="E5209">
        <v>2023</v>
      </c>
      <c r="F5209">
        <v>3</v>
      </c>
    </row>
    <row r="5210" spans="1:6" x14ac:dyDescent="0.55000000000000004">
      <c r="A5210" t="s">
        <v>149</v>
      </c>
      <c r="B5210" t="s">
        <v>54</v>
      </c>
      <c r="C5210">
        <v>17522.742699999999</v>
      </c>
      <c r="D5210" t="s">
        <v>275</v>
      </c>
      <c r="E5210">
        <v>2023</v>
      </c>
      <c r="F5210">
        <v>3</v>
      </c>
    </row>
    <row r="5211" spans="1:6" x14ac:dyDescent="0.55000000000000004">
      <c r="A5211" t="s">
        <v>149</v>
      </c>
      <c r="B5211" t="s">
        <v>55</v>
      </c>
      <c r="C5211">
        <v>4619</v>
      </c>
      <c r="D5211" t="s">
        <v>275</v>
      </c>
      <c r="E5211">
        <v>2023</v>
      </c>
      <c r="F5211">
        <v>3</v>
      </c>
    </row>
    <row r="5212" spans="1:6" x14ac:dyDescent="0.55000000000000004">
      <c r="A5212" t="s">
        <v>149</v>
      </c>
      <c r="B5212" t="s">
        <v>56</v>
      </c>
      <c r="C5212">
        <v>10524.3333</v>
      </c>
      <c r="D5212" t="s">
        <v>275</v>
      </c>
      <c r="E5212">
        <v>2023</v>
      </c>
      <c r="F5212">
        <v>3</v>
      </c>
    </row>
    <row r="5213" spans="1:6" x14ac:dyDescent="0.55000000000000004">
      <c r="A5213" t="s">
        <v>149</v>
      </c>
      <c r="B5213" t="s">
        <v>57</v>
      </c>
      <c r="C5213">
        <v>676.10670000000005</v>
      </c>
      <c r="D5213" t="s">
        <v>275</v>
      </c>
      <c r="E5213">
        <v>2023</v>
      </c>
      <c r="F5213">
        <v>3</v>
      </c>
    </row>
    <row r="5214" spans="1:6" x14ac:dyDescent="0.55000000000000004">
      <c r="A5214" t="s">
        <v>149</v>
      </c>
      <c r="B5214" t="s">
        <v>58</v>
      </c>
      <c r="C5214">
        <v>487796.99</v>
      </c>
      <c r="D5214" t="s">
        <v>275</v>
      </c>
      <c r="E5214">
        <v>2023</v>
      </c>
      <c r="F5214">
        <v>3</v>
      </c>
    </row>
    <row r="5215" spans="1:6" x14ac:dyDescent="0.55000000000000004">
      <c r="A5215" t="s">
        <v>149</v>
      </c>
      <c r="B5215" t="s">
        <v>59</v>
      </c>
      <c r="C5215">
        <v>4400</v>
      </c>
      <c r="D5215" t="s">
        <v>275</v>
      </c>
      <c r="E5215">
        <v>2023</v>
      </c>
      <c r="F5215">
        <v>3</v>
      </c>
    </row>
    <row r="5216" spans="1:6" x14ac:dyDescent="0.55000000000000004">
      <c r="A5216" t="s">
        <v>149</v>
      </c>
      <c r="B5216" t="s">
        <v>60</v>
      </c>
      <c r="C5216">
        <v>3469574.4712</v>
      </c>
      <c r="D5216" t="s">
        <v>275</v>
      </c>
      <c r="E5216">
        <v>2023</v>
      </c>
      <c r="F5216">
        <v>3</v>
      </c>
    </row>
    <row r="5217" spans="1:6" x14ac:dyDescent="0.55000000000000004">
      <c r="A5217" t="s">
        <v>149</v>
      </c>
      <c r="B5217" t="s">
        <v>61</v>
      </c>
      <c r="C5217">
        <v>4812.7776000000003</v>
      </c>
      <c r="D5217" t="s">
        <v>275</v>
      </c>
      <c r="E5217">
        <v>2023</v>
      </c>
      <c r="F5217">
        <v>3</v>
      </c>
    </row>
    <row r="5218" spans="1:6" x14ac:dyDescent="0.55000000000000004">
      <c r="A5218" t="s">
        <v>149</v>
      </c>
      <c r="B5218" t="s">
        <v>62</v>
      </c>
      <c r="C5218">
        <v>4901.3132999999998</v>
      </c>
      <c r="D5218" t="s">
        <v>275</v>
      </c>
      <c r="E5218">
        <v>2023</v>
      </c>
      <c r="F5218">
        <v>3</v>
      </c>
    </row>
    <row r="5219" spans="1:6" x14ac:dyDescent="0.55000000000000004">
      <c r="A5219" t="s">
        <v>149</v>
      </c>
      <c r="B5219" t="s">
        <v>63</v>
      </c>
      <c r="C5219">
        <v>2.9950000000000001</v>
      </c>
      <c r="D5219" t="s">
        <v>275</v>
      </c>
      <c r="E5219">
        <v>2023</v>
      </c>
      <c r="F5219">
        <v>3</v>
      </c>
    </row>
    <row r="5220" spans="1:6" x14ac:dyDescent="0.55000000000000004">
      <c r="A5220" t="s">
        <v>150</v>
      </c>
      <c r="B5220" t="s">
        <v>4</v>
      </c>
      <c r="C5220">
        <v>9816595.6026000008</v>
      </c>
      <c r="D5220" t="s">
        <v>276</v>
      </c>
      <c r="E5220">
        <v>2023</v>
      </c>
      <c r="F5220">
        <v>4</v>
      </c>
    </row>
    <row r="5221" spans="1:6" x14ac:dyDescent="0.55000000000000004">
      <c r="A5221" t="s">
        <v>150</v>
      </c>
      <c r="B5221" t="s">
        <v>5</v>
      </c>
      <c r="C5221">
        <v>897105.74789999996</v>
      </c>
      <c r="D5221" t="s">
        <v>276</v>
      </c>
      <c r="E5221">
        <v>2023</v>
      </c>
      <c r="F5221">
        <v>4</v>
      </c>
    </row>
    <row r="5222" spans="1:6" x14ac:dyDescent="0.55000000000000004">
      <c r="A5222" t="s">
        <v>150</v>
      </c>
      <c r="B5222" t="s">
        <v>6</v>
      </c>
      <c r="C5222">
        <v>2499345.0783000002</v>
      </c>
      <c r="D5222" t="s">
        <v>276</v>
      </c>
      <c r="E5222">
        <v>2023</v>
      </c>
      <c r="F5222">
        <v>4</v>
      </c>
    </row>
    <row r="5223" spans="1:6" x14ac:dyDescent="0.55000000000000004">
      <c r="A5223" t="s">
        <v>150</v>
      </c>
      <c r="B5223" t="s">
        <v>7</v>
      </c>
      <c r="C5223">
        <v>2586288.2026</v>
      </c>
      <c r="D5223" t="s">
        <v>276</v>
      </c>
      <c r="E5223">
        <v>2023</v>
      </c>
      <c r="F5223">
        <v>4</v>
      </c>
    </row>
    <row r="5224" spans="1:6" x14ac:dyDescent="0.55000000000000004">
      <c r="A5224" t="s">
        <v>150</v>
      </c>
      <c r="B5224" t="s">
        <v>8</v>
      </c>
      <c r="C5224">
        <v>3833856.5737999999</v>
      </c>
      <c r="D5224" t="s">
        <v>276</v>
      </c>
      <c r="E5224">
        <v>2023</v>
      </c>
      <c r="F5224">
        <v>4</v>
      </c>
    </row>
    <row r="5225" spans="1:6" x14ac:dyDescent="0.55000000000000004">
      <c r="A5225" t="s">
        <v>150</v>
      </c>
      <c r="B5225" t="s">
        <v>9</v>
      </c>
      <c r="C5225">
        <v>331.6542</v>
      </c>
      <c r="D5225" t="s">
        <v>276</v>
      </c>
      <c r="E5225">
        <v>2023</v>
      </c>
      <c r="F5225">
        <v>4</v>
      </c>
    </row>
    <row r="5226" spans="1:6" x14ac:dyDescent="0.55000000000000004">
      <c r="A5226" t="s">
        <v>150</v>
      </c>
      <c r="B5226" t="s">
        <v>10</v>
      </c>
      <c r="C5226">
        <v>571.34</v>
      </c>
      <c r="D5226" t="s">
        <v>276</v>
      </c>
      <c r="E5226">
        <v>2023</v>
      </c>
      <c r="F5226">
        <v>4</v>
      </c>
    </row>
    <row r="5227" spans="1:6" x14ac:dyDescent="0.55000000000000004">
      <c r="A5227" t="s">
        <v>150</v>
      </c>
      <c r="B5227" t="s">
        <v>11</v>
      </c>
      <c r="C5227">
        <v>2495688.7404</v>
      </c>
      <c r="D5227" t="s">
        <v>276</v>
      </c>
      <c r="E5227">
        <v>2023</v>
      </c>
      <c r="F5227">
        <v>4</v>
      </c>
    </row>
    <row r="5228" spans="1:6" x14ac:dyDescent="0.55000000000000004">
      <c r="A5228" t="s">
        <v>150</v>
      </c>
      <c r="B5228" t="s">
        <v>12</v>
      </c>
      <c r="C5228">
        <v>14388.7752</v>
      </c>
      <c r="D5228" t="s">
        <v>276</v>
      </c>
      <c r="E5228">
        <v>2023</v>
      </c>
      <c r="F5228">
        <v>4</v>
      </c>
    </row>
    <row r="5229" spans="1:6" x14ac:dyDescent="0.55000000000000004">
      <c r="A5229" t="s">
        <v>150</v>
      </c>
      <c r="B5229" t="s">
        <v>13</v>
      </c>
      <c r="C5229">
        <v>6096.26</v>
      </c>
      <c r="D5229" t="s">
        <v>276</v>
      </c>
      <c r="E5229">
        <v>2023</v>
      </c>
      <c r="F5229">
        <v>4</v>
      </c>
    </row>
    <row r="5230" spans="1:6" x14ac:dyDescent="0.55000000000000004">
      <c r="A5230" t="s">
        <v>150</v>
      </c>
      <c r="B5230" t="s">
        <v>14</v>
      </c>
      <c r="C5230">
        <v>5000</v>
      </c>
      <c r="D5230" t="s">
        <v>276</v>
      </c>
      <c r="E5230">
        <v>2023</v>
      </c>
      <c r="F5230">
        <v>4</v>
      </c>
    </row>
    <row r="5231" spans="1:6" x14ac:dyDescent="0.55000000000000004">
      <c r="A5231" t="s">
        <v>150</v>
      </c>
      <c r="B5231" t="s">
        <v>15</v>
      </c>
      <c r="C5231">
        <v>733241.93090000004</v>
      </c>
      <c r="D5231" t="s">
        <v>276</v>
      </c>
      <c r="E5231">
        <v>2023</v>
      </c>
      <c r="F5231">
        <v>4</v>
      </c>
    </row>
    <row r="5232" spans="1:6" x14ac:dyDescent="0.55000000000000004">
      <c r="A5232" t="s">
        <v>150</v>
      </c>
      <c r="B5232" t="s">
        <v>16</v>
      </c>
      <c r="C5232">
        <v>0</v>
      </c>
      <c r="D5232" t="s">
        <v>276</v>
      </c>
      <c r="E5232">
        <v>2023</v>
      </c>
      <c r="F5232">
        <v>4</v>
      </c>
    </row>
    <row r="5233" spans="1:6" x14ac:dyDescent="0.55000000000000004">
      <c r="A5233" t="s">
        <v>150</v>
      </c>
      <c r="B5233" t="s">
        <v>17</v>
      </c>
      <c r="C5233">
        <v>85118.675399999993</v>
      </c>
      <c r="D5233" t="s">
        <v>276</v>
      </c>
      <c r="E5233">
        <v>2023</v>
      </c>
      <c r="F5233">
        <v>4</v>
      </c>
    </row>
    <row r="5234" spans="1:6" x14ac:dyDescent="0.55000000000000004">
      <c r="A5234" t="s">
        <v>150</v>
      </c>
      <c r="B5234" t="s">
        <v>18</v>
      </c>
      <c r="C5234">
        <v>50910.1826</v>
      </c>
      <c r="D5234" t="s">
        <v>276</v>
      </c>
      <c r="E5234">
        <v>2023</v>
      </c>
      <c r="F5234">
        <v>4</v>
      </c>
    </row>
    <row r="5235" spans="1:6" x14ac:dyDescent="0.55000000000000004">
      <c r="A5235" t="s">
        <v>150</v>
      </c>
      <c r="B5235" t="s">
        <v>19</v>
      </c>
      <c r="C5235">
        <v>499.9957</v>
      </c>
      <c r="D5235" t="s">
        <v>276</v>
      </c>
      <c r="E5235">
        <v>2023</v>
      </c>
      <c r="F5235">
        <v>4</v>
      </c>
    </row>
    <row r="5236" spans="1:6" x14ac:dyDescent="0.55000000000000004">
      <c r="A5236" t="s">
        <v>150</v>
      </c>
      <c r="B5236" t="s">
        <v>20</v>
      </c>
      <c r="C5236">
        <v>16800</v>
      </c>
      <c r="D5236" t="s">
        <v>276</v>
      </c>
      <c r="E5236">
        <v>2023</v>
      </c>
      <c r="F5236">
        <v>4</v>
      </c>
    </row>
    <row r="5237" spans="1:6" x14ac:dyDescent="0.55000000000000004">
      <c r="A5237" t="s">
        <v>150</v>
      </c>
      <c r="B5237" t="s">
        <v>21</v>
      </c>
      <c r="C5237">
        <v>12626.2899</v>
      </c>
      <c r="D5237" t="s">
        <v>276</v>
      </c>
      <c r="E5237">
        <v>2023</v>
      </c>
      <c r="F5237">
        <v>4</v>
      </c>
    </row>
    <row r="5238" spans="1:6" x14ac:dyDescent="0.55000000000000004">
      <c r="A5238" t="s">
        <v>150</v>
      </c>
      <c r="B5238" t="s">
        <v>22</v>
      </c>
      <c r="C5238">
        <v>53360.083599999998</v>
      </c>
      <c r="D5238" t="s">
        <v>276</v>
      </c>
      <c r="E5238">
        <v>2023</v>
      </c>
      <c r="F5238">
        <v>4</v>
      </c>
    </row>
    <row r="5239" spans="1:6" x14ac:dyDescent="0.55000000000000004">
      <c r="A5239" t="s">
        <v>150</v>
      </c>
      <c r="B5239" t="s">
        <v>23</v>
      </c>
      <c r="C5239">
        <v>75112.339300000007</v>
      </c>
      <c r="D5239" t="s">
        <v>276</v>
      </c>
      <c r="E5239">
        <v>2023</v>
      </c>
      <c r="F5239">
        <v>4</v>
      </c>
    </row>
    <row r="5240" spans="1:6" x14ac:dyDescent="0.55000000000000004">
      <c r="A5240" t="s">
        <v>150</v>
      </c>
      <c r="B5240" t="s">
        <v>24</v>
      </c>
      <c r="C5240">
        <v>0</v>
      </c>
      <c r="D5240" t="s">
        <v>276</v>
      </c>
      <c r="E5240">
        <v>2023</v>
      </c>
      <c r="F5240">
        <v>4</v>
      </c>
    </row>
    <row r="5241" spans="1:6" x14ac:dyDescent="0.55000000000000004">
      <c r="A5241" t="s">
        <v>150</v>
      </c>
      <c r="B5241" t="s">
        <v>25</v>
      </c>
      <c r="C5241">
        <v>280000</v>
      </c>
      <c r="D5241" t="s">
        <v>276</v>
      </c>
      <c r="E5241">
        <v>2023</v>
      </c>
      <c r="F5241">
        <v>4</v>
      </c>
    </row>
    <row r="5242" spans="1:6" x14ac:dyDescent="0.55000000000000004">
      <c r="A5242" t="s">
        <v>150</v>
      </c>
      <c r="B5242" t="s">
        <v>26</v>
      </c>
      <c r="C5242">
        <v>0</v>
      </c>
      <c r="D5242" t="s">
        <v>276</v>
      </c>
      <c r="E5242">
        <v>2023</v>
      </c>
      <c r="F5242">
        <v>4</v>
      </c>
    </row>
    <row r="5243" spans="1:6" x14ac:dyDescent="0.55000000000000004">
      <c r="A5243" t="s">
        <v>150</v>
      </c>
      <c r="B5243" t="s">
        <v>27</v>
      </c>
      <c r="C5243">
        <v>410.17599999999999</v>
      </c>
      <c r="D5243" t="s">
        <v>276</v>
      </c>
      <c r="E5243">
        <v>2023</v>
      </c>
      <c r="F5243">
        <v>4</v>
      </c>
    </row>
    <row r="5244" spans="1:6" x14ac:dyDescent="0.55000000000000004">
      <c r="A5244" t="s">
        <v>150</v>
      </c>
      <c r="B5244" t="s">
        <v>28</v>
      </c>
      <c r="C5244">
        <v>399411.74190000002</v>
      </c>
      <c r="D5244" t="s">
        <v>276</v>
      </c>
      <c r="E5244">
        <v>2023</v>
      </c>
      <c r="F5244">
        <v>4</v>
      </c>
    </row>
    <row r="5245" spans="1:6" x14ac:dyDescent="0.55000000000000004">
      <c r="A5245" t="s">
        <v>150</v>
      </c>
      <c r="B5245" t="s">
        <v>29</v>
      </c>
      <c r="C5245">
        <v>9480.6666999999998</v>
      </c>
      <c r="D5245" t="s">
        <v>276</v>
      </c>
      <c r="E5245">
        <v>2023</v>
      </c>
      <c r="F5245">
        <v>4</v>
      </c>
    </row>
    <row r="5246" spans="1:6" x14ac:dyDescent="0.55000000000000004">
      <c r="A5246" t="s">
        <v>150</v>
      </c>
      <c r="B5246" t="s">
        <v>30</v>
      </c>
      <c r="C5246">
        <v>80.899900000000002</v>
      </c>
      <c r="D5246" t="s">
        <v>276</v>
      </c>
      <c r="E5246">
        <v>2023</v>
      </c>
      <c r="F5246">
        <v>4</v>
      </c>
    </row>
    <row r="5247" spans="1:6" x14ac:dyDescent="0.55000000000000004">
      <c r="A5247" t="s">
        <v>150</v>
      </c>
      <c r="B5247" t="s">
        <v>31</v>
      </c>
      <c r="C5247">
        <v>349.99990000000003</v>
      </c>
      <c r="D5247" t="s">
        <v>276</v>
      </c>
      <c r="E5247">
        <v>2023</v>
      </c>
      <c r="F5247">
        <v>4</v>
      </c>
    </row>
    <row r="5248" spans="1:6" x14ac:dyDescent="0.55000000000000004">
      <c r="A5248" t="s">
        <v>150</v>
      </c>
      <c r="B5248" t="s">
        <v>32</v>
      </c>
      <c r="C5248">
        <v>745144.83829999994</v>
      </c>
      <c r="D5248" t="s">
        <v>276</v>
      </c>
      <c r="E5248">
        <v>2023</v>
      </c>
      <c r="F5248">
        <v>4</v>
      </c>
    </row>
    <row r="5249" spans="1:6" x14ac:dyDescent="0.55000000000000004">
      <c r="A5249" t="s">
        <v>150</v>
      </c>
      <c r="B5249" t="s">
        <v>33</v>
      </c>
      <c r="C5249">
        <v>576083.93500000006</v>
      </c>
      <c r="D5249" t="s">
        <v>276</v>
      </c>
      <c r="E5249">
        <v>2023</v>
      </c>
      <c r="F5249">
        <v>4</v>
      </c>
    </row>
    <row r="5250" spans="1:6" x14ac:dyDescent="0.55000000000000004">
      <c r="A5250" t="s">
        <v>150</v>
      </c>
      <c r="B5250" t="s">
        <v>34</v>
      </c>
      <c r="C5250">
        <v>282201.03080000001</v>
      </c>
      <c r="D5250" t="s">
        <v>276</v>
      </c>
      <c r="E5250">
        <v>2023</v>
      </c>
      <c r="F5250">
        <v>4</v>
      </c>
    </row>
    <row r="5251" spans="1:6" x14ac:dyDescent="0.55000000000000004">
      <c r="A5251" t="s">
        <v>150</v>
      </c>
      <c r="B5251" t="s">
        <v>35</v>
      </c>
      <c r="C5251">
        <v>847.84889999999996</v>
      </c>
      <c r="D5251" t="s">
        <v>276</v>
      </c>
      <c r="E5251">
        <v>2023</v>
      </c>
      <c r="F5251">
        <v>4</v>
      </c>
    </row>
    <row r="5252" spans="1:6" x14ac:dyDescent="0.55000000000000004">
      <c r="A5252" t="s">
        <v>150</v>
      </c>
      <c r="B5252" t="s">
        <v>36</v>
      </c>
      <c r="C5252">
        <v>99276.626999999993</v>
      </c>
      <c r="D5252" t="s">
        <v>276</v>
      </c>
      <c r="E5252">
        <v>2023</v>
      </c>
      <c r="F5252">
        <v>4</v>
      </c>
    </row>
    <row r="5253" spans="1:6" x14ac:dyDescent="0.55000000000000004">
      <c r="A5253" t="s">
        <v>150</v>
      </c>
      <c r="B5253" t="s">
        <v>37</v>
      </c>
      <c r="C5253">
        <v>68799.998000000007</v>
      </c>
      <c r="D5253" t="s">
        <v>276</v>
      </c>
      <c r="E5253">
        <v>2023</v>
      </c>
      <c r="F5253">
        <v>4</v>
      </c>
    </row>
    <row r="5254" spans="1:6" x14ac:dyDescent="0.55000000000000004">
      <c r="A5254" t="s">
        <v>150</v>
      </c>
      <c r="B5254" t="s">
        <v>38</v>
      </c>
      <c r="C5254">
        <v>0</v>
      </c>
      <c r="D5254" t="s">
        <v>276</v>
      </c>
      <c r="E5254">
        <v>2023</v>
      </c>
      <c r="F5254">
        <v>4</v>
      </c>
    </row>
    <row r="5255" spans="1:6" x14ac:dyDescent="0.55000000000000004">
      <c r="A5255" t="s">
        <v>150</v>
      </c>
      <c r="B5255" t="s">
        <v>39</v>
      </c>
      <c r="C5255">
        <v>0</v>
      </c>
      <c r="D5255" t="s">
        <v>276</v>
      </c>
      <c r="E5255">
        <v>2023</v>
      </c>
      <c r="F5255">
        <v>4</v>
      </c>
    </row>
    <row r="5256" spans="1:6" x14ac:dyDescent="0.55000000000000004">
      <c r="A5256" t="s">
        <v>150</v>
      </c>
      <c r="B5256" t="s">
        <v>40</v>
      </c>
      <c r="C5256">
        <v>609.3175</v>
      </c>
      <c r="D5256" t="s">
        <v>276</v>
      </c>
      <c r="E5256">
        <v>2023</v>
      </c>
      <c r="F5256">
        <v>4</v>
      </c>
    </row>
    <row r="5257" spans="1:6" x14ac:dyDescent="0.55000000000000004">
      <c r="A5257" t="s">
        <v>150</v>
      </c>
      <c r="B5257" t="s">
        <v>41</v>
      </c>
      <c r="C5257">
        <v>263650.0048</v>
      </c>
      <c r="D5257" t="s">
        <v>276</v>
      </c>
      <c r="E5257">
        <v>2023</v>
      </c>
      <c r="F5257">
        <v>4</v>
      </c>
    </row>
    <row r="5258" spans="1:6" x14ac:dyDescent="0.55000000000000004">
      <c r="A5258" t="s">
        <v>150</v>
      </c>
      <c r="B5258" t="s">
        <v>42</v>
      </c>
      <c r="C5258">
        <v>261.7167</v>
      </c>
      <c r="D5258" t="s">
        <v>276</v>
      </c>
      <c r="E5258">
        <v>2023</v>
      </c>
      <c r="F5258">
        <v>4</v>
      </c>
    </row>
    <row r="5259" spans="1:6" x14ac:dyDescent="0.55000000000000004">
      <c r="A5259" t="s">
        <v>150</v>
      </c>
      <c r="B5259" t="s">
        <v>43</v>
      </c>
      <c r="C5259">
        <v>321179.92700000003</v>
      </c>
      <c r="D5259" t="s">
        <v>276</v>
      </c>
      <c r="E5259">
        <v>2023</v>
      </c>
      <c r="F5259">
        <v>4</v>
      </c>
    </row>
    <row r="5260" spans="1:6" x14ac:dyDescent="0.55000000000000004">
      <c r="A5260" t="s">
        <v>150</v>
      </c>
      <c r="B5260" t="s">
        <v>44</v>
      </c>
      <c r="C5260">
        <v>458.33330000000001</v>
      </c>
      <c r="D5260" t="s">
        <v>276</v>
      </c>
      <c r="E5260">
        <v>2023</v>
      </c>
      <c r="F5260">
        <v>4</v>
      </c>
    </row>
    <row r="5261" spans="1:6" x14ac:dyDescent="0.55000000000000004">
      <c r="A5261" t="s">
        <v>150</v>
      </c>
      <c r="B5261" t="s">
        <v>45</v>
      </c>
      <c r="C5261">
        <v>3320.2404999999999</v>
      </c>
      <c r="D5261" t="s">
        <v>276</v>
      </c>
      <c r="E5261">
        <v>2023</v>
      </c>
      <c r="F5261">
        <v>4</v>
      </c>
    </row>
    <row r="5262" spans="1:6" x14ac:dyDescent="0.55000000000000004">
      <c r="A5262" t="s">
        <v>150</v>
      </c>
      <c r="B5262" t="s">
        <v>46</v>
      </c>
      <c r="C5262">
        <v>44209.16</v>
      </c>
      <c r="D5262" t="s">
        <v>276</v>
      </c>
      <c r="E5262">
        <v>2023</v>
      </c>
      <c r="F5262">
        <v>4</v>
      </c>
    </row>
    <row r="5263" spans="1:6" x14ac:dyDescent="0.55000000000000004">
      <c r="A5263" t="s">
        <v>150</v>
      </c>
      <c r="B5263" t="s">
        <v>47</v>
      </c>
      <c r="C5263">
        <v>0</v>
      </c>
      <c r="D5263" t="s">
        <v>276</v>
      </c>
      <c r="E5263">
        <v>2023</v>
      </c>
      <c r="F5263">
        <v>4</v>
      </c>
    </row>
    <row r="5264" spans="1:6" x14ac:dyDescent="0.55000000000000004">
      <c r="A5264" t="s">
        <v>150</v>
      </c>
      <c r="B5264" t="s">
        <v>48</v>
      </c>
      <c r="C5264">
        <v>39140.918700000002</v>
      </c>
      <c r="D5264" t="s">
        <v>276</v>
      </c>
      <c r="E5264">
        <v>2023</v>
      </c>
      <c r="F5264">
        <v>4</v>
      </c>
    </row>
    <row r="5265" spans="1:6" x14ac:dyDescent="0.55000000000000004">
      <c r="A5265" t="s">
        <v>150</v>
      </c>
      <c r="B5265" t="s">
        <v>49</v>
      </c>
      <c r="C5265">
        <v>124.54</v>
      </c>
      <c r="D5265" t="s">
        <v>276</v>
      </c>
      <c r="E5265">
        <v>2023</v>
      </c>
      <c r="F5265">
        <v>4</v>
      </c>
    </row>
    <row r="5266" spans="1:6" x14ac:dyDescent="0.55000000000000004">
      <c r="A5266" t="s">
        <v>150</v>
      </c>
      <c r="B5266" t="s">
        <v>50</v>
      </c>
      <c r="C5266">
        <v>16080.005800000001</v>
      </c>
      <c r="D5266" t="s">
        <v>276</v>
      </c>
      <c r="E5266">
        <v>2023</v>
      </c>
      <c r="F5266">
        <v>4</v>
      </c>
    </row>
    <row r="5267" spans="1:6" x14ac:dyDescent="0.55000000000000004">
      <c r="A5267" t="s">
        <v>150</v>
      </c>
      <c r="B5267" t="s">
        <v>51</v>
      </c>
      <c r="C5267">
        <v>2800</v>
      </c>
      <c r="D5267" t="s">
        <v>276</v>
      </c>
      <c r="E5267">
        <v>2023</v>
      </c>
      <c r="F5267">
        <v>4</v>
      </c>
    </row>
    <row r="5268" spans="1:6" x14ac:dyDescent="0.55000000000000004">
      <c r="A5268" t="s">
        <v>150</v>
      </c>
      <c r="B5268" t="s">
        <v>52</v>
      </c>
      <c r="C5268">
        <v>5.5214999999999996</v>
      </c>
      <c r="D5268" t="s">
        <v>276</v>
      </c>
      <c r="E5268">
        <v>2023</v>
      </c>
      <c r="F5268">
        <v>4</v>
      </c>
    </row>
    <row r="5269" spans="1:6" x14ac:dyDescent="0.55000000000000004">
      <c r="A5269" t="s">
        <v>150</v>
      </c>
      <c r="B5269" t="s">
        <v>53</v>
      </c>
      <c r="C5269">
        <v>74643.86</v>
      </c>
      <c r="D5269" t="s">
        <v>276</v>
      </c>
      <c r="E5269">
        <v>2023</v>
      </c>
      <c r="F5269">
        <v>4</v>
      </c>
    </row>
    <row r="5270" spans="1:6" x14ac:dyDescent="0.55000000000000004">
      <c r="A5270" t="s">
        <v>150</v>
      </c>
      <c r="B5270" t="s">
        <v>54</v>
      </c>
      <c r="C5270">
        <v>17366.238300000001</v>
      </c>
      <c r="D5270" t="s">
        <v>276</v>
      </c>
      <c r="E5270">
        <v>2023</v>
      </c>
      <c r="F5270">
        <v>4</v>
      </c>
    </row>
    <row r="5271" spans="1:6" x14ac:dyDescent="0.55000000000000004">
      <c r="A5271" t="s">
        <v>150</v>
      </c>
      <c r="B5271" t="s">
        <v>55</v>
      </c>
      <c r="C5271">
        <v>4514.5</v>
      </c>
      <c r="D5271" t="s">
        <v>276</v>
      </c>
      <c r="E5271">
        <v>2023</v>
      </c>
      <c r="F5271">
        <v>4</v>
      </c>
    </row>
    <row r="5272" spans="1:6" x14ac:dyDescent="0.55000000000000004">
      <c r="A5272" t="s">
        <v>150</v>
      </c>
      <c r="B5272" t="s">
        <v>56</v>
      </c>
      <c r="C5272">
        <v>11840.3333</v>
      </c>
      <c r="D5272" t="s">
        <v>276</v>
      </c>
      <c r="E5272">
        <v>2023</v>
      </c>
      <c r="F5272">
        <v>4</v>
      </c>
    </row>
    <row r="5273" spans="1:6" x14ac:dyDescent="0.55000000000000004">
      <c r="A5273" t="s">
        <v>150</v>
      </c>
      <c r="B5273" t="s">
        <v>57</v>
      </c>
      <c r="C5273">
        <v>258.0204</v>
      </c>
      <c r="D5273" t="s">
        <v>276</v>
      </c>
      <c r="E5273">
        <v>2023</v>
      </c>
      <c r="F5273">
        <v>4</v>
      </c>
    </row>
    <row r="5274" spans="1:6" x14ac:dyDescent="0.55000000000000004">
      <c r="A5274" t="s">
        <v>150</v>
      </c>
      <c r="B5274" t="s">
        <v>58</v>
      </c>
      <c r="C5274">
        <v>373610</v>
      </c>
      <c r="D5274" t="s">
        <v>276</v>
      </c>
      <c r="E5274">
        <v>2023</v>
      </c>
      <c r="F5274">
        <v>4</v>
      </c>
    </row>
    <row r="5275" spans="1:6" x14ac:dyDescent="0.55000000000000004">
      <c r="A5275" t="s">
        <v>150</v>
      </c>
      <c r="B5275" t="s">
        <v>59</v>
      </c>
      <c r="C5275">
        <v>1600</v>
      </c>
      <c r="D5275" t="s">
        <v>276</v>
      </c>
      <c r="E5275">
        <v>2023</v>
      </c>
      <c r="F5275">
        <v>4</v>
      </c>
    </row>
    <row r="5276" spans="1:6" x14ac:dyDescent="0.55000000000000004">
      <c r="A5276" t="s">
        <v>150</v>
      </c>
      <c r="B5276" t="s">
        <v>60</v>
      </c>
      <c r="C5276">
        <v>2618318.2127</v>
      </c>
      <c r="D5276" t="s">
        <v>276</v>
      </c>
      <c r="E5276">
        <v>2023</v>
      </c>
      <c r="F5276">
        <v>4</v>
      </c>
    </row>
    <row r="5277" spans="1:6" x14ac:dyDescent="0.55000000000000004">
      <c r="A5277" t="s">
        <v>150</v>
      </c>
      <c r="B5277" t="s">
        <v>61</v>
      </c>
      <c r="C5277">
        <v>2412.7224999999999</v>
      </c>
      <c r="D5277" t="s">
        <v>276</v>
      </c>
      <c r="E5277">
        <v>2023</v>
      </c>
      <c r="F5277">
        <v>4</v>
      </c>
    </row>
    <row r="5278" spans="1:6" x14ac:dyDescent="0.55000000000000004">
      <c r="A5278" t="s">
        <v>150</v>
      </c>
      <c r="B5278" t="s">
        <v>62</v>
      </c>
      <c r="C5278">
        <v>8358</v>
      </c>
      <c r="D5278" t="s">
        <v>276</v>
      </c>
      <c r="E5278">
        <v>2023</v>
      </c>
      <c r="F5278">
        <v>4</v>
      </c>
    </row>
    <row r="5279" spans="1:6" x14ac:dyDescent="0.55000000000000004">
      <c r="A5279" t="s">
        <v>150</v>
      </c>
      <c r="B5279" t="s">
        <v>63</v>
      </c>
      <c r="C5279">
        <v>0</v>
      </c>
      <c r="D5279" t="s">
        <v>276</v>
      </c>
      <c r="E5279">
        <v>2023</v>
      </c>
      <c r="F5279">
        <v>4</v>
      </c>
    </row>
    <row r="5280" spans="1:6" x14ac:dyDescent="0.55000000000000004">
      <c r="A5280" t="s">
        <v>151</v>
      </c>
      <c r="B5280" t="s">
        <v>4</v>
      </c>
      <c r="C5280">
        <v>10941104.7005</v>
      </c>
      <c r="D5280" t="s">
        <v>277</v>
      </c>
      <c r="E5280">
        <v>2023</v>
      </c>
      <c r="F5280">
        <v>5</v>
      </c>
    </row>
    <row r="5281" spans="1:6" x14ac:dyDescent="0.55000000000000004">
      <c r="A5281" t="s">
        <v>151</v>
      </c>
      <c r="B5281" t="s">
        <v>5</v>
      </c>
      <c r="C5281">
        <v>1001349.8747</v>
      </c>
      <c r="D5281" t="s">
        <v>277</v>
      </c>
      <c r="E5281">
        <v>2023</v>
      </c>
      <c r="F5281">
        <v>5</v>
      </c>
    </row>
    <row r="5282" spans="1:6" x14ac:dyDescent="0.55000000000000004">
      <c r="A5282" t="s">
        <v>151</v>
      </c>
      <c r="B5282" t="s">
        <v>6</v>
      </c>
      <c r="C5282">
        <v>2777473.4725000001</v>
      </c>
      <c r="D5282" t="s">
        <v>277</v>
      </c>
      <c r="E5282">
        <v>2023</v>
      </c>
      <c r="F5282">
        <v>5</v>
      </c>
    </row>
    <row r="5283" spans="1:6" x14ac:dyDescent="0.55000000000000004">
      <c r="A5283" t="s">
        <v>151</v>
      </c>
      <c r="B5283" t="s">
        <v>7</v>
      </c>
      <c r="C5283">
        <v>2886151.7584000002</v>
      </c>
      <c r="D5283" t="s">
        <v>277</v>
      </c>
      <c r="E5283">
        <v>2023</v>
      </c>
      <c r="F5283">
        <v>5</v>
      </c>
    </row>
    <row r="5284" spans="1:6" x14ac:dyDescent="0.55000000000000004">
      <c r="A5284" t="s">
        <v>151</v>
      </c>
      <c r="B5284" t="s">
        <v>8</v>
      </c>
      <c r="C5284">
        <v>4276129.5948999999</v>
      </c>
      <c r="D5284" t="s">
        <v>277</v>
      </c>
      <c r="E5284">
        <v>2023</v>
      </c>
      <c r="F5284">
        <v>5</v>
      </c>
    </row>
    <row r="5285" spans="1:6" x14ac:dyDescent="0.55000000000000004">
      <c r="A5285" t="s">
        <v>151</v>
      </c>
      <c r="B5285" t="s">
        <v>9</v>
      </c>
      <c r="C5285">
        <v>1711.1267</v>
      </c>
      <c r="D5285" t="s">
        <v>277</v>
      </c>
      <c r="E5285">
        <v>2023</v>
      </c>
      <c r="F5285">
        <v>5</v>
      </c>
    </row>
    <row r="5286" spans="1:6" x14ac:dyDescent="0.55000000000000004">
      <c r="A5286" t="s">
        <v>151</v>
      </c>
      <c r="B5286" t="s">
        <v>10</v>
      </c>
      <c r="C5286">
        <v>1881.5</v>
      </c>
      <c r="D5286" t="s">
        <v>277</v>
      </c>
      <c r="E5286">
        <v>2023</v>
      </c>
      <c r="F5286">
        <v>5</v>
      </c>
    </row>
    <row r="5287" spans="1:6" x14ac:dyDescent="0.55000000000000004">
      <c r="A5287" t="s">
        <v>151</v>
      </c>
      <c r="B5287" t="s">
        <v>11</v>
      </c>
      <c r="C5287">
        <v>2667981.5397999999</v>
      </c>
      <c r="D5287" t="s">
        <v>277</v>
      </c>
      <c r="E5287">
        <v>2023</v>
      </c>
      <c r="F5287">
        <v>5</v>
      </c>
    </row>
    <row r="5288" spans="1:6" x14ac:dyDescent="0.55000000000000004">
      <c r="A5288" t="s">
        <v>151</v>
      </c>
      <c r="B5288" t="s">
        <v>12</v>
      </c>
      <c r="C5288">
        <v>14388.7752</v>
      </c>
      <c r="D5288" t="s">
        <v>277</v>
      </c>
      <c r="E5288">
        <v>2023</v>
      </c>
      <c r="F5288">
        <v>5</v>
      </c>
    </row>
    <row r="5289" spans="1:6" x14ac:dyDescent="0.55000000000000004">
      <c r="A5289" t="s">
        <v>151</v>
      </c>
      <c r="B5289" t="s">
        <v>13</v>
      </c>
      <c r="C5289">
        <v>22180.6263</v>
      </c>
      <c r="D5289" t="s">
        <v>277</v>
      </c>
      <c r="E5289">
        <v>2023</v>
      </c>
      <c r="F5289">
        <v>5</v>
      </c>
    </row>
    <row r="5290" spans="1:6" x14ac:dyDescent="0.55000000000000004">
      <c r="A5290" t="s">
        <v>151</v>
      </c>
      <c r="B5290" t="s">
        <v>14</v>
      </c>
      <c r="C5290">
        <v>2000</v>
      </c>
      <c r="D5290" t="s">
        <v>277</v>
      </c>
      <c r="E5290">
        <v>2023</v>
      </c>
      <c r="F5290">
        <v>5</v>
      </c>
    </row>
    <row r="5291" spans="1:6" x14ac:dyDescent="0.55000000000000004">
      <c r="A5291" t="s">
        <v>151</v>
      </c>
      <c r="B5291" t="s">
        <v>15</v>
      </c>
      <c r="C5291">
        <v>853739.50179999997</v>
      </c>
      <c r="D5291" t="s">
        <v>277</v>
      </c>
      <c r="E5291">
        <v>2023</v>
      </c>
      <c r="F5291">
        <v>5</v>
      </c>
    </row>
    <row r="5292" spans="1:6" x14ac:dyDescent="0.55000000000000004">
      <c r="A5292" t="s">
        <v>151</v>
      </c>
      <c r="B5292" t="s">
        <v>16</v>
      </c>
      <c r="C5292">
        <v>0</v>
      </c>
      <c r="D5292" t="s">
        <v>277</v>
      </c>
      <c r="E5292">
        <v>2023</v>
      </c>
      <c r="F5292">
        <v>5</v>
      </c>
    </row>
    <row r="5293" spans="1:6" x14ac:dyDescent="0.55000000000000004">
      <c r="A5293" t="s">
        <v>151</v>
      </c>
      <c r="B5293" t="s">
        <v>17</v>
      </c>
      <c r="C5293">
        <v>141326.29</v>
      </c>
      <c r="D5293" t="s">
        <v>277</v>
      </c>
      <c r="E5293">
        <v>2023</v>
      </c>
      <c r="F5293">
        <v>5</v>
      </c>
    </row>
    <row r="5294" spans="1:6" x14ac:dyDescent="0.55000000000000004">
      <c r="A5294" t="s">
        <v>151</v>
      </c>
      <c r="B5294" t="s">
        <v>18</v>
      </c>
      <c r="C5294">
        <v>97664.583899999998</v>
      </c>
      <c r="D5294" t="s">
        <v>277</v>
      </c>
      <c r="E5294">
        <v>2023</v>
      </c>
      <c r="F5294">
        <v>5</v>
      </c>
    </row>
    <row r="5295" spans="1:6" x14ac:dyDescent="0.55000000000000004">
      <c r="A5295" t="s">
        <v>151</v>
      </c>
      <c r="B5295" t="s">
        <v>19</v>
      </c>
      <c r="C5295">
        <v>499.9957</v>
      </c>
      <c r="D5295" t="s">
        <v>277</v>
      </c>
      <c r="E5295">
        <v>2023</v>
      </c>
      <c r="F5295">
        <v>5</v>
      </c>
    </row>
    <row r="5296" spans="1:6" x14ac:dyDescent="0.55000000000000004">
      <c r="A5296" t="s">
        <v>151</v>
      </c>
      <c r="B5296" t="s">
        <v>20</v>
      </c>
      <c r="C5296">
        <v>16700</v>
      </c>
      <c r="D5296" t="s">
        <v>277</v>
      </c>
      <c r="E5296">
        <v>2023</v>
      </c>
      <c r="F5296">
        <v>5</v>
      </c>
    </row>
    <row r="5297" spans="1:6" x14ac:dyDescent="0.55000000000000004">
      <c r="A5297" t="s">
        <v>151</v>
      </c>
      <c r="B5297" t="s">
        <v>21</v>
      </c>
      <c r="C5297">
        <v>13106.4935</v>
      </c>
      <c r="D5297" t="s">
        <v>277</v>
      </c>
      <c r="E5297">
        <v>2023</v>
      </c>
      <c r="F5297">
        <v>5</v>
      </c>
    </row>
    <row r="5298" spans="1:6" x14ac:dyDescent="0.55000000000000004">
      <c r="A5298" t="s">
        <v>151</v>
      </c>
      <c r="B5298" t="s">
        <v>22</v>
      </c>
      <c r="C5298">
        <v>48228.61</v>
      </c>
      <c r="D5298" t="s">
        <v>277</v>
      </c>
      <c r="E5298">
        <v>2023</v>
      </c>
      <c r="F5298">
        <v>5</v>
      </c>
    </row>
    <row r="5299" spans="1:6" x14ac:dyDescent="0.55000000000000004">
      <c r="A5299" t="s">
        <v>151</v>
      </c>
      <c r="B5299" t="s">
        <v>23</v>
      </c>
      <c r="C5299">
        <v>71083.884600000005</v>
      </c>
      <c r="D5299" t="s">
        <v>277</v>
      </c>
      <c r="E5299">
        <v>2023</v>
      </c>
      <c r="F5299">
        <v>5</v>
      </c>
    </row>
    <row r="5300" spans="1:6" x14ac:dyDescent="0.55000000000000004">
      <c r="A5300" t="s">
        <v>151</v>
      </c>
      <c r="B5300" t="s">
        <v>24</v>
      </c>
      <c r="C5300">
        <v>0</v>
      </c>
      <c r="D5300" t="s">
        <v>277</v>
      </c>
      <c r="E5300">
        <v>2023</v>
      </c>
      <c r="F5300">
        <v>5</v>
      </c>
    </row>
    <row r="5301" spans="1:6" x14ac:dyDescent="0.55000000000000004">
      <c r="A5301" t="s">
        <v>151</v>
      </c>
      <c r="B5301" t="s">
        <v>25</v>
      </c>
      <c r="C5301">
        <v>350000</v>
      </c>
      <c r="D5301" t="s">
        <v>277</v>
      </c>
      <c r="E5301">
        <v>2023</v>
      </c>
      <c r="F5301">
        <v>5</v>
      </c>
    </row>
    <row r="5302" spans="1:6" x14ac:dyDescent="0.55000000000000004">
      <c r="A5302" t="s">
        <v>151</v>
      </c>
      <c r="B5302" t="s">
        <v>27</v>
      </c>
      <c r="C5302">
        <v>547.92449999999997</v>
      </c>
      <c r="D5302" t="s">
        <v>277</v>
      </c>
      <c r="E5302">
        <v>2023</v>
      </c>
      <c r="F5302">
        <v>5</v>
      </c>
    </row>
    <row r="5303" spans="1:6" x14ac:dyDescent="0.55000000000000004">
      <c r="A5303" t="s">
        <v>151</v>
      </c>
      <c r="B5303" t="s">
        <v>28</v>
      </c>
      <c r="C5303">
        <v>405153.91369999998</v>
      </c>
      <c r="D5303" t="s">
        <v>277</v>
      </c>
      <c r="E5303">
        <v>2023</v>
      </c>
      <c r="F5303">
        <v>5</v>
      </c>
    </row>
    <row r="5304" spans="1:6" x14ac:dyDescent="0.55000000000000004">
      <c r="A5304" t="s">
        <v>151</v>
      </c>
      <c r="B5304" t="s">
        <v>29</v>
      </c>
      <c r="C5304">
        <v>8220</v>
      </c>
      <c r="D5304" t="s">
        <v>277</v>
      </c>
      <c r="E5304">
        <v>2023</v>
      </c>
      <c r="F5304">
        <v>5</v>
      </c>
    </row>
    <row r="5305" spans="1:6" x14ac:dyDescent="0.55000000000000004">
      <c r="A5305" t="s">
        <v>151</v>
      </c>
      <c r="B5305" t="s">
        <v>30</v>
      </c>
      <c r="C5305">
        <v>82.555199999999999</v>
      </c>
      <c r="D5305" t="s">
        <v>277</v>
      </c>
      <c r="E5305">
        <v>2023</v>
      </c>
      <c r="F5305">
        <v>5</v>
      </c>
    </row>
    <row r="5306" spans="1:6" x14ac:dyDescent="0.55000000000000004">
      <c r="A5306" t="s">
        <v>151</v>
      </c>
      <c r="B5306" t="s">
        <v>31</v>
      </c>
      <c r="C5306">
        <v>240.00389999999999</v>
      </c>
      <c r="D5306" t="s">
        <v>277</v>
      </c>
      <c r="E5306">
        <v>2023</v>
      </c>
      <c r="F5306">
        <v>5</v>
      </c>
    </row>
    <row r="5307" spans="1:6" x14ac:dyDescent="0.55000000000000004">
      <c r="A5307" t="s">
        <v>151</v>
      </c>
      <c r="B5307" t="s">
        <v>32</v>
      </c>
      <c r="C5307">
        <v>826028.94</v>
      </c>
      <c r="D5307" t="s">
        <v>277</v>
      </c>
      <c r="E5307">
        <v>2023</v>
      </c>
      <c r="F5307">
        <v>5</v>
      </c>
    </row>
    <row r="5308" spans="1:6" x14ac:dyDescent="0.55000000000000004">
      <c r="A5308" t="s">
        <v>151</v>
      </c>
      <c r="B5308" t="s">
        <v>33</v>
      </c>
      <c r="C5308">
        <v>642470.02489999996</v>
      </c>
      <c r="D5308" t="s">
        <v>277</v>
      </c>
      <c r="E5308">
        <v>2023</v>
      </c>
      <c r="F5308">
        <v>5</v>
      </c>
    </row>
    <row r="5309" spans="1:6" x14ac:dyDescent="0.55000000000000004">
      <c r="A5309" t="s">
        <v>151</v>
      </c>
      <c r="B5309" t="s">
        <v>34</v>
      </c>
      <c r="C5309">
        <v>619533.94790000003</v>
      </c>
      <c r="D5309" t="s">
        <v>277</v>
      </c>
      <c r="E5309">
        <v>2023</v>
      </c>
      <c r="F5309">
        <v>5</v>
      </c>
    </row>
    <row r="5310" spans="1:6" x14ac:dyDescent="0.55000000000000004">
      <c r="A5310" t="s">
        <v>151</v>
      </c>
      <c r="B5310" t="s">
        <v>35</v>
      </c>
      <c r="C5310">
        <v>747.68679999999995</v>
      </c>
      <c r="D5310" t="s">
        <v>277</v>
      </c>
      <c r="E5310">
        <v>2023</v>
      </c>
      <c r="F5310">
        <v>5</v>
      </c>
    </row>
    <row r="5311" spans="1:6" x14ac:dyDescent="0.55000000000000004">
      <c r="A5311" t="s">
        <v>151</v>
      </c>
      <c r="B5311" t="s">
        <v>36</v>
      </c>
      <c r="C5311">
        <v>91206.739600000001</v>
      </c>
      <c r="D5311" t="s">
        <v>277</v>
      </c>
      <c r="E5311">
        <v>2023</v>
      </c>
      <c r="F5311">
        <v>5</v>
      </c>
    </row>
    <row r="5312" spans="1:6" x14ac:dyDescent="0.55000000000000004">
      <c r="A5312" t="s">
        <v>151</v>
      </c>
      <c r="B5312" t="s">
        <v>37</v>
      </c>
      <c r="C5312">
        <v>89399.997600000002</v>
      </c>
      <c r="D5312" t="s">
        <v>277</v>
      </c>
      <c r="E5312">
        <v>2023</v>
      </c>
      <c r="F5312">
        <v>5</v>
      </c>
    </row>
    <row r="5313" spans="1:6" x14ac:dyDescent="0.55000000000000004">
      <c r="A5313" t="s">
        <v>151</v>
      </c>
      <c r="B5313" t="s">
        <v>39</v>
      </c>
      <c r="C5313">
        <v>5.9499999999999997E-2</v>
      </c>
      <c r="D5313" t="s">
        <v>277</v>
      </c>
      <c r="E5313">
        <v>2023</v>
      </c>
      <c r="F5313">
        <v>5</v>
      </c>
    </row>
    <row r="5314" spans="1:6" x14ac:dyDescent="0.55000000000000004">
      <c r="A5314" t="s">
        <v>151</v>
      </c>
      <c r="B5314" t="s">
        <v>40</v>
      </c>
      <c r="C5314">
        <v>609.3175</v>
      </c>
      <c r="D5314" t="s">
        <v>277</v>
      </c>
      <c r="E5314">
        <v>2023</v>
      </c>
      <c r="F5314">
        <v>5</v>
      </c>
    </row>
    <row r="5315" spans="1:6" x14ac:dyDescent="0.55000000000000004">
      <c r="A5315" t="s">
        <v>151</v>
      </c>
      <c r="B5315" t="s">
        <v>41</v>
      </c>
      <c r="C5315">
        <v>277800.01199999999</v>
      </c>
      <c r="D5315" t="s">
        <v>277</v>
      </c>
      <c r="E5315">
        <v>2023</v>
      </c>
      <c r="F5315">
        <v>5</v>
      </c>
    </row>
    <row r="5316" spans="1:6" x14ac:dyDescent="0.55000000000000004">
      <c r="A5316" t="s">
        <v>151</v>
      </c>
      <c r="B5316" t="s">
        <v>42</v>
      </c>
      <c r="C5316">
        <v>330</v>
      </c>
      <c r="D5316" t="s">
        <v>277</v>
      </c>
      <c r="E5316">
        <v>2023</v>
      </c>
      <c r="F5316">
        <v>5</v>
      </c>
    </row>
    <row r="5317" spans="1:6" x14ac:dyDescent="0.55000000000000004">
      <c r="A5317" t="s">
        <v>151</v>
      </c>
      <c r="B5317" t="s">
        <v>43</v>
      </c>
      <c r="C5317">
        <v>328427.76699999999</v>
      </c>
      <c r="D5317" t="s">
        <v>277</v>
      </c>
      <c r="E5317">
        <v>2023</v>
      </c>
      <c r="F5317">
        <v>5</v>
      </c>
    </row>
    <row r="5318" spans="1:6" x14ac:dyDescent="0.55000000000000004">
      <c r="A5318" t="s">
        <v>151</v>
      </c>
      <c r="B5318" t="s">
        <v>44</v>
      </c>
      <c r="C5318">
        <v>0</v>
      </c>
      <c r="D5318" t="s">
        <v>277</v>
      </c>
      <c r="E5318">
        <v>2023</v>
      </c>
      <c r="F5318">
        <v>5</v>
      </c>
    </row>
    <row r="5319" spans="1:6" x14ac:dyDescent="0.55000000000000004">
      <c r="A5319" t="s">
        <v>151</v>
      </c>
      <c r="B5319" t="s">
        <v>45</v>
      </c>
      <c r="C5319">
        <v>3981.9103</v>
      </c>
      <c r="D5319" t="s">
        <v>277</v>
      </c>
      <c r="E5319">
        <v>2023</v>
      </c>
      <c r="F5319">
        <v>5</v>
      </c>
    </row>
    <row r="5320" spans="1:6" x14ac:dyDescent="0.55000000000000004">
      <c r="A5320" t="s">
        <v>151</v>
      </c>
      <c r="B5320" t="s">
        <v>46</v>
      </c>
      <c r="C5320">
        <v>52822</v>
      </c>
      <c r="D5320" t="s">
        <v>277</v>
      </c>
      <c r="E5320">
        <v>2023</v>
      </c>
      <c r="F5320">
        <v>5</v>
      </c>
    </row>
    <row r="5321" spans="1:6" x14ac:dyDescent="0.55000000000000004">
      <c r="A5321" t="s">
        <v>151</v>
      </c>
      <c r="B5321" t="s">
        <v>47</v>
      </c>
      <c r="C5321">
        <v>0</v>
      </c>
      <c r="D5321" t="s">
        <v>277</v>
      </c>
      <c r="E5321">
        <v>2023</v>
      </c>
      <c r="F5321">
        <v>5</v>
      </c>
    </row>
    <row r="5322" spans="1:6" x14ac:dyDescent="0.55000000000000004">
      <c r="A5322" t="s">
        <v>151</v>
      </c>
      <c r="B5322" t="s">
        <v>48</v>
      </c>
      <c r="C5322">
        <v>103649.3594</v>
      </c>
      <c r="D5322" t="s">
        <v>277</v>
      </c>
      <c r="E5322">
        <v>2023</v>
      </c>
      <c r="F5322">
        <v>5</v>
      </c>
    </row>
    <row r="5323" spans="1:6" x14ac:dyDescent="0.55000000000000004">
      <c r="A5323" t="s">
        <v>151</v>
      </c>
      <c r="B5323" t="s">
        <v>49</v>
      </c>
      <c r="C5323">
        <v>83.6267</v>
      </c>
      <c r="D5323" t="s">
        <v>277</v>
      </c>
      <c r="E5323">
        <v>2023</v>
      </c>
      <c r="F5323">
        <v>5</v>
      </c>
    </row>
    <row r="5324" spans="1:6" x14ac:dyDescent="0.55000000000000004">
      <c r="A5324" t="s">
        <v>151</v>
      </c>
      <c r="B5324" t="s">
        <v>50</v>
      </c>
      <c r="C5324">
        <v>7040.0099</v>
      </c>
      <c r="D5324" t="s">
        <v>277</v>
      </c>
      <c r="E5324">
        <v>2023</v>
      </c>
      <c r="F5324">
        <v>5</v>
      </c>
    </row>
    <row r="5325" spans="1:6" x14ac:dyDescent="0.55000000000000004">
      <c r="A5325" t="s">
        <v>151</v>
      </c>
      <c r="B5325" t="s">
        <v>51</v>
      </c>
      <c r="C5325">
        <v>3400</v>
      </c>
      <c r="D5325" t="s">
        <v>277</v>
      </c>
      <c r="E5325">
        <v>2023</v>
      </c>
      <c r="F5325">
        <v>5</v>
      </c>
    </row>
    <row r="5326" spans="1:6" x14ac:dyDescent="0.55000000000000004">
      <c r="A5326" t="s">
        <v>151</v>
      </c>
      <c r="B5326" t="s">
        <v>52</v>
      </c>
      <c r="C5326">
        <v>31.088899999999999</v>
      </c>
      <c r="D5326" t="s">
        <v>277</v>
      </c>
      <c r="E5326">
        <v>2023</v>
      </c>
      <c r="F5326">
        <v>5</v>
      </c>
    </row>
    <row r="5327" spans="1:6" x14ac:dyDescent="0.55000000000000004">
      <c r="A5327" t="s">
        <v>151</v>
      </c>
      <c r="B5327" t="s">
        <v>53</v>
      </c>
      <c r="C5327">
        <v>111757.8833</v>
      </c>
      <c r="D5327" t="s">
        <v>277</v>
      </c>
      <c r="E5327">
        <v>2023</v>
      </c>
      <c r="F5327">
        <v>5</v>
      </c>
    </row>
    <row r="5328" spans="1:6" x14ac:dyDescent="0.55000000000000004">
      <c r="A5328" t="s">
        <v>151</v>
      </c>
      <c r="B5328" t="s">
        <v>54</v>
      </c>
      <c r="C5328">
        <v>17842.993900000001</v>
      </c>
      <c r="D5328" t="s">
        <v>277</v>
      </c>
      <c r="E5328">
        <v>2023</v>
      </c>
      <c r="F5328">
        <v>5</v>
      </c>
    </row>
    <row r="5329" spans="1:6" x14ac:dyDescent="0.55000000000000004">
      <c r="A5329" t="s">
        <v>151</v>
      </c>
      <c r="B5329" t="s">
        <v>55</v>
      </c>
      <c r="C5329">
        <v>4743.3333000000002</v>
      </c>
      <c r="D5329" t="s">
        <v>277</v>
      </c>
      <c r="E5329">
        <v>2023</v>
      </c>
      <c r="F5329">
        <v>5</v>
      </c>
    </row>
    <row r="5330" spans="1:6" x14ac:dyDescent="0.55000000000000004">
      <c r="A5330" t="s">
        <v>151</v>
      </c>
      <c r="B5330" t="s">
        <v>56</v>
      </c>
      <c r="C5330">
        <v>25480.240000000002</v>
      </c>
      <c r="D5330" t="s">
        <v>277</v>
      </c>
      <c r="E5330">
        <v>2023</v>
      </c>
      <c r="F5330">
        <v>5</v>
      </c>
    </row>
    <row r="5331" spans="1:6" x14ac:dyDescent="0.55000000000000004">
      <c r="A5331" t="s">
        <v>151</v>
      </c>
      <c r="B5331" t="s">
        <v>57</v>
      </c>
      <c r="C5331">
        <v>514.44079999999997</v>
      </c>
      <c r="D5331" t="s">
        <v>277</v>
      </c>
      <c r="E5331">
        <v>2023</v>
      </c>
      <c r="F5331">
        <v>5</v>
      </c>
    </row>
    <row r="5332" spans="1:6" x14ac:dyDescent="0.55000000000000004">
      <c r="A5332" t="s">
        <v>151</v>
      </c>
      <c r="B5332" t="s">
        <v>58</v>
      </c>
      <c r="C5332">
        <v>453169</v>
      </c>
      <c r="D5332" t="s">
        <v>277</v>
      </c>
      <c r="E5332">
        <v>2023</v>
      </c>
      <c r="F5332">
        <v>5</v>
      </c>
    </row>
    <row r="5333" spans="1:6" x14ac:dyDescent="0.55000000000000004">
      <c r="A5333" t="s">
        <v>151</v>
      </c>
      <c r="B5333" t="s">
        <v>59</v>
      </c>
      <c r="C5333">
        <v>2400</v>
      </c>
      <c r="D5333" t="s">
        <v>277</v>
      </c>
      <c r="E5333">
        <v>2023</v>
      </c>
      <c r="F5333">
        <v>5</v>
      </c>
    </row>
    <row r="5334" spans="1:6" x14ac:dyDescent="0.55000000000000004">
      <c r="A5334" t="s">
        <v>151</v>
      </c>
      <c r="B5334" t="s">
        <v>60</v>
      </c>
      <c r="C5334">
        <v>2550065.1157999998</v>
      </c>
      <c r="D5334" t="s">
        <v>277</v>
      </c>
      <c r="E5334">
        <v>2023</v>
      </c>
      <c r="F5334">
        <v>5</v>
      </c>
    </row>
    <row r="5335" spans="1:6" x14ac:dyDescent="0.55000000000000004">
      <c r="A5335" t="s">
        <v>151</v>
      </c>
      <c r="B5335" t="s">
        <v>61</v>
      </c>
      <c r="C5335">
        <v>5678.8806000000004</v>
      </c>
      <c r="D5335" t="s">
        <v>277</v>
      </c>
      <c r="E5335">
        <v>2023</v>
      </c>
      <c r="F5335">
        <v>5</v>
      </c>
    </row>
    <row r="5336" spans="1:6" x14ac:dyDescent="0.55000000000000004">
      <c r="A5336" t="s">
        <v>151</v>
      </c>
      <c r="B5336" t="s">
        <v>62</v>
      </c>
      <c r="C5336">
        <v>5153</v>
      </c>
      <c r="D5336" t="s">
        <v>277</v>
      </c>
      <c r="E5336">
        <v>2023</v>
      </c>
      <c r="F5336">
        <v>5</v>
      </c>
    </row>
    <row r="5337" spans="1:6" x14ac:dyDescent="0.55000000000000004">
      <c r="A5337" t="s">
        <v>151</v>
      </c>
      <c r="B5337" t="s">
        <v>63</v>
      </c>
      <c r="C5337">
        <v>0</v>
      </c>
      <c r="D5337" t="s">
        <v>277</v>
      </c>
      <c r="E5337">
        <v>2023</v>
      </c>
      <c r="F5337">
        <v>5</v>
      </c>
    </row>
    <row r="5338" spans="1:6" x14ac:dyDescent="0.55000000000000004">
      <c r="A5338" t="s">
        <v>152</v>
      </c>
      <c r="B5338" t="s">
        <v>4</v>
      </c>
      <c r="C5338">
        <v>10295761.3884</v>
      </c>
      <c r="D5338" t="s">
        <v>278</v>
      </c>
      <c r="E5338">
        <v>2023</v>
      </c>
      <c r="F5338">
        <v>6</v>
      </c>
    </row>
    <row r="5339" spans="1:6" x14ac:dyDescent="0.55000000000000004">
      <c r="A5339" t="s">
        <v>152</v>
      </c>
      <c r="B5339" t="s">
        <v>5</v>
      </c>
      <c r="C5339">
        <v>898416.02139999997</v>
      </c>
      <c r="D5339" t="s">
        <v>278</v>
      </c>
      <c r="E5339">
        <v>2023</v>
      </c>
      <c r="F5339">
        <v>6</v>
      </c>
    </row>
    <row r="5340" spans="1:6" x14ac:dyDescent="0.55000000000000004">
      <c r="A5340" t="s">
        <v>152</v>
      </c>
      <c r="B5340" t="s">
        <v>6</v>
      </c>
      <c r="C5340">
        <v>2535520.8037</v>
      </c>
      <c r="D5340" t="s">
        <v>278</v>
      </c>
      <c r="E5340">
        <v>2023</v>
      </c>
      <c r="F5340">
        <v>6</v>
      </c>
    </row>
    <row r="5341" spans="1:6" x14ac:dyDescent="0.55000000000000004">
      <c r="A5341" t="s">
        <v>152</v>
      </c>
      <c r="B5341" t="s">
        <v>7</v>
      </c>
      <c r="C5341">
        <v>2751931.8097000001</v>
      </c>
      <c r="D5341" t="s">
        <v>278</v>
      </c>
      <c r="E5341">
        <v>2023</v>
      </c>
      <c r="F5341">
        <v>6</v>
      </c>
    </row>
    <row r="5342" spans="1:6" x14ac:dyDescent="0.55000000000000004">
      <c r="A5342" t="s">
        <v>152</v>
      </c>
      <c r="B5342" t="s">
        <v>8</v>
      </c>
      <c r="C5342">
        <v>4109892.7535999999</v>
      </c>
      <c r="D5342" t="s">
        <v>278</v>
      </c>
      <c r="E5342">
        <v>2023</v>
      </c>
      <c r="F5342">
        <v>6</v>
      </c>
    </row>
    <row r="5343" spans="1:6" x14ac:dyDescent="0.55000000000000004">
      <c r="A5343" t="s">
        <v>152</v>
      </c>
      <c r="B5343" t="s">
        <v>9</v>
      </c>
      <c r="C5343">
        <v>4.6867000000000001</v>
      </c>
      <c r="D5343" t="s">
        <v>278</v>
      </c>
      <c r="E5343">
        <v>2023</v>
      </c>
      <c r="F5343">
        <v>6</v>
      </c>
    </row>
    <row r="5344" spans="1:6" x14ac:dyDescent="0.55000000000000004">
      <c r="A5344" t="s">
        <v>152</v>
      </c>
      <c r="B5344" t="s">
        <v>10</v>
      </c>
      <c r="C5344">
        <v>1106.1333</v>
      </c>
      <c r="D5344" t="s">
        <v>278</v>
      </c>
      <c r="E5344">
        <v>2023</v>
      </c>
      <c r="F5344">
        <v>6</v>
      </c>
    </row>
    <row r="5345" spans="1:6" x14ac:dyDescent="0.55000000000000004">
      <c r="A5345" t="s">
        <v>152</v>
      </c>
      <c r="B5345" t="s">
        <v>11</v>
      </c>
      <c r="C5345">
        <v>2658586.2069000001</v>
      </c>
      <c r="D5345" t="s">
        <v>278</v>
      </c>
      <c r="E5345">
        <v>2023</v>
      </c>
      <c r="F5345">
        <v>6</v>
      </c>
    </row>
    <row r="5346" spans="1:6" x14ac:dyDescent="0.55000000000000004">
      <c r="A5346" t="s">
        <v>152</v>
      </c>
      <c r="B5346" t="s">
        <v>12</v>
      </c>
      <c r="C5346">
        <v>14388.7752</v>
      </c>
      <c r="D5346" t="s">
        <v>278</v>
      </c>
      <c r="E5346">
        <v>2023</v>
      </c>
      <c r="F5346">
        <v>6</v>
      </c>
    </row>
    <row r="5347" spans="1:6" x14ac:dyDescent="0.55000000000000004">
      <c r="A5347" t="s">
        <v>152</v>
      </c>
      <c r="B5347" t="s">
        <v>13</v>
      </c>
      <c r="C5347">
        <v>15743.5</v>
      </c>
      <c r="D5347" t="s">
        <v>278</v>
      </c>
      <c r="E5347">
        <v>2023</v>
      </c>
      <c r="F5347">
        <v>6</v>
      </c>
    </row>
    <row r="5348" spans="1:6" x14ac:dyDescent="0.55000000000000004">
      <c r="A5348" t="s">
        <v>152</v>
      </c>
      <c r="B5348" t="s">
        <v>14</v>
      </c>
      <c r="C5348">
        <v>300</v>
      </c>
      <c r="D5348" t="s">
        <v>278</v>
      </c>
      <c r="E5348">
        <v>2023</v>
      </c>
      <c r="F5348">
        <v>6</v>
      </c>
    </row>
    <row r="5349" spans="1:6" x14ac:dyDescent="0.55000000000000004">
      <c r="A5349" t="s">
        <v>152</v>
      </c>
      <c r="B5349" t="s">
        <v>15</v>
      </c>
      <c r="C5349">
        <v>759481.86529999995</v>
      </c>
      <c r="D5349" t="s">
        <v>278</v>
      </c>
      <c r="E5349">
        <v>2023</v>
      </c>
      <c r="F5349">
        <v>6</v>
      </c>
    </row>
    <row r="5350" spans="1:6" x14ac:dyDescent="0.55000000000000004">
      <c r="A5350" t="s">
        <v>152</v>
      </c>
      <c r="B5350" t="s">
        <v>16</v>
      </c>
      <c r="C5350">
        <v>0</v>
      </c>
      <c r="D5350" t="s">
        <v>278</v>
      </c>
      <c r="E5350">
        <v>2023</v>
      </c>
      <c r="F5350">
        <v>6</v>
      </c>
    </row>
    <row r="5351" spans="1:6" x14ac:dyDescent="0.55000000000000004">
      <c r="A5351" t="s">
        <v>152</v>
      </c>
      <c r="B5351" t="s">
        <v>17</v>
      </c>
      <c r="C5351">
        <v>140121.37419999999</v>
      </c>
      <c r="D5351" t="s">
        <v>278</v>
      </c>
      <c r="E5351">
        <v>2023</v>
      </c>
      <c r="F5351">
        <v>6</v>
      </c>
    </row>
    <row r="5352" spans="1:6" x14ac:dyDescent="0.55000000000000004">
      <c r="A5352" t="s">
        <v>152</v>
      </c>
      <c r="B5352" t="s">
        <v>18</v>
      </c>
      <c r="C5352">
        <v>74032.767399999997</v>
      </c>
      <c r="D5352" t="s">
        <v>278</v>
      </c>
      <c r="E5352">
        <v>2023</v>
      </c>
      <c r="F5352">
        <v>6</v>
      </c>
    </row>
    <row r="5353" spans="1:6" x14ac:dyDescent="0.55000000000000004">
      <c r="A5353" t="s">
        <v>152</v>
      </c>
      <c r="B5353" t="s">
        <v>19</v>
      </c>
      <c r="C5353">
        <v>300</v>
      </c>
      <c r="D5353" t="s">
        <v>278</v>
      </c>
      <c r="E5353">
        <v>2023</v>
      </c>
      <c r="F5353">
        <v>6</v>
      </c>
    </row>
    <row r="5354" spans="1:6" x14ac:dyDescent="0.55000000000000004">
      <c r="A5354" t="s">
        <v>152</v>
      </c>
      <c r="B5354" t="s">
        <v>20</v>
      </c>
      <c r="C5354">
        <v>20900</v>
      </c>
      <c r="D5354" t="s">
        <v>278</v>
      </c>
      <c r="E5354">
        <v>2023</v>
      </c>
      <c r="F5354">
        <v>6</v>
      </c>
    </row>
    <row r="5355" spans="1:6" x14ac:dyDescent="0.55000000000000004">
      <c r="A5355" t="s">
        <v>152</v>
      </c>
      <c r="B5355" t="s">
        <v>21</v>
      </c>
      <c r="C5355">
        <v>10579.7114</v>
      </c>
      <c r="D5355" t="s">
        <v>278</v>
      </c>
      <c r="E5355">
        <v>2023</v>
      </c>
      <c r="F5355">
        <v>6</v>
      </c>
    </row>
    <row r="5356" spans="1:6" x14ac:dyDescent="0.55000000000000004">
      <c r="A5356" t="s">
        <v>152</v>
      </c>
      <c r="B5356" t="s">
        <v>22</v>
      </c>
      <c r="C5356">
        <v>60622.868000000002</v>
      </c>
      <c r="D5356" t="s">
        <v>278</v>
      </c>
      <c r="E5356">
        <v>2023</v>
      </c>
      <c r="F5356">
        <v>6</v>
      </c>
    </row>
    <row r="5357" spans="1:6" x14ac:dyDescent="0.55000000000000004">
      <c r="A5357" t="s">
        <v>152</v>
      </c>
      <c r="B5357" t="s">
        <v>23</v>
      </c>
      <c r="C5357">
        <v>66145.190700000006</v>
      </c>
      <c r="D5357" t="s">
        <v>278</v>
      </c>
      <c r="E5357">
        <v>2023</v>
      </c>
      <c r="F5357">
        <v>6</v>
      </c>
    </row>
    <row r="5358" spans="1:6" x14ac:dyDescent="0.55000000000000004">
      <c r="A5358" t="s">
        <v>152</v>
      </c>
      <c r="B5358" t="s">
        <v>24</v>
      </c>
      <c r="C5358">
        <v>0</v>
      </c>
      <c r="D5358" t="s">
        <v>278</v>
      </c>
      <c r="E5358">
        <v>2023</v>
      </c>
      <c r="F5358">
        <v>6</v>
      </c>
    </row>
    <row r="5359" spans="1:6" x14ac:dyDescent="0.55000000000000004">
      <c r="A5359" t="s">
        <v>152</v>
      </c>
      <c r="B5359" t="s">
        <v>25</v>
      </c>
      <c r="C5359">
        <v>400000</v>
      </c>
      <c r="D5359" t="s">
        <v>278</v>
      </c>
      <c r="E5359">
        <v>2023</v>
      </c>
      <c r="F5359">
        <v>6</v>
      </c>
    </row>
    <row r="5360" spans="1:6" x14ac:dyDescent="0.55000000000000004">
      <c r="A5360" t="s">
        <v>152</v>
      </c>
      <c r="B5360" t="s">
        <v>27</v>
      </c>
      <c r="C5360">
        <v>164.74529999999999</v>
      </c>
      <c r="D5360" t="s">
        <v>278</v>
      </c>
      <c r="E5360">
        <v>2023</v>
      </c>
      <c r="F5360">
        <v>6</v>
      </c>
    </row>
    <row r="5361" spans="1:6" x14ac:dyDescent="0.55000000000000004">
      <c r="A5361" t="s">
        <v>152</v>
      </c>
      <c r="B5361" t="s">
        <v>28</v>
      </c>
      <c r="C5361">
        <v>417060.5122</v>
      </c>
      <c r="D5361" t="s">
        <v>278</v>
      </c>
      <c r="E5361">
        <v>2023</v>
      </c>
      <c r="F5361">
        <v>6</v>
      </c>
    </row>
    <row r="5362" spans="1:6" x14ac:dyDescent="0.55000000000000004">
      <c r="A5362" t="s">
        <v>152</v>
      </c>
      <c r="B5362" t="s">
        <v>29</v>
      </c>
      <c r="C5362">
        <v>9439.1666999999998</v>
      </c>
      <c r="D5362" t="s">
        <v>278</v>
      </c>
      <c r="E5362">
        <v>2023</v>
      </c>
      <c r="F5362">
        <v>6</v>
      </c>
    </row>
    <row r="5363" spans="1:6" x14ac:dyDescent="0.55000000000000004">
      <c r="A5363" t="s">
        <v>152</v>
      </c>
      <c r="B5363" t="s">
        <v>30</v>
      </c>
      <c r="C5363">
        <v>44.136099999999999</v>
      </c>
      <c r="D5363" t="s">
        <v>278</v>
      </c>
      <c r="E5363">
        <v>2023</v>
      </c>
      <c r="F5363">
        <v>6</v>
      </c>
    </row>
    <row r="5364" spans="1:6" x14ac:dyDescent="0.55000000000000004">
      <c r="A5364" t="s">
        <v>152</v>
      </c>
      <c r="B5364" t="s">
        <v>31</v>
      </c>
      <c r="C5364">
        <v>79.995999999999995</v>
      </c>
      <c r="D5364" t="s">
        <v>278</v>
      </c>
      <c r="E5364">
        <v>2023</v>
      </c>
      <c r="F5364">
        <v>6</v>
      </c>
    </row>
    <row r="5365" spans="1:6" x14ac:dyDescent="0.55000000000000004">
      <c r="A5365" t="s">
        <v>152</v>
      </c>
      <c r="B5365" t="s">
        <v>32</v>
      </c>
      <c r="C5365">
        <v>617136.16</v>
      </c>
      <c r="D5365" t="s">
        <v>278</v>
      </c>
      <c r="E5365">
        <v>2023</v>
      </c>
      <c r="F5365">
        <v>6</v>
      </c>
    </row>
    <row r="5366" spans="1:6" x14ac:dyDescent="0.55000000000000004">
      <c r="A5366" t="s">
        <v>152</v>
      </c>
      <c r="B5366" t="s">
        <v>33</v>
      </c>
      <c r="C5366">
        <v>586804.67260000005</v>
      </c>
      <c r="D5366" t="s">
        <v>278</v>
      </c>
      <c r="E5366">
        <v>2023</v>
      </c>
      <c r="F5366">
        <v>6</v>
      </c>
    </row>
    <row r="5367" spans="1:6" x14ac:dyDescent="0.55000000000000004">
      <c r="A5367" t="s">
        <v>152</v>
      </c>
      <c r="B5367" t="s">
        <v>34</v>
      </c>
      <c r="C5367">
        <v>489471.08679999999</v>
      </c>
      <c r="D5367" t="s">
        <v>278</v>
      </c>
      <c r="E5367">
        <v>2023</v>
      </c>
      <c r="F5367">
        <v>6</v>
      </c>
    </row>
    <row r="5368" spans="1:6" x14ac:dyDescent="0.55000000000000004">
      <c r="A5368" t="s">
        <v>152</v>
      </c>
      <c r="B5368" t="s">
        <v>35</v>
      </c>
      <c r="C5368">
        <v>1138.6627000000001</v>
      </c>
      <c r="D5368" t="s">
        <v>278</v>
      </c>
      <c r="E5368">
        <v>2023</v>
      </c>
      <c r="F5368">
        <v>6</v>
      </c>
    </row>
    <row r="5369" spans="1:6" x14ac:dyDescent="0.55000000000000004">
      <c r="A5369" t="s">
        <v>152</v>
      </c>
      <c r="B5369" t="s">
        <v>36</v>
      </c>
      <c r="C5369">
        <v>112238.7561</v>
      </c>
      <c r="D5369" t="s">
        <v>278</v>
      </c>
      <c r="E5369">
        <v>2023</v>
      </c>
      <c r="F5369">
        <v>6</v>
      </c>
    </row>
    <row r="5370" spans="1:6" x14ac:dyDescent="0.55000000000000004">
      <c r="A5370" t="s">
        <v>152</v>
      </c>
      <c r="B5370" t="s">
        <v>37</v>
      </c>
      <c r="C5370">
        <v>54599.994299999998</v>
      </c>
      <c r="D5370" t="s">
        <v>278</v>
      </c>
      <c r="E5370">
        <v>2023</v>
      </c>
      <c r="F5370">
        <v>6</v>
      </c>
    </row>
    <row r="5371" spans="1:6" x14ac:dyDescent="0.55000000000000004">
      <c r="A5371" t="s">
        <v>152</v>
      </c>
      <c r="B5371" t="s">
        <v>39</v>
      </c>
      <c r="C5371">
        <v>0</v>
      </c>
      <c r="D5371" t="s">
        <v>278</v>
      </c>
      <c r="E5371">
        <v>2023</v>
      </c>
      <c r="F5371">
        <v>6</v>
      </c>
    </row>
    <row r="5372" spans="1:6" x14ac:dyDescent="0.55000000000000004">
      <c r="A5372" t="s">
        <v>152</v>
      </c>
      <c r="B5372" t="s">
        <v>40</v>
      </c>
      <c r="C5372">
        <v>609.3175</v>
      </c>
      <c r="D5372" t="s">
        <v>278</v>
      </c>
      <c r="E5372">
        <v>2023</v>
      </c>
      <c r="F5372">
        <v>6</v>
      </c>
    </row>
    <row r="5373" spans="1:6" x14ac:dyDescent="0.55000000000000004">
      <c r="A5373" t="s">
        <v>152</v>
      </c>
      <c r="B5373" t="s">
        <v>41</v>
      </c>
      <c r="C5373">
        <v>279649.98979999998</v>
      </c>
      <c r="D5373" t="s">
        <v>278</v>
      </c>
      <c r="E5373">
        <v>2023</v>
      </c>
      <c r="F5373">
        <v>6</v>
      </c>
    </row>
    <row r="5374" spans="1:6" x14ac:dyDescent="0.55000000000000004">
      <c r="A5374" t="s">
        <v>152</v>
      </c>
      <c r="B5374" t="s">
        <v>42</v>
      </c>
      <c r="C5374">
        <v>139.08949999999999</v>
      </c>
      <c r="D5374" t="s">
        <v>278</v>
      </c>
      <c r="E5374">
        <v>2023</v>
      </c>
      <c r="F5374">
        <v>6</v>
      </c>
    </row>
    <row r="5375" spans="1:6" x14ac:dyDescent="0.55000000000000004">
      <c r="A5375" t="s">
        <v>152</v>
      </c>
      <c r="B5375" t="s">
        <v>43</v>
      </c>
      <c r="C5375">
        <v>301177.9277</v>
      </c>
      <c r="D5375" t="s">
        <v>278</v>
      </c>
      <c r="E5375">
        <v>2023</v>
      </c>
      <c r="F5375">
        <v>6</v>
      </c>
    </row>
    <row r="5376" spans="1:6" x14ac:dyDescent="0.55000000000000004">
      <c r="A5376" t="s">
        <v>152</v>
      </c>
      <c r="B5376" t="s">
        <v>44</v>
      </c>
      <c r="C5376">
        <v>0</v>
      </c>
      <c r="D5376" t="s">
        <v>278</v>
      </c>
      <c r="E5376">
        <v>2023</v>
      </c>
      <c r="F5376">
        <v>6</v>
      </c>
    </row>
    <row r="5377" spans="1:6" x14ac:dyDescent="0.55000000000000004">
      <c r="A5377" t="s">
        <v>152</v>
      </c>
      <c r="B5377" t="s">
        <v>45</v>
      </c>
      <c r="C5377">
        <v>4367.7853999999998</v>
      </c>
      <c r="D5377" t="s">
        <v>278</v>
      </c>
      <c r="E5377">
        <v>2023</v>
      </c>
      <c r="F5377">
        <v>6</v>
      </c>
    </row>
    <row r="5378" spans="1:6" x14ac:dyDescent="0.55000000000000004">
      <c r="A5378" t="s">
        <v>152</v>
      </c>
      <c r="B5378" t="s">
        <v>46</v>
      </c>
      <c r="C5378">
        <v>60680.67</v>
      </c>
      <c r="D5378" t="s">
        <v>278</v>
      </c>
      <c r="E5378">
        <v>2023</v>
      </c>
      <c r="F5378">
        <v>6</v>
      </c>
    </row>
    <row r="5379" spans="1:6" x14ac:dyDescent="0.55000000000000004">
      <c r="A5379" t="s">
        <v>152</v>
      </c>
      <c r="B5379" t="s">
        <v>47</v>
      </c>
      <c r="C5379">
        <v>5.7533000000000003</v>
      </c>
      <c r="D5379" t="s">
        <v>278</v>
      </c>
      <c r="E5379">
        <v>2023</v>
      </c>
      <c r="F5379">
        <v>6</v>
      </c>
    </row>
    <row r="5380" spans="1:6" x14ac:dyDescent="0.55000000000000004">
      <c r="A5380" t="s">
        <v>152</v>
      </c>
      <c r="B5380" t="s">
        <v>48</v>
      </c>
      <c r="C5380">
        <v>137482.5595</v>
      </c>
      <c r="D5380" t="s">
        <v>278</v>
      </c>
      <c r="E5380">
        <v>2023</v>
      </c>
      <c r="F5380">
        <v>6</v>
      </c>
    </row>
    <row r="5381" spans="1:6" x14ac:dyDescent="0.55000000000000004">
      <c r="A5381" t="s">
        <v>152</v>
      </c>
      <c r="B5381" t="s">
        <v>49</v>
      </c>
      <c r="C5381">
        <v>246.51669999999999</v>
      </c>
      <c r="D5381" t="s">
        <v>278</v>
      </c>
      <c r="E5381">
        <v>2023</v>
      </c>
      <c r="F5381">
        <v>6</v>
      </c>
    </row>
    <row r="5382" spans="1:6" x14ac:dyDescent="0.55000000000000004">
      <c r="A5382" t="s">
        <v>152</v>
      </c>
      <c r="B5382" t="s">
        <v>50</v>
      </c>
      <c r="C5382">
        <v>13070.0098</v>
      </c>
      <c r="D5382" t="s">
        <v>278</v>
      </c>
      <c r="E5382">
        <v>2023</v>
      </c>
      <c r="F5382">
        <v>6</v>
      </c>
    </row>
    <row r="5383" spans="1:6" x14ac:dyDescent="0.55000000000000004">
      <c r="A5383" t="s">
        <v>152</v>
      </c>
      <c r="B5383" t="s">
        <v>51</v>
      </c>
      <c r="C5383">
        <v>3600</v>
      </c>
      <c r="D5383" t="s">
        <v>278</v>
      </c>
      <c r="E5383">
        <v>2023</v>
      </c>
      <c r="F5383">
        <v>6</v>
      </c>
    </row>
    <row r="5384" spans="1:6" x14ac:dyDescent="0.55000000000000004">
      <c r="A5384" t="s">
        <v>152</v>
      </c>
      <c r="B5384" t="s">
        <v>52</v>
      </c>
      <c r="C5384">
        <v>30.995799999999999</v>
      </c>
      <c r="D5384" t="s">
        <v>278</v>
      </c>
      <c r="E5384">
        <v>2023</v>
      </c>
      <c r="F5384">
        <v>6</v>
      </c>
    </row>
    <row r="5385" spans="1:6" x14ac:dyDescent="0.55000000000000004">
      <c r="A5385" t="s">
        <v>152</v>
      </c>
      <c r="B5385" t="s">
        <v>53</v>
      </c>
      <c r="C5385">
        <v>73067.066699999996</v>
      </c>
      <c r="D5385" t="s">
        <v>278</v>
      </c>
      <c r="E5385">
        <v>2023</v>
      </c>
      <c r="F5385">
        <v>6</v>
      </c>
    </row>
    <row r="5386" spans="1:6" x14ac:dyDescent="0.55000000000000004">
      <c r="A5386" t="s">
        <v>152</v>
      </c>
      <c r="B5386" t="s">
        <v>54</v>
      </c>
      <c r="C5386">
        <v>18564.096600000001</v>
      </c>
      <c r="D5386" t="s">
        <v>278</v>
      </c>
      <c r="E5386">
        <v>2023</v>
      </c>
      <c r="F5386">
        <v>6</v>
      </c>
    </row>
    <row r="5387" spans="1:6" x14ac:dyDescent="0.55000000000000004">
      <c r="A5387" t="s">
        <v>152</v>
      </c>
      <c r="B5387" t="s">
        <v>55</v>
      </c>
      <c r="C5387">
        <v>6723.8333000000002</v>
      </c>
      <c r="D5387" t="s">
        <v>278</v>
      </c>
      <c r="E5387">
        <v>2023</v>
      </c>
      <c r="F5387">
        <v>6</v>
      </c>
    </row>
    <row r="5388" spans="1:6" x14ac:dyDescent="0.55000000000000004">
      <c r="A5388" t="s">
        <v>152</v>
      </c>
      <c r="B5388" t="s">
        <v>56</v>
      </c>
      <c r="C5388">
        <v>16848.583299999998</v>
      </c>
      <c r="D5388" t="s">
        <v>278</v>
      </c>
      <c r="E5388">
        <v>2023</v>
      </c>
      <c r="F5388">
        <v>6</v>
      </c>
    </row>
    <row r="5389" spans="1:6" x14ac:dyDescent="0.55000000000000004">
      <c r="A5389" t="s">
        <v>152</v>
      </c>
      <c r="B5389" t="s">
        <v>57</v>
      </c>
      <c r="C5389">
        <v>429.80630000000002</v>
      </c>
      <c r="D5389" t="s">
        <v>278</v>
      </c>
      <c r="E5389">
        <v>2023</v>
      </c>
      <c r="F5389">
        <v>6</v>
      </c>
    </row>
    <row r="5390" spans="1:6" x14ac:dyDescent="0.55000000000000004">
      <c r="A5390" t="s">
        <v>152</v>
      </c>
      <c r="B5390" t="s">
        <v>58</v>
      </c>
      <c r="C5390">
        <v>563832</v>
      </c>
      <c r="D5390" t="s">
        <v>278</v>
      </c>
      <c r="E5390">
        <v>2023</v>
      </c>
      <c r="F5390">
        <v>6</v>
      </c>
    </row>
    <row r="5391" spans="1:6" x14ac:dyDescent="0.55000000000000004">
      <c r="A5391" t="s">
        <v>152</v>
      </c>
      <c r="B5391" t="s">
        <v>59</v>
      </c>
      <c r="C5391">
        <v>2900</v>
      </c>
      <c r="D5391" t="s">
        <v>278</v>
      </c>
      <c r="E5391">
        <v>2023</v>
      </c>
      <c r="F5391">
        <v>6</v>
      </c>
    </row>
    <row r="5392" spans="1:6" x14ac:dyDescent="0.55000000000000004">
      <c r="A5392" t="s">
        <v>152</v>
      </c>
      <c r="B5392" t="s">
        <v>60</v>
      </c>
      <c r="C5392">
        <v>2293233.3692000001</v>
      </c>
      <c r="D5392" t="s">
        <v>278</v>
      </c>
      <c r="E5392">
        <v>2023</v>
      </c>
      <c r="F5392">
        <v>6</v>
      </c>
    </row>
    <row r="5393" spans="1:6" x14ac:dyDescent="0.55000000000000004">
      <c r="A5393" t="s">
        <v>152</v>
      </c>
      <c r="B5393" t="s">
        <v>61</v>
      </c>
      <c r="C5393">
        <v>5489.2084000000004</v>
      </c>
      <c r="D5393" t="s">
        <v>278</v>
      </c>
      <c r="E5393">
        <v>2023</v>
      </c>
      <c r="F5393">
        <v>6</v>
      </c>
    </row>
    <row r="5394" spans="1:6" x14ac:dyDescent="0.55000000000000004">
      <c r="A5394" t="s">
        <v>152</v>
      </c>
      <c r="B5394" t="s">
        <v>62</v>
      </c>
      <c r="C5394">
        <v>3121.8416999999999</v>
      </c>
      <c r="D5394" t="s">
        <v>278</v>
      </c>
      <c r="E5394">
        <v>2023</v>
      </c>
      <c r="F5394">
        <v>6</v>
      </c>
    </row>
    <row r="5395" spans="1:6" x14ac:dyDescent="0.55000000000000004">
      <c r="A5395" t="s">
        <v>152</v>
      </c>
      <c r="B5395" t="s">
        <v>63</v>
      </c>
      <c r="C5395">
        <v>0</v>
      </c>
      <c r="D5395" t="s">
        <v>278</v>
      </c>
      <c r="E5395">
        <v>2023</v>
      </c>
      <c r="F5395">
        <v>6</v>
      </c>
    </row>
    <row r="5396" spans="1:6" x14ac:dyDescent="0.55000000000000004">
      <c r="A5396" t="s">
        <v>153</v>
      </c>
      <c r="B5396" t="s">
        <v>4</v>
      </c>
      <c r="C5396">
        <v>10186917.1249</v>
      </c>
      <c r="D5396" t="s">
        <v>279</v>
      </c>
      <c r="E5396">
        <v>2023</v>
      </c>
      <c r="F5396">
        <v>7</v>
      </c>
    </row>
    <row r="5397" spans="1:6" x14ac:dyDescent="0.55000000000000004">
      <c r="A5397" t="s">
        <v>153</v>
      </c>
      <c r="B5397" t="s">
        <v>5</v>
      </c>
      <c r="C5397">
        <v>971843.5588</v>
      </c>
      <c r="D5397" t="s">
        <v>279</v>
      </c>
      <c r="E5397">
        <v>2023</v>
      </c>
      <c r="F5397">
        <v>7</v>
      </c>
    </row>
    <row r="5398" spans="1:6" x14ac:dyDescent="0.55000000000000004">
      <c r="A5398" t="s">
        <v>153</v>
      </c>
      <c r="B5398" t="s">
        <v>6</v>
      </c>
      <c r="C5398">
        <v>2256618.6752999998</v>
      </c>
      <c r="D5398" t="s">
        <v>279</v>
      </c>
      <c r="E5398">
        <v>2023</v>
      </c>
      <c r="F5398">
        <v>7</v>
      </c>
    </row>
    <row r="5399" spans="1:6" x14ac:dyDescent="0.55000000000000004">
      <c r="A5399" t="s">
        <v>153</v>
      </c>
      <c r="B5399" t="s">
        <v>7</v>
      </c>
      <c r="C5399">
        <v>2931529.6639</v>
      </c>
      <c r="D5399" t="s">
        <v>279</v>
      </c>
      <c r="E5399">
        <v>2023</v>
      </c>
      <c r="F5399">
        <v>7</v>
      </c>
    </row>
    <row r="5400" spans="1:6" x14ac:dyDescent="0.55000000000000004">
      <c r="A5400" t="s">
        <v>153</v>
      </c>
      <c r="B5400" t="s">
        <v>8</v>
      </c>
      <c r="C5400">
        <v>4026925.2269000001</v>
      </c>
      <c r="D5400" t="s">
        <v>279</v>
      </c>
      <c r="E5400">
        <v>2023</v>
      </c>
      <c r="F5400">
        <v>7</v>
      </c>
    </row>
    <row r="5401" spans="1:6" x14ac:dyDescent="0.55000000000000004">
      <c r="A5401" t="s">
        <v>153</v>
      </c>
      <c r="B5401" t="s">
        <v>9</v>
      </c>
      <c r="C5401">
        <v>2265.6133</v>
      </c>
      <c r="D5401" t="s">
        <v>279</v>
      </c>
      <c r="E5401">
        <v>2023</v>
      </c>
      <c r="F5401">
        <v>7</v>
      </c>
    </row>
    <row r="5402" spans="1:6" x14ac:dyDescent="0.55000000000000004">
      <c r="A5402" t="s">
        <v>153</v>
      </c>
      <c r="B5402" t="s">
        <v>10</v>
      </c>
      <c r="C5402">
        <v>497.9</v>
      </c>
      <c r="D5402" t="s">
        <v>279</v>
      </c>
      <c r="E5402">
        <v>2023</v>
      </c>
      <c r="F5402">
        <v>7</v>
      </c>
    </row>
    <row r="5403" spans="1:6" x14ac:dyDescent="0.55000000000000004">
      <c r="A5403" t="s">
        <v>153</v>
      </c>
      <c r="B5403" t="s">
        <v>11</v>
      </c>
      <c r="C5403">
        <v>3152174.0872</v>
      </c>
      <c r="D5403" t="s">
        <v>279</v>
      </c>
      <c r="E5403">
        <v>2023</v>
      </c>
      <c r="F5403">
        <v>7</v>
      </c>
    </row>
    <row r="5404" spans="1:6" x14ac:dyDescent="0.55000000000000004">
      <c r="A5404" t="s">
        <v>153</v>
      </c>
      <c r="B5404" t="s">
        <v>12</v>
      </c>
      <c r="C5404">
        <v>14388.7752</v>
      </c>
      <c r="D5404" t="s">
        <v>279</v>
      </c>
      <c r="E5404">
        <v>2023</v>
      </c>
      <c r="F5404">
        <v>7</v>
      </c>
    </row>
    <row r="5405" spans="1:6" x14ac:dyDescent="0.55000000000000004">
      <c r="A5405" t="s">
        <v>153</v>
      </c>
      <c r="B5405" t="s">
        <v>13</v>
      </c>
      <c r="C5405">
        <v>23423.482</v>
      </c>
      <c r="D5405" t="s">
        <v>279</v>
      </c>
      <c r="E5405">
        <v>2023</v>
      </c>
      <c r="F5405">
        <v>7</v>
      </c>
    </row>
    <row r="5406" spans="1:6" x14ac:dyDescent="0.55000000000000004">
      <c r="A5406" t="s">
        <v>153</v>
      </c>
      <c r="B5406" t="s">
        <v>14</v>
      </c>
      <c r="C5406">
        <v>100</v>
      </c>
      <c r="D5406" t="s">
        <v>279</v>
      </c>
      <c r="E5406">
        <v>2023</v>
      </c>
      <c r="F5406">
        <v>7</v>
      </c>
    </row>
    <row r="5407" spans="1:6" x14ac:dyDescent="0.55000000000000004">
      <c r="A5407" t="s">
        <v>153</v>
      </c>
      <c r="B5407" t="s">
        <v>15</v>
      </c>
      <c r="C5407">
        <v>860922.65469999996</v>
      </c>
      <c r="D5407" t="s">
        <v>279</v>
      </c>
      <c r="E5407">
        <v>2023</v>
      </c>
      <c r="F5407">
        <v>7</v>
      </c>
    </row>
    <row r="5408" spans="1:6" x14ac:dyDescent="0.55000000000000004">
      <c r="A5408" t="s">
        <v>153</v>
      </c>
      <c r="B5408" t="s">
        <v>16</v>
      </c>
      <c r="C5408">
        <v>0</v>
      </c>
      <c r="D5408" t="s">
        <v>279</v>
      </c>
      <c r="E5408">
        <v>2023</v>
      </c>
      <c r="F5408">
        <v>7</v>
      </c>
    </row>
    <row r="5409" spans="1:6" x14ac:dyDescent="0.55000000000000004">
      <c r="A5409" t="s">
        <v>153</v>
      </c>
      <c r="B5409" t="s">
        <v>17</v>
      </c>
      <c r="C5409">
        <v>121412.7887</v>
      </c>
      <c r="D5409" t="s">
        <v>279</v>
      </c>
      <c r="E5409">
        <v>2023</v>
      </c>
      <c r="F5409">
        <v>7</v>
      </c>
    </row>
    <row r="5410" spans="1:6" x14ac:dyDescent="0.55000000000000004">
      <c r="A5410" t="s">
        <v>153</v>
      </c>
      <c r="B5410" t="s">
        <v>18</v>
      </c>
      <c r="C5410">
        <v>108746.867</v>
      </c>
      <c r="D5410" t="s">
        <v>279</v>
      </c>
      <c r="E5410">
        <v>2023</v>
      </c>
      <c r="F5410">
        <v>7</v>
      </c>
    </row>
    <row r="5411" spans="1:6" x14ac:dyDescent="0.55000000000000004">
      <c r="A5411" t="s">
        <v>153</v>
      </c>
      <c r="B5411" t="s">
        <v>19</v>
      </c>
      <c r="C5411">
        <v>499.9957</v>
      </c>
      <c r="D5411" t="s">
        <v>279</v>
      </c>
      <c r="E5411">
        <v>2023</v>
      </c>
      <c r="F5411">
        <v>7</v>
      </c>
    </row>
    <row r="5412" spans="1:6" x14ac:dyDescent="0.55000000000000004">
      <c r="A5412" t="s">
        <v>153</v>
      </c>
      <c r="B5412" t="s">
        <v>20</v>
      </c>
      <c r="C5412">
        <v>20900</v>
      </c>
      <c r="D5412" t="s">
        <v>279</v>
      </c>
      <c r="E5412">
        <v>2023</v>
      </c>
      <c r="F5412">
        <v>7</v>
      </c>
    </row>
    <row r="5413" spans="1:6" x14ac:dyDescent="0.55000000000000004">
      <c r="A5413" t="s">
        <v>153</v>
      </c>
      <c r="B5413" t="s">
        <v>21</v>
      </c>
      <c r="C5413">
        <v>1755.9004</v>
      </c>
      <c r="D5413" t="s">
        <v>279</v>
      </c>
      <c r="E5413">
        <v>2023</v>
      </c>
      <c r="F5413">
        <v>7</v>
      </c>
    </row>
    <row r="5414" spans="1:6" x14ac:dyDescent="0.55000000000000004">
      <c r="A5414" t="s">
        <v>153</v>
      </c>
      <c r="B5414" t="s">
        <v>22</v>
      </c>
      <c r="C5414">
        <v>43111.83</v>
      </c>
      <c r="D5414" t="s">
        <v>279</v>
      </c>
      <c r="E5414">
        <v>2023</v>
      </c>
      <c r="F5414">
        <v>7</v>
      </c>
    </row>
    <row r="5415" spans="1:6" x14ac:dyDescent="0.55000000000000004">
      <c r="A5415" t="s">
        <v>153</v>
      </c>
      <c r="B5415" t="s">
        <v>23</v>
      </c>
      <c r="C5415">
        <v>41381.862500000003</v>
      </c>
      <c r="D5415" t="s">
        <v>279</v>
      </c>
      <c r="E5415">
        <v>2023</v>
      </c>
      <c r="F5415">
        <v>7</v>
      </c>
    </row>
    <row r="5416" spans="1:6" x14ac:dyDescent="0.55000000000000004">
      <c r="A5416" t="s">
        <v>153</v>
      </c>
      <c r="B5416" t="s">
        <v>24</v>
      </c>
      <c r="C5416">
        <v>0</v>
      </c>
      <c r="D5416" t="s">
        <v>279</v>
      </c>
      <c r="E5416">
        <v>2023</v>
      </c>
      <c r="F5416">
        <v>7</v>
      </c>
    </row>
    <row r="5417" spans="1:6" x14ac:dyDescent="0.55000000000000004">
      <c r="A5417" t="s">
        <v>153</v>
      </c>
      <c r="B5417" t="s">
        <v>25</v>
      </c>
      <c r="C5417">
        <v>440000</v>
      </c>
      <c r="D5417" t="s">
        <v>279</v>
      </c>
      <c r="E5417">
        <v>2023</v>
      </c>
      <c r="F5417">
        <v>7</v>
      </c>
    </row>
    <row r="5418" spans="1:6" x14ac:dyDescent="0.55000000000000004">
      <c r="A5418" t="s">
        <v>153</v>
      </c>
      <c r="B5418" t="s">
        <v>27</v>
      </c>
      <c r="C5418">
        <v>202.5703</v>
      </c>
      <c r="D5418" t="s">
        <v>279</v>
      </c>
      <c r="E5418">
        <v>2023</v>
      </c>
      <c r="F5418">
        <v>7</v>
      </c>
    </row>
    <row r="5419" spans="1:6" x14ac:dyDescent="0.55000000000000004">
      <c r="A5419" t="s">
        <v>153</v>
      </c>
      <c r="B5419" t="s">
        <v>28</v>
      </c>
      <c r="C5419">
        <v>322293.35330000002</v>
      </c>
      <c r="D5419" t="s">
        <v>279</v>
      </c>
      <c r="E5419">
        <v>2023</v>
      </c>
      <c r="F5419">
        <v>7</v>
      </c>
    </row>
    <row r="5420" spans="1:6" x14ac:dyDescent="0.55000000000000004">
      <c r="A5420" t="s">
        <v>153</v>
      </c>
      <c r="B5420" t="s">
        <v>29</v>
      </c>
      <c r="C5420">
        <v>13133.3333</v>
      </c>
      <c r="D5420" t="s">
        <v>279</v>
      </c>
      <c r="E5420">
        <v>2023</v>
      </c>
      <c r="F5420">
        <v>7</v>
      </c>
    </row>
    <row r="5421" spans="1:6" x14ac:dyDescent="0.55000000000000004">
      <c r="A5421" t="s">
        <v>153</v>
      </c>
      <c r="B5421" t="s">
        <v>30</v>
      </c>
      <c r="C5421">
        <v>13.4217</v>
      </c>
      <c r="D5421" t="s">
        <v>279</v>
      </c>
      <c r="E5421">
        <v>2023</v>
      </c>
      <c r="F5421">
        <v>7</v>
      </c>
    </row>
    <row r="5422" spans="1:6" x14ac:dyDescent="0.55000000000000004">
      <c r="A5422" t="s">
        <v>153</v>
      </c>
      <c r="B5422" t="s">
        <v>31</v>
      </c>
      <c r="C5422">
        <v>329.99990000000003</v>
      </c>
      <c r="D5422" t="s">
        <v>279</v>
      </c>
      <c r="E5422">
        <v>2023</v>
      </c>
      <c r="F5422">
        <v>7</v>
      </c>
    </row>
    <row r="5423" spans="1:6" x14ac:dyDescent="0.55000000000000004">
      <c r="A5423" t="s">
        <v>153</v>
      </c>
      <c r="B5423" t="s">
        <v>32</v>
      </c>
      <c r="C5423">
        <v>528747.95830000006</v>
      </c>
      <c r="D5423" t="s">
        <v>279</v>
      </c>
      <c r="E5423">
        <v>2023</v>
      </c>
      <c r="F5423">
        <v>7</v>
      </c>
    </row>
    <row r="5424" spans="1:6" x14ac:dyDescent="0.55000000000000004">
      <c r="A5424" t="s">
        <v>153</v>
      </c>
      <c r="B5424" t="s">
        <v>33</v>
      </c>
      <c r="C5424">
        <v>510201.16820000001</v>
      </c>
      <c r="D5424" t="s">
        <v>279</v>
      </c>
      <c r="E5424">
        <v>2023</v>
      </c>
      <c r="F5424">
        <v>7</v>
      </c>
    </row>
    <row r="5425" spans="1:6" x14ac:dyDescent="0.55000000000000004">
      <c r="A5425" t="s">
        <v>153</v>
      </c>
      <c r="B5425" t="s">
        <v>34</v>
      </c>
      <c r="C5425">
        <v>504261.70360000001</v>
      </c>
      <c r="D5425" t="s">
        <v>279</v>
      </c>
      <c r="E5425">
        <v>2023</v>
      </c>
      <c r="F5425">
        <v>7</v>
      </c>
    </row>
    <row r="5426" spans="1:6" x14ac:dyDescent="0.55000000000000004">
      <c r="A5426" t="s">
        <v>153</v>
      </c>
      <c r="B5426" t="s">
        <v>35</v>
      </c>
      <c r="C5426">
        <v>1952.4503999999999</v>
      </c>
      <c r="D5426" t="s">
        <v>279</v>
      </c>
      <c r="E5426">
        <v>2023</v>
      </c>
      <c r="F5426">
        <v>7</v>
      </c>
    </row>
    <row r="5427" spans="1:6" x14ac:dyDescent="0.55000000000000004">
      <c r="A5427" t="s">
        <v>153</v>
      </c>
      <c r="B5427" t="s">
        <v>36</v>
      </c>
      <c r="C5427">
        <v>83394.637400000007</v>
      </c>
      <c r="D5427" t="s">
        <v>279</v>
      </c>
      <c r="E5427">
        <v>2023</v>
      </c>
      <c r="F5427">
        <v>7</v>
      </c>
    </row>
    <row r="5428" spans="1:6" x14ac:dyDescent="0.55000000000000004">
      <c r="A5428" t="s">
        <v>153</v>
      </c>
      <c r="B5428" t="s">
        <v>37</v>
      </c>
      <c r="C5428">
        <v>42500.000699999997</v>
      </c>
      <c r="D5428" t="s">
        <v>279</v>
      </c>
      <c r="E5428">
        <v>2023</v>
      </c>
      <c r="F5428">
        <v>7</v>
      </c>
    </row>
    <row r="5429" spans="1:6" x14ac:dyDescent="0.55000000000000004">
      <c r="A5429" t="s">
        <v>153</v>
      </c>
      <c r="B5429" t="s">
        <v>39</v>
      </c>
      <c r="C5429">
        <v>984.78330000000005</v>
      </c>
      <c r="D5429" t="s">
        <v>279</v>
      </c>
      <c r="E5429">
        <v>2023</v>
      </c>
      <c r="F5429">
        <v>7</v>
      </c>
    </row>
    <row r="5430" spans="1:6" x14ac:dyDescent="0.55000000000000004">
      <c r="A5430" t="s">
        <v>153</v>
      </c>
      <c r="B5430" t="s">
        <v>40</v>
      </c>
      <c r="C5430">
        <v>609.3175</v>
      </c>
      <c r="D5430" t="s">
        <v>279</v>
      </c>
      <c r="E5430">
        <v>2023</v>
      </c>
      <c r="F5430">
        <v>7</v>
      </c>
    </row>
    <row r="5431" spans="1:6" x14ac:dyDescent="0.55000000000000004">
      <c r="A5431" t="s">
        <v>153</v>
      </c>
      <c r="B5431" t="s">
        <v>41</v>
      </c>
      <c r="C5431">
        <v>261350.0049</v>
      </c>
      <c r="D5431" t="s">
        <v>279</v>
      </c>
      <c r="E5431">
        <v>2023</v>
      </c>
      <c r="F5431">
        <v>7</v>
      </c>
    </row>
    <row r="5432" spans="1:6" x14ac:dyDescent="0.55000000000000004">
      <c r="A5432" t="s">
        <v>153</v>
      </c>
      <c r="B5432" t="s">
        <v>42</v>
      </c>
      <c r="C5432">
        <v>166.9725</v>
      </c>
      <c r="D5432" t="s">
        <v>279</v>
      </c>
      <c r="E5432">
        <v>2023</v>
      </c>
      <c r="F5432">
        <v>7</v>
      </c>
    </row>
    <row r="5433" spans="1:6" x14ac:dyDescent="0.55000000000000004">
      <c r="A5433" t="s">
        <v>153</v>
      </c>
      <c r="B5433" t="s">
        <v>43</v>
      </c>
      <c r="C5433">
        <v>195933.72440000001</v>
      </c>
      <c r="D5433" t="s">
        <v>279</v>
      </c>
      <c r="E5433">
        <v>2023</v>
      </c>
      <c r="F5433">
        <v>7</v>
      </c>
    </row>
    <row r="5434" spans="1:6" x14ac:dyDescent="0.55000000000000004">
      <c r="A5434" t="s">
        <v>153</v>
      </c>
      <c r="B5434" t="s">
        <v>44</v>
      </c>
      <c r="C5434">
        <v>423.33330000000001</v>
      </c>
      <c r="D5434" t="s">
        <v>279</v>
      </c>
      <c r="E5434">
        <v>2023</v>
      </c>
      <c r="F5434">
        <v>7</v>
      </c>
    </row>
    <row r="5435" spans="1:6" x14ac:dyDescent="0.55000000000000004">
      <c r="A5435" t="s">
        <v>153</v>
      </c>
      <c r="B5435" t="s">
        <v>45</v>
      </c>
      <c r="C5435">
        <v>3840.0542</v>
      </c>
      <c r="D5435" t="s">
        <v>279</v>
      </c>
      <c r="E5435">
        <v>2023</v>
      </c>
      <c r="F5435">
        <v>7</v>
      </c>
    </row>
    <row r="5436" spans="1:6" x14ac:dyDescent="0.55000000000000004">
      <c r="A5436" t="s">
        <v>153</v>
      </c>
      <c r="B5436" t="s">
        <v>46</v>
      </c>
      <c r="C5436">
        <v>77168.33</v>
      </c>
      <c r="D5436" t="s">
        <v>279</v>
      </c>
      <c r="E5436">
        <v>2023</v>
      </c>
      <c r="F5436">
        <v>7</v>
      </c>
    </row>
    <row r="5437" spans="1:6" x14ac:dyDescent="0.55000000000000004">
      <c r="A5437" t="s">
        <v>153</v>
      </c>
      <c r="B5437" t="s">
        <v>47</v>
      </c>
      <c r="C5437">
        <v>0</v>
      </c>
      <c r="D5437" t="s">
        <v>279</v>
      </c>
      <c r="E5437">
        <v>2023</v>
      </c>
      <c r="F5437">
        <v>7</v>
      </c>
    </row>
    <row r="5438" spans="1:6" x14ac:dyDescent="0.55000000000000004">
      <c r="A5438" t="s">
        <v>153</v>
      </c>
      <c r="B5438" t="s">
        <v>48</v>
      </c>
      <c r="C5438">
        <v>250902.23259999999</v>
      </c>
      <c r="D5438" t="s">
        <v>279</v>
      </c>
      <c r="E5438">
        <v>2023</v>
      </c>
      <c r="F5438">
        <v>7</v>
      </c>
    </row>
    <row r="5439" spans="1:6" x14ac:dyDescent="0.55000000000000004">
      <c r="A5439" t="s">
        <v>153</v>
      </c>
      <c r="B5439" t="s">
        <v>49</v>
      </c>
      <c r="C5439">
        <v>695.36670000000004</v>
      </c>
      <c r="D5439" t="s">
        <v>279</v>
      </c>
      <c r="E5439">
        <v>2023</v>
      </c>
      <c r="F5439">
        <v>7</v>
      </c>
    </row>
    <row r="5440" spans="1:6" x14ac:dyDescent="0.55000000000000004">
      <c r="A5440" t="s">
        <v>153</v>
      </c>
      <c r="B5440" t="s">
        <v>50</v>
      </c>
      <c r="C5440">
        <v>18080.003700000001</v>
      </c>
      <c r="D5440" t="s">
        <v>279</v>
      </c>
      <c r="E5440">
        <v>2023</v>
      </c>
      <c r="F5440">
        <v>7</v>
      </c>
    </row>
    <row r="5441" spans="1:6" x14ac:dyDescent="0.55000000000000004">
      <c r="A5441" t="s">
        <v>153</v>
      </c>
      <c r="B5441" t="s">
        <v>51</v>
      </c>
      <c r="C5441">
        <v>3000</v>
      </c>
      <c r="D5441" t="s">
        <v>279</v>
      </c>
      <c r="E5441">
        <v>2023</v>
      </c>
      <c r="F5441">
        <v>7</v>
      </c>
    </row>
    <row r="5442" spans="1:6" x14ac:dyDescent="0.55000000000000004">
      <c r="A5442" t="s">
        <v>153</v>
      </c>
      <c r="B5442" t="s">
        <v>52</v>
      </c>
      <c r="C5442">
        <v>31.603300000000001</v>
      </c>
      <c r="D5442" t="s">
        <v>279</v>
      </c>
      <c r="E5442">
        <v>2023</v>
      </c>
      <c r="F5442">
        <v>7</v>
      </c>
    </row>
    <row r="5443" spans="1:6" x14ac:dyDescent="0.55000000000000004">
      <c r="A5443" t="s">
        <v>153</v>
      </c>
      <c r="B5443" t="s">
        <v>53</v>
      </c>
      <c r="C5443">
        <v>47220.833400000003</v>
      </c>
      <c r="D5443" t="s">
        <v>279</v>
      </c>
      <c r="E5443">
        <v>2023</v>
      </c>
      <c r="F5443">
        <v>7</v>
      </c>
    </row>
    <row r="5444" spans="1:6" x14ac:dyDescent="0.55000000000000004">
      <c r="A5444" t="s">
        <v>153</v>
      </c>
      <c r="B5444" t="s">
        <v>54</v>
      </c>
      <c r="C5444">
        <v>12399.153700000001</v>
      </c>
      <c r="D5444" t="s">
        <v>279</v>
      </c>
      <c r="E5444">
        <v>2023</v>
      </c>
      <c r="F5444">
        <v>7</v>
      </c>
    </row>
    <row r="5445" spans="1:6" x14ac:dyDescent="0.55000000000000004">
      <c r="A5445" t="s">
        <v>153</v>
      </c>
      <c r="B5445" t="s">
        <v>55</v>
      </c>
      <c r="C5445">
        <v>9690.0570000000007</v>
      </c>
      <c r="D5445" t="s">
        <v>279</v>
      </c>
      <c r="E5445">
        <v>2023</v>
      </c>
      <c r="F5445">
        <v>7</v>
      </c>
    </row>
    <row r="5446" spans="1:6" x14ac:dyDescent="0.55000000000000004">
      <c r="A5446" t="s">
        <v>153</v>
      </c>
      <c r="B5446" t="s">
        <v>56</v>
      </c>
      <c r="C5446">
        <v>988.88670000000002</v>
      </c>
      <c r="D5446" t="s">
        <v>279</v>
      </c>
      <c r="E5446">
        <v>2023</v>
      </c>
      <c r="F5446">
        <v>7</v>
      </c>
    </row>
    <row r="5447" spans="1:6" x14ac:dyDescent="0.55000000000000004">
      <c r="A5447" t="s">
        <v>153</v>
      </c>
      <c r="B5447" t="s">
        <v>57</v>
      </c>
      <c r="C5447">
        <v>296.14780000000002</v>
      </c>
      <c r="D5447" t="s">
        <v>279</v>
      </c>
      <c r="E5447">
        <v>2023</v>
      </c>
      <c r="F5447">
        <v>7</v>
      </c>
    </row>
    <row r="5448" spans="1:6" x14ac:dyDescent="0.55000000000000004">
      <c r="A5448" t="s">
        <v>153</v>
      </c>
      <c r="B5448" t="s">
        <v>58</v>
      </c>
      <c r="C5448">
        <v>645832</v>
      </c>
      <c r="D5448" t="s">
        <v>279</v>
      </c>
      <c r="E5448">
        <v>2023</v>
      </c>
      <c r="F5448">
        <v>7</v>
      </c>
    </row>
    <row r="5449" spans="1:6" x14ac:dyDescent="0.55000000000000004">
      <c r="A5449" t="s">
        <v>153</v>
      </c>
      <c r="B5449" t="s">
        <v>59</v>
      </c>
      <c r="C5449">
        <v>1300</v>
      </c>
      <c r="D5449" t="s">
        <v>279</v>
      </c>
      <c r="E5449">
        <v>2023</v>
      </c>
      <c r="F5449">
        <v>7</v>
      </c>
    </row>
    <row r="5450" spans="1:6" x14ac:dyDescent="0.55000000000000004">
      <c r="A5450" t="s">
        <v>153</v>
      </c>
      <c r="B5450" t="s">
        <v>60</v>
      </c>
      <c r="C5450">
        <v>1814149.7485</v>
      </c>
      <c r="D5450" t="s">
        <v>279</v>
      </c>
      <c r="E5450">
        <v>2023</v>
      </c>
      <c r="F5450">
        <v>7</v>
      </c>
    </row>
    <row r="5451" spans="1:6" x14ac:dyDescent="0.55000000000000004">
      <c r="A5451" t="s">
        <v>153</v>
      </c>
      <c r="B5451" t="s">
        <v>61</v>
      </c>
      <c r="C5451">
        <v>3000.2175999999999</v>
      </c>
      <c r="D5451" t="s">
        <v>279</v>
      </c>
      <c r="E5451">
        <v>2023</v>
      </c>
      <c r="F5451">
        <v>7</v>
      </c>
    </row>
    <row r="5452" spans="1:6" x14ac:dyDescent="0.55000000000000004">
      <c r="A5452" t="s">
        <v>153</v>
      </c>
      <c r="B5452" t="s">
        <v>62</v>
      </c>
      <c r="C5452">
        <v>242</v>
      </c>
      <c r="D5452" t="s">
        <v>279</v>
      </c>
      <c r="E5452">
        <v>2023</v>
      </c>
      <c r="F5452">
        <v>7</v>
      </c>
    </row>
    <row r="5453" spans="1:6" x14ac:dyDescent="0.55000000000000004">
      <c r="A5453" t="s">
        <v>153</v>
      </c>
      <c r="B5453" t="s">
        <v>63</v>
      </c>
      <c r="C5453">
        <v>0</v>
      </c>
      <c r="D5453" t="s">
        <v>279</v>
      </c>
      <c r="E5453">
        <v>2023</v>
      </c>
      <c r="F5453">
        <v>7</v>
      </c>
    </row>
    <row r="5454" spans="1:6" x14ac:dyDescent="0.55000000000000004">
      <c r="A5454" t="s">
        <v>154</v>
      </c>
      <c r="B5454" t="s">
        <v>4</v>
      </c>
      <c r="C5454">
        <v>10442278.873500001</v>
      </c>
      <c r="D5454" t="s">
        <v>280</v>
      </c>
      <c r="E5454">
        <v>2023</v>
      </c>
      <c r="F5454">
        <v>8</v>
      </c>
    </row>
    <row r="5455" spans="1:6" x14ac:dyDescent="0.55000000000000004">
      <c r="A5455" t="s">
        <v>154</v>
      </c>
      <c r="B5455" t="s">
        <v>5</v>
      </c>
      <c r="C5455">
        <v>916639.7426</v>
      </c>
      <c r="D5455" t="s">
        <v>280</v>
      </c>
      <c r="E5455">
        <v>2023</v>
      </c>
      <c r="F5455">
        <v>8</v>
      </c>
    </row>
    <row r="5456" spans="1:6" x14ac:dyDescent="0.55000000000000004">
      <c r="A5456" t="s">
        <v>154</v>
      </c>
      <c r="B5456" t="s">
        <v>6</v>
      </c>
      <c r="C5456">
        <v>2124066.6527</v>
      </c>
      <c r="D5456" t="s">
        <v>280</v>
      </c>
      <c r="E5456">
        <v>2023</v>
      </c>
      <c r="F5456">
        <v>8</v>
      </c>
    </row>
    <row r="5457" spans="1:6" x14ac:dyDescent="0.55000000000000004">
      <c r="A5457" t="s">
        <v>154</v>
      </c>
      <c r="B5457" t="s">
        <v>7</v>
      </c>
      <c r="C5457">
        <v>3455337.1685000001</v>
      </c>
      <c r="D5457" t="s">
        <v>280</v>
      </c>
      <c r="E5457">
        <v>2023</v>
      </c>
      <c r="F5457">
        <v>8</v>
      </c>
    </row>
    <row r="5458" spans="1:6" x14ac:dyDescent="0.55000000000000004">
      <c r="A5458" t="s">
        <v>154</v>
      </c>
      <c r="B5458" t="s">
        <v>8</v>
      </c>
      <c r="C5458">
        <v>3946235.3097000001</v>
      </c>
      <c r="D5458" t="s">
        <v>280</v>
      </c>
      <c r="E5458">
        <v>2023</v>
      </c>
      <c r="F5458">
        <v>8</v>
      </c>
    </row>
    <row r="5459" spans="1:6" x14ac:dyDescent="0.55000000000000004">
      <c r="A5459" t="s">
        <v>154</v>
      </c>
      <c r="B5459" t="s">
        <v>9</v>
      </c>
      <c r="C5459">
        <v>26</v>
      </c>
      <c r="D5459" t="s">
        <v>280</v>
      </c>
      <c r="E5459">
        <v>2023</v>
      </c>
      <c r="F5459">
        <v>8</v>
      </c>
    </row>
    <row r="5460" spans="1:6" x14ac:dyDescent="0.55000000000000004">
      <c r="A5460" t="s">
        <v>154</v>
      </c>
      <c r="B5460" t="s">
        <v>10</v>
      </c>
      <c r="C5460">
        <v>659.41669999999999</v>
      </c>
      <c r="D5460" t="s">
        <v>280</v>
      </c>
      <c r="E5460">
        <v>2023</v>
      </c>
      <c r="F5460">
        <v>8</v>
      </c>
    </row>
    <row r="5461" spans="1:6" x14ac:dyDescent="0.55000000000000004">
      <c r="A5461" t="s">
        <v>154</v>
      </c>
      <c r="B5461" t="s">
        <v>11</v>
      </c>
      <c r="C5461">
        <v>3815631.5874999999</v>
      </c>
      <c r="D5461" t="s">
        <v>280</v>
      </c>
      <c r="E5461">
        <v>2023</v>
      </c>
      <c r="F5461">
        <v>8</v>
      </c>
    </row>
    <row r="5462" spans="1:6" x14ac:dyDescent="0.55000000000000004">
      <c r="A5462" t="s">
        <v>154</v>
      </c>
      <c r="B5462" t="s">
        <v>12</v>
      </c>
      <c r="C5462">
        <v>14388.7752</v>
      </c>
      <c r="D5462" t="s">
        <v>280</v>
      </c>
      <c r="E5462">
        <v>2023</v>
      </c>
      <c r="F5462">
        <v>8</v>
      </c>
    </row>
    <row r="5463" spans="1:6" x14ac:dyDescent="0.55000000000000004">
      <c r="A5463" t="s">
        <v>154</v>
      </c>
      <c r="B5463" t="s">
        <v>13</v>
      </c>
      <c r="C5463">
        <v>43284.628299999997</v>
      </c>
      <c r="D5463" t="s">
        <v>280</v>
      </c>
      <c r="E5463">
        <v>2023</v>
      </c>
      <c r="F5463">
        <v>8</v>
      </c>
    </row>
    <row r="5464" spans="1:6" x14ac:dyDescent="0.55000000000000004">
      <c r="A5464" t="s">
        <v>154</v>
      </c>
      <c r="B5464" t="s">
        <v>14</v>
      </c>
      <c r="C5464">
        <v>300</v>
      </c>
      <c r="D5464" t="s">
        <v>280</v>
      </c>
      <c r="E5464">
        <v>2023</v>
      </c>
      <c r="F5464">
        <v>8</v>
      </c>
    </row>
    <row r="5465" spans="1:6" x14ac:dyDescent="0.55000000000000004">
      <c r="A5465" t="s">
        <v>154</v>
      </c>
      <c r="B5465" t="s">
        <v>15</v>
      </c>
      <c r="C5465">
        <v>827171.40980000002</v>
      </c>
      <c r="D5465" t="s">
        <v>280</v>
      </c>
      <c r="E5465">
        <v>2023</v>
      </c>
      <c r="F5465">
        <v>8</v>
      </c>
    </row>
    <row r="5466" spans="1:6" x14ac:dyDescent="0.55000000000000004">
      <c r="A5466" t="s">
        <v>154</v>
      </c>
      <c r="B5466" t="s">
        <v>16</v>
      </c>
      <c r="C5466">
        <v>0</v>
      </c>
      <c r="D5466" t="s">
        <v>280</v>
      </c>
      <c r="E5466">
        <v>2023</v>
      </c>
      <c r="F5466">
        <v>8</v>
      </c>
    </row>
    <row r="5467" spans="1:6" x14ac:dyDescent="0.55000000000000004">
      <c r="A5467" t="s">
        <v>154</v>
      </c>
      <c r="B5467" t="s">
        <v>17</v>
      </c>
      <c r="C5467">
        <v>114223.3621</v>
      </c>
      <c r="D5467" t="s">
        <v>280</v>
      </c>
      <c r="E5467">
        <v>2023</v>
      </c>
      <c r="F5467">
        <v>8</v>
      </c>
    </row>
    <row r="5468" spans="1:6" x14ac:dyDescent="0.55000000000000004">
      <c r="A5468" t="s">
        <v>154</v>
      </c>
      <c r="B5468" t="s">
        <v>18</v>
      </c>
      <c r="C5468">
        <v>39428.183700000001</v>
      </c>
      <c r="D5468" t="s">
        <v>280</v>
      </c>
      <c r="E5468">
        <v>2023</v>
      </c>
      <c r="F5468">
        <v>8</v>
      </c>
    </row>
    <row r="5469" spans="1:6" x14ac:dyDescent="0.55000000000000004">
      <c r="A5469" t="s">
        <v>154</v>
      </c>
      <c r="B5469" t="s">
        <v>19</v>
      </c>
      <c r="C5469">
        <v>200</v>
      </c>
      <c r="D5469" t="s">
        <v>280</v>
      </c>
      <c r="E5469">
        <v>2023</v>
      </c>
      <c r="F5469">
        <v>8</v>
      </c>
    </row>
    <row r="5470" spans="1:6" x14ac:dyDescent="0.55000000000000004">
      <c r="A5470" t="s">
        <v>154</v>
      </c>
      <c r="B5470" t="s">
        <v>20</v>
      </c>
      <c r="C5470">
        <v>16600</v>
      </c>
      <c r="D5470" t="s">
        <v>280</v>
      </c>
      <c r="E5470">
        <v>2023</v>
      </c>
      <c r="F5470">
        <v>8</v>
      </c>
    </row>
    <row r="5471" spans="1:6" x14ac:dyDescent="0.55000000000000004">
      <c r="A5471" t="s">
        <v>154</v>
      </c>
      <c r="B5471" t="s">
        <v>21</v>
      </c>
      <c r="C5471">
        <v>1444.7937999999999</v>
      </c>
      <c r="D5471" t="s">
        <v>280</v>
      </c>
      <c r="E5471">
        <v>2023</v>
      </c>
      <c r="F5471">
        <v>8</v>
      </c>
    </row>
    <row r="5472" spans="1:6" x14ac:dyDescent="0.55000000000000004">
      <c r="A5472" t="s">
        <v>154</v>
      </c>
      <c r="B5472" t="s">
        <v>22</v>
      </c>
      <c r="C5472">
        <v>57446.784</v>
      </c>
      <c r="D5472" t="s">
        <v>280</v>
      </c>
      <c r="E5472">
        <v>2023</v>
      </c>
      <c r="F5472">
        <v>8</v>
      </c>
    </row>
    <row r="5473" spans="1:6" x14ac:dyDescent="0.55000000000000004">
      <c r="A5473" t="s">
        <v>154</v>
      </c>
      <c r="B5473" t="s">
        <v>23</v>
      </c>
      <c r="C5473">
        <v>28456.661</v>
      </c>
      <c r="D5473" t="s">
        <v>280</v>
      </c>
      <c r="E5473">
        <v>2023</v>
      </c>
      <c r="F5473">
        <v>8</v>
      </c>
    </row>
    <row r="5474" spans="1:6" x14ac:dyDescent="0.55000000000000004">
      <c r="A5474" t="s">
        <v>154</v>
      </c>
      <c r="B5474" t="s">
        <v>24</v>
      </c>
      <c r="C5474">
        <v>0</v>
      </c>
      <c r="D5474" t="s">
        <v>280</v>
      </c>
      <c r="E5474">
        <v>2023</v>
      </c>
      <c r="F5474">
        <v>8</v>
      </c>
    </row>
    <row r="5475" spans="1:6" x14ac:dyDescent="0.55000000000000004">
      <c r="A5475" t="s">
        <v>154</v>
      </c>
      <c r="B5475" t="s">
        <v>25</v>
      </c>
      <c r="C5475">
        <v>370000</v>
      </c>
      <c r="D5475" t="s">
        <v>280</v>
      </c>
      <c r="E5475">
        <v>2023</v>
      </c>
      <c r="F5475">
        <v>8</v>
      </c>
    </row>
    <row r="5476" spans="1:6" x14ac:dyDescent="0.55000000000000004">
      <c r="A5476" t="s">
        <v>154</v>
      </c>
      <c r="B5476" t="s">
        <v>27</v>
      </c>
      <c r="C5476">
        <v>326.06599999999997</v>
      </c>
      <c r="D5476" t="s">
        <v>280</v>
      </c>
      <c r="E5476">
        <v>2023</v>
      </c>
      <c r="F5476">
        <v>8</v>
      </c>
    </row>
    <row r="5477" spans="1:6" x14ac:dyDescent="0.55000000000000004">
      <c r="A5477" t="s">
        <v>154</v>
      </c>
      <c r="B5477" t="s">
        <v>28</v>
      </c>
      <c r="C5477">
        <v>207504.31280000001</v>
      </c>
      <c r="D5477" t="s">
        <v>280</v>
      </c>
      <c r="E5477">
        <v>2023</v>
      </c>
      <c r="F5477">
        <v>8</v>
      </c>
    </row>
    <row r="5478" spans="1:6" x14ac:dyDescent="0.55000000000000004">
      <c r="A5478" t="s">
        <v>154</v>
      </c>
      <c r="B5478" t="s">
        <v>29</v>
      </c>
      <c r="C5478">
        <v>19673.833500000001</v>
      </c>
      <c r="D5478" t="s">
        <v>280</v>
      </c>
      <c r="E5478">
        <v>2023</v>
      </c>
      <c r="F5478">
        <v>8</v>
      </c>
    </row>
    <row r="5479" spans="1:6" x14ac:dyDescent="0.55000000000000004">
      <c r="A5479" t="s">
        <v>154</v>
      </c>
      <c r="B5479" t="s">
        <v>30</v>
      </c>
      <c r="C5479">
        <v>0</v>
      </c>
      <c r="D5479" t="s">
        <v>280</v>
      </c>
      <c r="E5479">
        <v>2023</v>
      </c>
      <c r="F5479">
        <v>8</v>
      </c>
    </row>
    <row r="5480" spans="1:6" x14ac:dyDescent="0.55000000000000004">
      <c r="A5480" t="s">
        <v>154</v>
      </c>
      <c r="B5480" t="s">
        <v>31</v>
      </c>
      <c r="C5480">
        <v>69.995999999999995</v>
      </c>
      <c r="D5480" t="s">
        <v>280</v>
      </c>
      <c r="E5480">
        <v>2023</v>
      </c>
      <c r="F5480">
        <v>8</v>
      </c>
    </row>
    <row r="5481" spans="1:6" x14ac:dyDescent="0.55000000000000004">
      <c r="A5481" t="s">
        <v>154</v>
      </c>
      <c r="B5481" t="s">
        <v>32</v>
      </c>
      <c r="C5481">
        <v>390371.08029999997</v>
      </c>
      <c r="D5481" t="s">
        <v>280</v>
      </c>
      <c r="E5481">
        <v>2023</v>
      </c>
      <c r="F5481">
        <v>8</v>
      </c>
    </row>
    <row r="5482" spans="1:6" x14ac:dyDescent="0.55000000000000004">
      <c r="A5482" t="s">
        <v>154</v>
      </c>
      <c r="B5482" t="s">
        <v>33</v>
      </c>
      <c r="C5482">
        <v>454822.93689999997</v>
      </c>
      <c r="D5482" t="s">
        <v>280</v>
      </c>
      <c r="E5482">
        <v>2023</v>
      </c>
      <c r="F5482">
        <v>8</v>
      </c>
    </row>
    <row r="5483" spans="1:6" x14ac:dyDescent="0.55000000000000004">
      <c r="A5483" t="s">
        <v>154</v>
      </c>
      <c r="B5483" t="s">
        <v>34</v>
      </c>
      <c r="C5483">
        <v>677442.45059999998</v>
      </c>
      <c r="D5483" t="s">
        <v>280</v>
      </c>
      <c r="E5483">
        <v>2023</v>
      </c>
      <c r="F5483">
        <v>8</v>
      </c>
    </row>
    <row r="5484" spans="1:6" x14ac:dyDescent="0.55000000000000004">
      <c r="A5484" t="s">
        <v>154</v>
      </c>
      <c r="B5484" t="s">
        <v>35</v>
      </c>
      <c r="C5484">
        <v>1265.829</v>
      </c>
      <c r="D5484" t="s">
        <v>280</v>
      </c>
      <c r="E5484">
        <v>2023</v>
      </c>
      <c r="F5484">
        <v>8</v>
      </c>
    </row>
    <row r="5485" spans="1:6" x14ac:dyDescent="0.55000000000000004">
      <c r="A5485" t="s">
        <v>154</v>
      </c>
      <c r="B5485" t="s">
        <v>36</v>
      </c>
      <c r="C5485">
        <v>69290.252800000002</v>
      </c>
      <c r="D5485" t="s">
        <v>280</v>
      </c>
      <c r="E5485">
        <v>2023</v>
      </c>
      <c r="F5485">
        <v>8</v>
      </c>
    </row>
    <row r="5486" spans="1:6" x14ac:dyDescent="0.55000000000000004">
      <c r="A5486" t="s">
        <v>154</v>
      </c>
      <c r="B5486" t="s">
        <v>37</v>
      </c>
      <c r="C5486">
        <v>30600.010999999999</v>
      </c>
      <c r="D5486" t="s">
        <v>280</v>
      </c>
      <c r="E5486">
        <v>2023</v>
      </c>
      <c r="F5486">
        <v>8</v>
      </c>
    </row>
    <row r="5487" spans="1:6" x14ac:dyDescent="0.55000000000000004">
      <c r="A5487" t="s">
        <v>154</v>
      </c>
      <c r="B5487" t="s">
        <v>39</v>
      </c>
      <c r="C5487">
        <v>9.9199999999999997E-2</v>
      </c>
      <c r="D5487" t="s">
        <v>280</v>
      </c>
      <c r="E5487">
        <v>2023</v>
      </c>
      <c r="F5487">
        <v>8</v>
      </c>
    </row>
    <row r="5488" spans="1:6" x14ac:dyDescent="0.55000000000000004">
      <c r="A5488" t="s">
        <v>154</v>
      </c>
      <c r="B5488" t="s">
        <v>40</v>
      </c>
      <c r="C5488">
        <v>609.3175</v>
      </c>
      <c r="D5488" t="s">
        <v>280</v>
      </c>
      <c r="E5488">
        <v>2023</v>
      </c>
      <c r="F5488">
        <v>8</v>
      </c>
    </row>
    <row r="5489" spans="1:6" x14ac:dyDescent="0.55000000000000004">
      <c r="A5489" t="s">
        <v>154</v>
      </c>
      <c r="B5489" t="s">
        <v>41</v>
      </c>
      <c r="C5489">
        <v>244350.00440000001</v>
      </c>
      <c r="D5489" t="s">
        <v>280</v>
      </c>
      <c r="E5489">
        <v>2023</v>
      </c>
      <c r="F5489">
        <v>8</v>
      </c>
    </row>
    <row r="5490" spans="1:6" x14ac:dyDescent="0.55000000000000004">
      <c r="A5490" t="s">
        <v>154</v>
      </c>
      <c r="B5490" t="s">
        <v>42</v>
      </c>
      <c r="C5490">
        <v>113.66670000000001</v>
      </c>
      <c r="D5490" t="s">
        <v>280</v>
      </c>
      <c r="E5490">
        <v>2023</v>
      </c>
      <c r="F5490">
        <v>8</v>
      </c>
    </row>
    <row r="5491" spans="1:6" x14ac:dyDescent="0.55000000000000004">
      <c r="A5491" t="s">
        <v>154</v>
      </c>
      <c r="B5491" t="s">
        <v>43</v>
      </c>
      <c r="C5491">
        <v>167089.467</v>
      </c>
      <c r="D5491" t="s">
        <v>280</v>
      </c>
      <c r="E5491">
        <v>2023</v>
      </c>
      <c r="F5491">
        <v>8</v>
      </c>
    </row>
    <row r="5492" spans="1:6" x14ac:dyDescent="0.55000000000000004">
      <c r="A5492" t="s">
        <v>154</v>
      </c>
      <c r="B5492" t="s">
        <v>44</v>
      </c>
      <c r="C5492">
        <v>0</v>
      </c>
      <c r="D5492" t="s">
        <v>280</v>
      </c>
      <c r="E5492">
        <v>2023</v>
      </c>
      <c r="F5492">
        <v>8</v>
      </c>
    </row>
    <row r="5493" spans="1:6" x14ac:dyDescent="0.55000000000000004">
      <c r="A5493" t="s">
        <v>154</v>
      </c>
      <c r="B5493" t="s">
        <v>45</v>
      </c>
      <c r="C5493">
        <v>3809.0855000000001</v>
      </c>
      <c r="D5493" t="s">
        <v>280</v>
      </c>
      <c r="E5493">
        <v>2023</v>
      </c>
      <c r="F5493">
        <v>8</v>
      </c>
    </row>
    <row r="5494" spans="1:6" x14ac:dyDescent="0.55000000000000004">
      <c r="A5494" t="s">
        <v>154</v>
      </c>
      <c r="B5494" t="s">
        <v>46</v>
      </c>
      <c r="C5494">
        <v>109228.5</v>
      </c>
      <c r="D5494" t="s">
        <v>280</v>
      </c>
      <c r="E5494">
        <v>2023</v>
      </c>
      <c r="F5494">
        <v>8</v>
      </c>
    </row>
    <row r="5495" spans="1:6" x14ac:dyDescent="0.55000000000000004">
      <c r="A5495" t="s">
        <v>154</v>
      </c>
      <c r="B5495" t="s">
        <v>47</v>
      </c>
      <c r="C5495">
        <v>3.4125000000000001</v>
      </c>
      <c r="D5495" t="s">
        <v>280</v>
      </c>
      <c r="E5495">
        <v>2023</v>
      </c>
      <c r="F5495">
        <v>8</v>
      </c>
    </row>
    <row r="5496" spans="1:6" x14ac:dyDescent="0.55000000000000004">
      <c r="A5496" t="s">
        <v>154</v>
      </c>
      <c r="B5496" t="s">
        <v>48</v>
      </c>
      <c r="C5496">
        <v>422962.10960000003</v>
      </c>
      <c r="D5496" t="s">
        <v>280</v>
      </c>
      <c r="E5496">
        <v>2023</v>
      </c>
      <c r="F5496">
        <v>8</v>
      </c>
    </row>
    <row r="5497" spans="1:6" x14ac:dyDescent="0.55000000000000004">
      <c r="A5497" t="s">
        <v>154</v>
      </c>
      <c r="B5497" t="s">
        <v>49</v>
      </c>
      <c r="C5497">
        <v>918.66499999999996</v>
      </c>
      <c r="D5497" t="s">
        <v>280</v>
      </c>
      <c r="E5497">
        <v>2023</v>
      </c>
      <c r="F5497">
        <v>8</v>
      </c>
    </row>
    <row r="5498" spans="1:6" x14ac:dyDescent="0.55000000000000004">
      <c r="A5498" t="s">
        <v>154</v>
      </c>
      <c r="B5498" t="s">
        <v>50</v>
      </c>
      <c r="C5498">
        <v>20089.9997</v>
      </c>
      <c r="D5498" t="s">
        <v>280</v>
      </c>
      <c r="E5498">
        <v>2023</v>
      </c>
      <c r="F5498">
        <v>8</v>
      </c>
    </row>
    <row r="5499" spans="1:6" x14ac:dyDescent="0.55000000000000004">
      <c r="A5499" t="s">
        <v>154</v>
      </c>
      <c r="B5499" t="s">
        <v>51</v>
      </c>
      <c r="C5499">
        <v>2200</v>
      </c>
      <c r="D5499" t="s">
        <v>280</v>
      </c>
      <c r="E5499">
        <v>2023</v>
      </c>
      <c r="F5499">
        <v>8</v>
      </c>
    </row>
    <row r="5500" spans="1:6" x14ac:dyDescent="0.55000000000000004">
      <c r="A5500" t="s">
        <v>154</v>
      </c>
      <c r="B5500" t="s">
        <v>52</v>
      </c>
      <c r="C5500">
        <v>21.886500000000002</v>
      </c>
      <c r="D5500" t="s">
        <v>280</v>
      </c>
      <c r="E5500">
        <v>2023</v>
      </c>
      <c r="F5500">
        <v>8</v>
      </c>
    </row>
    <row r="5501" spans="1:6" x14ac:dyDescent="0.55000000000000004">
      <c r="A5501" t="s">
        <v>154</v>
      </c>
      <c r="B5501" t="s">
        <v>53</v>
      </c>
      <c r="C5501">
        <v>41139.86</v>
      </c>
      <c r="D5501" t="s">
        <v>280</v>
      </c>
      <c r="E5501">
        <v>2023</v>
      </c>
      <c r="F5501">
        <v>8</v>
      </c>
    </row>
    <row r="5502" spans="1:6" x14ac:dyDescent="0.55000000000000004">
      <c r="A5502" t="s">
        <v>154</v>
      </c>
      <c r="B5502" t="s">
        <v>54</v>
      </c>
      <c r="C5502">
        <v>19883.124</v>
      </c>
      <c r="D5502" t="s">
        <v>280</v>
      </c>
      <c r="E5502">
        <v>2023</v>
      </c>
      <c r="F5502">
        <v>8</v>
      </c>
    </row>
    <row r="5503" spans="1:6" x14ac:dyDescent="0.55000000000000004">
      <c r="A5503" t="s">
        <v>154</v>
      </c>
      <c r="B5503" t="s">
        <v>55</v>
      </c>
      <c r="C5503">
        <v>16539.466700000001</v>
      </c>
      <c r="D5503" t="s">
        <v>280</v>
      </c>
      <c r="E5503">
        <v>2023</v>
      </c>
      <c r="F5503">
        <v>8</v>
      </c>
    </row>
    <row r="5504" spans="1:6" x14ac:dyDescent="0.55000000000000004">
      <c r="A5504" t="s">
        <v>154</v>
      </c>
      <c r="B5504" t="s">
        <v>56</v>
      </c>
      <c r="C5504">
        <v>10013.25</v>
      </c>
      <c r="D5504" t="s">
        <v>280</v>
      </c>
      <c r="E5504">
        <v>2023</v>
      </c>
      <c r="F5504">
        <v>8</v>
      </c>
    </row>
    <row r="5505" spans="1:6" x14ac:dyDescent="0.55000000000000004">
      <c r="A5505" t="s">
        <v>154</v>
      </c>
      <c r="B5505" t="s">
        <v>57</v>
      </c>
      <c r="C5505">
        <v>509.72579999999999</v>
      </c>
      <c r="D5505" t="s">
        <v>280</v>
      </c>
      <c r="E5505">
        <v>2023</v>
      </c>
      <c r="F5505">
        <v>8</v>
      </c>
    </row>
    <row r="5506" spans="1:6" x14ac:dyDescent="0.55000000000000004">
      <c r="A5506" t="s">
        <v>154</v>
      </c>
      <c r="B5506" t="s">
        <v>58</v>
      </c>
      <c r="C5506">
        <v>743517</v>
      </c>
      <c r="D5506" t="s">
        <v>280</v>
      </c>
      <c r="E5506">
        <v>2023</v>
      </c>
      <c r="F5506">
        <v>8</v>
      </c>
    </row>
    <row r="5507" spans="1:6" x14ac:dyDescent="0.55000000000000004">
      <c r="A5507" t="s">
        <v>154</v>
      </c>
      <c r="B5507" t="s">
        <v>59</v>
      </c>
      <c r="C5507">
        <v>1700</v>
      </c>
      <c r="D5507" t="s">
        <v>280</v>
      </c>
      <c r="E5507">
        <v>2023</v>
      </c>
      <c r="F5507">
        <v>8</v>
      </c>
    </row>
    <row r="5508" spans="1:6" x14ac:dyDescent="0.55000000000000004">
      <c r="A5508" t="s">
        <v>154</v>
      </c>
      <c r="B5508" t="s">
        <v>60</v>
      </c>
      <c r="C5508">
        <v>1443567.3607000001</v>
      </c>
      <c r="D5508" t="s">
        <v>280</v>
      </c>
      <c r="E5508">
        <v>2023</v>
      </c>
      <c r="F5508">
        <v>8</v>
      </c>
    </row>
    <row r="5509" spans="1:6" x14ac:dyDescent="0.55000000000000004">
      <c r="A5509" t="s">
        <v>154</v>
      </c>
      <c r="B5509" t="s">
        <v>61</v>
      </c>
      <c r="C5509">
        <v>4134.6683999999996</v>
      </c>
      <c r="D5509" t="s">
        <v>280</v>
      </c>
      <c r="E5509">
        <v>2023</v>
      </c>
      <c r="F5509">
        <v>8</v>
      </c>
    </row>
    <row r="5510" spans="1:6" x14ac:dyDescent="0.55000000000000004">
      <c r="A5510" t="s">
        <v>154</v>
      </c>
      <c r="B5510" t="s">
        <v>62</v>
      </c>
      <c r="C5510">
        <v>9249.8333000000002</v>
      </c>
      <c r="D5510" t="s">
        <v>280</v>
      </c>
      <c r="E5510">
        <v>2023</v>
      </c>
      <c r="F5510">
        <v>8</v>
      </c>
    </row>
    <row r="5511" spans="1:6" x14ac:dyDescent="0.55000000000000004">
      <c r="A5511" t="s">
        <v>154</v>
      </c>
      <c r="B5511" t="s">
        <v>63</v>
      </c>
      <c r="C5511">
        <v>0</v>
      </c>
      <c r="D5511" t="s">
        <v>280</v>
      </c>
      <c r="E5511">
        <v>2023</v>
      </c>
      <c r="F5511">
        <v>8</v>
      </c>
    </row>
    <row r="5512" spans="1:6" x14ac:dyDescent="0.55000000000000004">
      <c r="A5512" t="s">
        <v>155</v>
      </c>
      <c r="B5512" t="s">
        <v>4</v>
      </c>
      <c r="C5512">
        <v>9144849.8333000001</v>
      </c>
      <c r="D5512" t="s">
        <v>281</v>
      </c>
      <c r="E5512">
        <v>2023</v>
      </c>
      <c r="F5512">
        <v>9</v>
      </c>
    </row>
    <row r="5513" spans="1:6" x14ac:dyDescent="0.55000000000000004">
      <c r="A5513" t="s">
        <v>155</v>
      </c>
      <c r="B5513" t="s">
        <v>5</v>
      </c>
      <c r="C5513">
        <v>912291.66209999996</v>
      </c>
      <c r="D5513" t="s">
        <v>281</v>
      </c>
      <c r="E5513">
        <v>2023</v>
      </c>
      <c r="F5513">
        <v>9</v>
      </c>
    </row>
    <row r="5514" spans="1:6" x14ac:dyDescent="0.55000000000000004">
      <c r="A5514" t="s">
        <v>155</v>
      </c>
      <c r="B5514" t="s">
        <v>6</v>
      </c>
      <c r="C5514">
        <v>1783759.3836999999</v>
      </c>
      <c r="D5514" t="s">
        <v>281</v>
      </c>
      <c r="E5514">
        <v>2023</v>
      </c>
      <c r="F5514">
        <v>9</v>
      </c>
    </row>
    <row r="5515" spans="1:6" x14ac:dyDescent="0.55000000000000004">
      <c r="A5515" t="s">
        <v>155</v>
      </c>
      <c r="B5515" t="s">
        <v>7</v>
      </c>
      <c r="C5515">
        <v>3284844.1606999999</v>
      </c>
      <c r="D5515" t="s">
        <v>281</v>
      </c>
      <c r="E5515">
        <v>2023</v>
      </c>
      <c r="F5515">
        <v>9</v>
      </c>
    </row>
    <row r="5516" spans="1:6" x14ac:dyDescent="0.55000000000000004">
      <c r="A5516" t="s">
        <v>155</v>
      </c>
      <c r="B5516" t="s">
        <v>8</v>
      </c>
      <c r="C5516">
        <v>3163954.6268000002</v>
      </c>
      <c r="D5516" t="s">
        <v>281</v>
      </c>
      <c r="E5516">
        <v>2023</v>
      </c>
      <c r="F5516">
        <v>9</v>
      </c>
    </row>
    <row r="5517" spans="1:6" x14ac:dyDescent="0.55000000000000004">
      <c r="A5517" t="s">
        <v>155</v>
      </c>
      <c r="B5517" t="s">
        <v>9</v>
      </c>
      <c r="C5517">
        <v>1664.8957</v>
      </c>
      <c r="D5517" t="s">
        <v>281</v>
      </c>
      <c r="E5517">
        <v>2023</v>
      </c>
      <c r="F5517">
        <v>9</v>
      </c>
    </row>
    <row r="5518" spans="1:6" x14ac:dyDescent="0.55000000000000004">
      <c r="A5518" t="s">
        <v>155</v>
      </c>
      <c r="B5518" t="s">
        <v>10</v>
      </c>
      <c r="C5518">
        <v>1833.5166999999999</v>
      </c>
      <c r="D5518" t="s">
        <v>281</v>
      </c>
      <c r="E5518">
        <v>2023</v>
      </c>
      <c r="F5518">
        <v>9</v>
      </c>
    </row>
    <row r="5519" spans="1:6" x14ac:dyDescent="0.55000000000000004">
      <c r="A5519" t="s">
        <v>155</v>
      </c>
      <c r="B5519" t="s">
        <v>11</v>
      </c>
      <c r="C5519">
        <v>3765915.8426000001</v>
      </c>
      <c r="D5519" t="s">
        <v>281</v>
      </c>
      <c r="E5519">
        <v>2023</v>
      </c>
      <c r="F5519">
        <v>9</v>
      </c>
    </row>
    <row r="5520" spans="1:6" x14ac:dyDescent="0.55000000000000004">
      <c r="A5520" t="s">
        <v>155</v>
      </c>
      <c r="B5520" t="s">
        <v>12</v>
      </c>
      <c r="C5520">
        <v>14388.7752</v>
      </c>
      <c r="D5520" t="s">
        <v>281</v>
      </c>
      <c r="E5520">
        <v>2023</v>
      </c>
      <c r="F5520">
        <v>9</v>
      </c>
    </row>
    <row r="5521" spans="1:6" x14ac:dyDescent="0.55000000000000004">
      <c r="A5521" t="s">
        <v>155</v>
      </c>
      <c r="B5521" t="s">
        <v>13</v>
      </c>
      <c r="C5521">
        <v>36303.446400000001</v>
      </c>
      <c r="D5521" t="s">
        <v>281</v>
      </c>
      <c r="E5521">
        <v>2023</v>
      </c>
      <c r="F5521">
        <v>9</v>
      </c>
    </row>
    <row r="5522" spans="1:6" x14ac:dyDescent="0.55000000000000004">
      <c r="A5522" t="s">
        <v>155</v>
      </c>
      <c r="B5522" t="s">
        <v>14</v>
      </c>
      <c r="C5522">
        <v>300</v>
      </c>
      <c r="D5522" t="s">
        <v>281</v>
      </c>
      <c r="E5522">
        <v>2023</v>
      </c>
      <c r="F5522">
        <v>9</v>
      </c>
    </row>
    <row r="5523" spans="1:6" x14ac:dyDescent="0.55000000000000004">
      <c r="A5523" t="s">
        <v>155</v>
      </c>
      <c r="B5523" t="s">
        <v>15</v>
      </c>
      <c r="C5523">
        <v>852898.61679999996</v>
      </c>
      <c r="D5523" t="s">
        <v>281</v>
      </c>
      <c r="E5523">
        <v>2023</v>
      </c>
      <c r="F5523">
        <v>9</v>
      </c>
    </row>
    <row r="5524" spans="1:6" x14ac:dyDescent="0.55000000000000004">
      <c r="A5524" t="s">
        <v>155</v>
      </c>
      <c r="B5524" t="s">
        <v>16</v>
      </c>
      <c r="C5524">
        <v>0</v>
      </c>
      <c r="D5524" t="s">
        <v>281</v>
      </c>
      <c r="E5524">
        <v>2023</v>
      </c>
      <c r="F5524">
        <v>9</v>
      </c>
    </row>
    <row r="5525" spans="1:6" x14ac:dyDescent="0.55000000000000004">
      <c r="A5525" t="s">
        <v>155</v>
      </c>
      <c r="B5525" t="s">
        <v>17</v>
      </c>
      <c r="C5525">
        <v>32275.706099999999</v>
      </c>
      <c r="D5525" t="s">
        <v>281</v>
      </c>
      <c r="E5525">
        <v>2023</v>
      </c>
      <c r="F5525">
        <v>9</v>
      </c>
    </row>
    <row r="5526" spans="1:6" x14ac:dyDescent="0.55000000000000004">
      <c r="A5526" t="s">
        <v>155</v>
      </c>
      <c r="B5526" t="s">
        <v>18</v>
      </c>
      <c r="C5526">
        <v>100828.7831</v>
      </c>
      <c r="D5526" t="s">
        <v>281</v>
      </c>
      <c r="E5526">
        <v>2023</v>
      </c>
      <c r="F5526">
        <v>9</v>
      </c>
    </row>
    <row r="5527" spans="1:6" x14ac:dyDescent="0.55000000000000004">
      <c r="A5527" t="s">
        <v>155</v>
      </c>
      <c r="B5527" t="s">
        <v>19</v>
      </c>
      <c r="C5527">
        <v>100</v>
      </c>
      <c r="D5527" t="s">
        <v>281</v>
      </c>
      <c r="E5527">
        <v>2023</v>
      </c>
      <c r="F5527">
        <v>9</v>
      </c>
    </row>
    <row r="5528" spans="1:6" x14ac:dyDescent="0.55000000000000004">
      <c r="A5528" t="s">
        <v>155</v>
      </c>
      <c r="B5528" t="s">
        <v>20</v>
      </c>
      <c r="C5528">
        <v>16500</v>
      </c>
      <c r="D5528" t="s">
        <v>281</v>
      </c>
      <c r="E5528">
        <v>2023</v>
      </c>
      <c r="F5528">
        <v>9</v>
      </c>
    </row>
    <row r="5529" spans="1:6" x14ac:dyDescent="0.55000000000000004">
      <c r="A5529" t="s">
        <v>155</v>
      </c>
      <c r="B5529" t="s">
        <v>21</v>
      </c>
      <c r="C5529">
        <v>2066.3013000000001</v>
      </c>
      <c r="D5529" t="s">
        <v>281</v>
      </c>
      <c r="E5529">
        <v>2023</v>
      </c>
      <c r="F5529">
        <v>9</v>
      </c>
    </row>
    <row r="5530" spans="1:6" x14ac:dyDescent="0.55000000000000004">
      <c r="A5530" t="s">
        <v>155</v>
      </c>
      <c r="B5530" t="s">
        <v>22</v>
      </c>
      <c r="C5530">
        <v>56500.872000000003</v>
      </c>
      <c r="D5530" t="s">
        <v>281</v>
      </c>
      <c r="E5530">
        <v>2023</v>
      </c>
      <c r="F5530">
        <v>9</v>
      </c>
    </row>
    <row r="5531" spans="1:6" x14ac:dyDescent="0.55000000000000004">
      <c r="A5531" t="s">
        <v>155</v>
      </c>
      <c r="B5531" t="s">
        <v>23</v>
      </c>
      <c r="C5531">
        <v>19083.410500000002</v>
      </c>
      <c r="D5531" t="s">
        <v>281</v>
      </c>
      <c r="E5531">
        <v>2023</v>
      </c>
      <c r="F5531">
        <v>9</v>
      </c>
    </row>
    <row r="5532" spans="1:6" x14ac:dyDescent="0.55000000000000004">
      <c r="A5532" t="s">
        <v>155</v>
      </c>
      <c r="B5532" t="s">
        <v>24</v>
      </c>
      <c r="C5532">
        <v>0</v>
      </c>
      <c r="D5532" t="s">
        <v>281</v>
      </c>
      <c r="E5532">
        <v>2023</v>
      </c>
      <c r="F5532">
        <v>9</v>
      </c>
    </row>
    <row r="5533" spans="1:6" x14ac:dyDescent="0.55000000000000004">
      <c r="A5533" t="s">
        <v>155</v>
      </c>
      <c r="B5533" t="s">
        <v>25</v>
      </c>
      <c r="C5533">
        <v>310000</v>
      </c>
      <c r="D5533" t="s">
        <v>281</v>
      </c>
      <c r="E5533">
        <v>2023</v>
      </c>
      <c r="F5533">
        <v>9</v>
      </c>
    </row>
    <row r="5534" spans="1:6" x14ac:dyDescent="0.55000000000000004">
      <c r="A5534" t="s">
        <v>155</v>
      </c>
      <c r="B5534" t="s">
        <v>27</v>
      </c>
      <c r="C5534">
        <v>416.1884</v>
      </c>
      <c r="D5534" t="s">
        <v>281</v>
      </c>
      <c r="E5534">
        <v>2023</v>
      </c>
      <c r="F5534">
        <v>9</v>
      </c>
    </row>
    <row r="5535" spans="1:6" x14ac:dyDescent="0.55000000000000004">
      <c r="A5535" t="s">
        <v>155</v>
      </c>
      <c r="B5535" t="s">
        <v>28</v>
      </c>
      <c r="C5535">
        <v>193931.4025</v>
      </c>
      <c r="D5535" t="s">
        <v>281</v>
      </c>
      <c r="E5535">
        <v>2023</v>
      </c>
      <c r="F5535">
        <v>9</v>
      </c>
    </row>
    <row r="5536" spans="1:6" x14ac:dyDescent="0.55000000000000004">
      <c r="A5536" t="s">
        <v>155</v>
      </c>
      <c r="B5536" t="s">
        <v>29</v>
      </c>
      <c r="C5536">
        <v>7811.2334000000001</v>
      </c>
      <c r="D5536" t="s">
        <v>281</v>
      </c>
      <c r="E5536">
        <v>2023</v>
      </c>
      <c r="F5536">
        <v>9</v>
      </c>
    </row>
    <row r="5537" spans="1:6" x14ac:dyDescent="0.55000000000000004">
      <c r="A5537" t="s">
        <v>155</v>
      </c>
      <c r="B5537" t="s">
        <v>30</v>
      </c>
      <c r="C5537">
        <v>355.66269999999997</v>
      </c>
      <c r="D5537" t="s">
        <v>281</v>
      </c>
      <c r="E5537">
        <v>2023</v>
      </c>
      <c r="F5537">
        <v>9</v>
      </c>
    </row>
    <row r="5538" spans="1:6" x14ac:dyDescent="0.55000000000000004">
      <c r="A5538" t="s">
        <v>155</v>
      </c>
      <c r="B5538" t="s">
        <v>31</v>
      </c>
      <c r="C5538">
        <v>69.995999999999995</v>
      </c>
      <c r="D5538" t="s">
        <v>281</v>
      </c>
      <c r="E5538">
        <v>2023</v>
      </c>
      <c r="F5538">
        <v>9</v>
      </c>
    </row>
    <row r="5539" spans="1:6" x14ac:dyDescent="0.55000000000000004">
      <c r="A5539" t="s">
        <v>155</v>
      </c>
      <c r="B5539" t="s">
        <v>32</v>
      </c>
      <c r="C5539">
        <v>214212.09</v>
      </c>
      <c r="D5539" t="s">
        <v>281</v>
      </c>
      <c r="E5539">
        <v>2023</v>
      </c>
      <c r="F5539">
        <v>9</v>
      </c>
    </row>
    <row r="5540" spans="1:6" x14ac:dyDescent="0.55000000000000004">
      <c r="A5540" t="s">
        <v>155</v>
      </c>
      <c r="B5540" t="s">
        <v>33</v>
      </c>
      <c r="C5540">
        <v>444618.2254</v>
      </c>
      <c r="D5540" t="s">
        <v>281</v>
      </c>
      <c r="E5540">
        <v>2023</v>
      </c>
      <c r="F5540">
        <v>9</v>
      </c>
    </row>
    <row r="5541" spans="1:6" x14ac:dyDescent="0.55000000000000004">
      <c r="A5541" t="s">
        <v>155</v>
      </c>
      <c r="B5541" t="s">
        <v>34</v>
      </c>
      <c r="C5541">
        <v>434590.5074</v>
      </c>
      <c r="D5541" t="s">
        <v>281</v>
      </c>
      <c r="E5541">
        <v>2023</v>
      </c>
      <c r="F5541">
        <v>9</v>
      </c>
    </row>
    <row r="5542" spans="1:6" x14ac:dyDescent="0.55000000000000004">
      <c r="A5542" t="s">
        <v>155</v>
      </c>
      <c r="B5542" t="s">
        <v>35</v>
      </c>
      <c r="C5542">
        <v>824.3356</v>
      </c>
      <c r="D5542" t="s">
        <v>281</v>
      </c>
      <c r="E5542">
        <v>2023</v>
      </c>
      <c r="F5542">
        <v>9</v>
      </c>
    </row>
    <row r="5543" spans="1:6" x14ac:dyDescent="0.55000000000000004">
      <c r="A5543" t="s">
        <v>155</v>
      </c>
      <c r="B5543" t="s">
        <v>36</v>
      </c>
      <c r="C5543">
        <v>51850.445299999999</v>
      </c>
      <c r="D5543" t="s">
        <v>281</v>
      </c>
      <c r="E5543">
        <v>2023</v>
      </c>
      <c r="F5543">
        <v>9</v>
      </c>
    </row>
    <row r="5544" spans="1:6" x14ac:dyDescent="0.55000000000000004">
      <c r="A5544" t="s">
        <v>155</v>
      </c>
      <c r="B5544" t="s">
        <v>37</v>
      </c>
      <c r="C5544">
        <v>27200.0013</v>
      </c>
      <c r="D5544" t="s">
        <v>281</v>
      </c>
      <c r="E5544">
        <v>2023</v>
      </c>
      <c r="F5544">
        <v>9</v>
      </c>
    </row>
    <row r="5545" spans="1:6" x14ac:dyDescent="0.55000000000000004">
      <c r="A5545" t="s">
        <v>155</v>
      </c>
      <c r="B5545" t="s">
        <v>39</v>
      </c>
      <c r="C5545">
        <v>10</v>
      </c>
      <c r="D5545" t="s">
        <v>281</v>
      </c>
      <c r="E5545">
        <v>2023</v>
      </c>
      <c r="F5545">
        <v>9</v>
      </c>
    </row>
    <row r="5546" spans="1:6" x14ac:dyDescent="0.55000000000000004">
      <c r="A5546" t="s">
        <v>155</v>
      </c>
      <c r="B5546" t="s">
        <v>40</v>
      </c>
      <c r="C5546">
        <v>609.3175</v>
      </c>
      <c r="D5546" t="s">
        <v>281</v>
      </c>
      <c r="E5546">
        <v>2023</v>
      </c>
      <c r="F5546">
        <v>9</v>
      </c>
    </row>
    <row r="5547" spans="1:6" x14ac:dyDescent="0.55000000000000004">
      <c r="A5547" t="s">
        <v>155</v>
      </c>
      <c r="B5547" t="s">
        <v>41</v>
      </c>
      <c r="C5547">
        <v>204199.9883</v>
      </c>
      <c r="D5547" t="s">
        <v>281</v>
      </c>
      <c r="E5547">
        <v>2023</v>
      </c>
      <c r="F5547">
        <v>9</v>
      </c>
    </row>
    <row r="5548" spans="1:6" x14ac:dyDescent="0.55000000000000004">
      <c r="A5548" t="s">
        <v>155</v>
      </c>
      <c r="B5548" t="s">
        <v>42</v>
      </c>
      <c r="C5548">
        <v>23.501100000000001</v>
      </c>
      <c r="D5548" t="s">
        <v>281</v>
      </c>
      <c r="E5548">
        <v>2023</v>
      </c>
      <c r="F5548">
        <v>9</v>
      </c>
    </row>
    <row r="5549" spans="1:6" x14ac:dyDescent="0.55000000000000004">
      <c r="A5549" t="s">
        <v>155</v>
      </c>
      <c r="B5549" t="s">
        <v>43</v>
      </c>
      <c r="C5549">
        <v>91580.162200000006</v>
      </c>
      <c r="D5549" t="s">
        <v>281</v>
      </c>
      <c r="E5549">
        <v>2023</v>
      </c>
      <c r="F5549">
        <v>9</v>
      </c>
    </row>
    <row r="5550" spans="1:6" x14ac:dyDescent="0.55000000000000004">
      <c r="A5550" t="s">
        <v>155</v>
      </c>
      <c r="B5550" t="s">
        <v>44</v>
      </c>
      <c r="C5550">
        <v>0</v>
      </c>
      <c r="D5550" t="s">
        <v>281</v>
      </c>
      <c r="E5550">
        <v>2023</v>
      </c>
      <c r="F5550">
        <v>9</v>
      </c>
    </row>
    <row r="5551" spans="1:6" x14ac:dyDescent="0.55000000000000004">
      <c r="A5551" t="s">
        <v>155</v>
      </c>
      <c r="B5551" t="s">
        <v>45</v>
      </c>
      <c r="C5551">
        <v>5139.1998999999996</v>
      </c>
      <c r="D5551" t="s">
        <v>281</v>
      </c>
      <c r="E5551">
        <v>2023</v>
      </c>
      <c r="F5551">
        <v>9</v>
      </c>
    </row>
    <row r="5552" spans="1:6" x14ac:dyDescent="0.55000000000000004">
      <c r="A5552" t="s">
        <v>155</v>
      </c>
      <c r="B5552" t="s">
        <v>46</v>
      </c>
      <c r="C5552">
        <v>102913.1667</v>
      </c>
      <c r="D5552" t="s">
        <v>281</v>
      </c>
      <c r="E5552">
        <v>2023</v>
      </c>
      <c r="F5552">
        <v>9</v>
      </c>
    </row>
    <row r="5553" spans="1:6" x14ac:dyDescent="0.55000000000000004">
      <c r="A5553" t="s">
        <v>155</v>
      </c>
      <c r="B5553" t="s">
        <v>47</v>
      </c>
      <c r="C5553">
        <v>2.9552999999999998</v>
      </c>
      <c r="D5553" t="s">
        <v>281</v>
      </c>
      <c r="E5553">
        <v>2023</v>
      </c>
      <c r="F5553">
        <v>9</v>
      </c>
    </row>
    <row r="5554" spans="1:6" x14ac:dyDescent="0.55000000000000004">
      <c r="A5554" t="s">
        <v>155</v>
      </c>
      <c r="B5554" t="s">
        <v>48</v>
      </c>
      <c r="C5554">
        <v>535909.08649999998</v>
      </c>
      <c r="D5554" t="s">
        <v>281</v>
      </c>
      <c r="E5554">
        <v>2023</v>
      </c>
      <c r="F5554">
        <v>9</v>
      </c>
    </row>
    <row r="5555" spans="1:6" x14ac:dyDescent="0.55000000000000004">
      <c r="A5555" t="s">
        <v>155</v>
      </c>
      <c r="B5555" t="s">
        <v>49</v>
      </c>
      <c r="C5555">
        <v>0</v>
      </c>
      <c r="D5555" t="s">
        <v>281</v>
      </c>
      <c r="E5555">
        <v>2023</v>
      </c>
      <c r="F5555">
        <v>9</v>
      </c>
    </row>
    <row r="5556" spans="1:6" x14ac:dyDescent="0.55000000000000004">
      <c r="A5556" t="s">
        <v>155</v>
      </c>
      <c r="B5556" t="s">
        <v>50</v>
      </c>
      <c r="C5556">
        <v>26119.999599999999</v>
      </c>
      <c r="D5556" t="s">
        <v>281</v>
      </c>
      <c r="E5556">
        <v>2023</v>
      </c>
      <c r="F5556">
        <v>9</v>
      </c>
    </row>
    <row r="5557" spans="1:6" x14ac:dyDescent="0.55000000000000004">
      <c r="A5557" t="s">
        <v>155</v>
      </c>
      <c r="B5557" t="s">
        <v>51</v>
      </c>
      <c r="C5557">
        <v>2300</v>
      </c>
      <c r="D5557" t="s">
        <v>281</v>
      </c>
      <c r="E5557">
        <v>2023</v>
      </c>
      <c r="F5557">
        <v>9</v>
      </c>
    </row>
    <row r="5558" spans="1:6" x14ac:dyDescent="0.55000000000000004">
      <c r="A5558" t="s">
        <v>155</v>
      </c>
      <c r="B5558" t="s">
        <v>52</v>
      </c>
      <c r="C5558">
        <v>27.4176</v>
      </c>
      <c r="D5558" t="s">
        <v>281</v>
      </c>
      <c r="E5558">
        <v>2023</v>
      </c>
      <c r="F5558">
        <v>9</v>
      </c>
    </row>
    <row r="5559" spans="1:6" x14ac:dyDescent="0.55000000000000004">
      <c r="A5559" t="s">
        <v>155</v>
      </c>
      <c r="B5559" t="s">
        <v>53</v>
      </c>
      <c r="C5559">
        <v>74111.7</v>
      </c>
      <c r="D5559" t="s">
        <v>281</v>
      </c>
      <c r="E5559">
        <v>2023</v>
      </c>
      <c r="F5559">
        <v>9</v>
      </c>
    </row>
    <row r="5560" spans="1:6" x14ac:dyDescent="0.55000000000000004">
      <c r="A5560" t="s">
        <v>155</v>
      </c>
      <c r="B5560" t="s">
        <v>54</v>
      </c>
      <c r="C5560">
        <v>17076.350999999999</v>
      </c>
      <c r="D5560" t="s">
        <v>281</v>
      </c>
      <c r="E5560">
        <v>2023</v>
      </c>
      <c r="F5560">
        <v>9</v>
      </c>
    </row>
    <row r="5561" spans="1:6" x14ac:dyDescent="0.55000000000000004">
      <c r="A5561" t="s">
        <v>155</v>
      </c>
      <c r="B5561" t="s">
        <v>55</v>
      </c>
      <c r="C5561">
        <v>9831.4500000000007</v>
      </c>
      <c r="D5561" t="s">
        <v>281</v>
      </c>
      <c r="E5561">
        <v>2023</v>
      </c>
      <c r="F5561">
        <v>9</v>
      </c>
    </row>
    <row r="5562" spans="1:6" x14ac:dyDescent="0.55000000000000004">
      <c r="A5562" t="s">
        <v>155</v>
      </c>
      <c r="B5562" t="s">
        <v>56</v>
      </c>
      <c r="C5562">
        <v>0</v>
      </c>
      <c r="D5562" t="s">
        <v>281</v>
      </c>
      <c r="E5562">
        <v>2023</v>
      </c>
      <c r="F5562">
        <v>9</v>
      </c>
    </row>
    <row r="5563" spans="1:6" x14ac:dyDescent="0.55000000000000004">
      <c r="A5563" t="s">
        <v>155</v>
      </c>
      <c r="B5563" t="s">
        <v>57</v>
      </c>
      <c r="C5563">
        <v>358.98379999999997</v>
      </c>
      <c r="D5563" t="s">
        <v>281</v>
      </c>
      <c r="E5563">
        <v>2023</v>
      </c>
      <c r="F5563">
        <v>9</v>
      </c>
    </row>
    <row r="5564" spans="1:6" x14ac:dyDescent="0.55000000000000004">
      <c r="A5564" t="s">
        <v>155</v>
      </c>
      <c r="B5564" t="s">
        <v>58</v>
      </c>
      <c r="C5564">
        <v>577073</v>
      </c>
      <c r="D5564" t="s">
        <v>281</v>
      </c>
      <c r="E5564">
        <v>2023</v>
      </c>
      <c r="F5564">
        <v>9</v>
      </c>
    </row>
    <row r="5565" spans="1:6" x14ac:dyDescent="0.55000000000000004">
      <c r="A5565" t="s">
        <v>155</v>
      </c>
      <c r="B5565" t="s">
        <v>59</v>
      </c>
      <c r="C5565">
        <v>2100</v>
      </c>
      <c r="D5565" t="s">
        <v>281</v>
      </c>
      <c r="E5565">
        <v>2023</v>
      </c>
      <c r="F5565">
        <v>9</v>
      </c>
    </row>
    <row r="5566" spans="1:6" x14ac:dyDescent="0.55000000000000004">
      <c r="A5566" t="s">
        <v>155</v>
      </c>
      <c r="B5566" t="s">
        <v>60</v>
      </c>
      <c r="C5566">
        <v>893212.60869999998</v>
      </c>
      <c r="D5566" t="s">
        <v>281</v>
      </c>
      <c r="E5566">
        <v>2023</v>
      </c>
      <c r="F5566">
        <v>9</v>
      </c>
    </row>
    <row r="5567" spans="1:6" x14ac:dyDescent="0.55000000000000004">
      <c r="A5567" t="s">
        <v>155</v>
      </c>
      <c r="B5567" t="s">
        <v>61</v>
      </c>
      <c r="C5567">
        <v>3693.7384000000002</v>
      </c>
      <c r="D5567" t="s">
        <v>281</v>
      </c>
      <c r="E5567">
        <v>2023</v>
      </c>
      <c r="F5567">
        <v>9</v>
      </c>
    </row>
    <row r="5568" spans="1:6" x14ac:dyDescent="0.55000000000000004">
      <c r="A5568" t="s">
        <v>155</v>
      </c>
      <c r="B5568" t="s">
        <v>62</v>
      </c>
      <c r="C5568">
        <v>12016.8333</v>
      </c>
      <c r="D5568" t="s">
        <v>281</v>
      </c>
      <c r="E5568">
        <v>2023</v>
      </c>
      <c r="F5568">
        <v>9</v>
      </c>
    </row>
    <row r="5569" spans="1:6" x14ac:dyDescent="0.55000000000000004">
      <c r="A5569" t="s">
        <v>155</v>
      </c>
      <c r="B5569" t="s">
        <v>63</v>
      </c>
      <c r="C5569">
        <v>0.11899999999999999</v>
      </c>
      <c r="D5569" t="s">
        <v>281</v>
      </c>
      <c r="E5569">
        <v>2023</v>
      </c>
      <c r="F5569">
        <v>9</v>
      </c>
    </row>
    <row r="5570" spans="1:6" x14ac:dyDescent="0.55000000000000004">
      <c r="A5570" t="s">
        <v>156</v>
      </c>
      <c r="B5570" t="s">
        <v>4</v>
      </c>
      <c r="C5570">
        <v>9781275.8179000001</v>
      </c>
      <c r="D5570" t="s">
        <v>282</v>
      </c>
      <c r="E5570">
        <v>2023</v>
      </c>
      <c r="F5570">
        <v>10</v>
      </c>
    </row>
    <row r="5571" spans="1:6" x14ac:dyDescent="0.55000000000000004">
      <c r="A5571" t="s">
        <v>156</v>
      </c>
      <c r="B5571" t="s">
        <v>5</v>
      </c>
      <c r="C5571">
        <v>990570.25170000002</v>
      </c>
      <c r="D5571" t="s">
        <v>282</v>
      </c>
      <c r="E5571">
        <v>2023</v>
      </c>
      <c r="F5571">
        <v>10</v>
      </c>
    </row>
    <row r="5572" spans="1:6" x14ac:dyDescent="0.55000000000000004">
      <c r="A5572" t="s">
        <v>156</v>
      </c>
      <c r="B5572" t="s">
        <v>6</v>
      </c>
      <c r="C5572">
        <v>1692904.9480999999</v>
      </c>
      <c r="D5572" t="s">
        <v>282</v>
      </c>
      <c r="E5572">
        <v>2023</v>
      </c>
      <c r="F5572">
        <v>10</v>
      </c>
    </row>
    <row r="5573" spans="1:6" x14ac:dyDescent="0.55000000000000004">
      <c r="A5573" t="s">
        <v>156</v>
      </c>
      <c r="B5573" t="s">
        <v>7</v>
      </c>
      <c r="C5573">
        <v>3936645.3136999998</v>
      </c>
      <c r="D5573" t="s">
        <v>282</v>
      </c>
      <c r="E5573">
        <v>2023</v>
      </c>
      <c r="F5573">
        <v>10</v>
      </c>
    </row>
    <row r="5574" spans="1:6" x14ac:dyDescent="0.55000000000000004">
      <c r="A5574" t="s">
        <v>156</v>
      </c>
      <c r="B5574" t="s">
        <v>8</v>
      </c>
      <c r="C5574">
        <v>3161155.3043999998</v>
      </c>
      <c r="D5574" t="s">
        <v>282</v>
      </c>
      <c r="E5574">
        <v>2023</v>
      </c>
      <c r="F5574">
        <v>10</v>
      </c>
    </row>
    <row r="5575" spans="1:6" x14ac:dyDescent="0.55000000000000004">
      <c r="A5575" t="s">
        <v>156</v>
      </c>
      <c r="B5575" t="s">
        <v>9</v>
      </c>
      <c r="C5575">
        <v>1200.3900000000001</v>
      </c>
      <c r="D5575" t="s">
        <v>282</v>
      </c>
      <c r="E5575">
        <v>2023</v>
      </c>
      <c r="F5575">
        <v>10</v>
      </c>
    </row>
    <row r="5576" spans="1:6" x14ac:dyDescent="0.55000000000000004">
      <c r="A5576" t="s">
        <v>156</v>
      </c>
      <c r="B5576" t="s">
        <v>10</v>
      </c>
      <c r="C5576">
        <v>3730.8667</v>
      </c>
      <c r="D5576" t="s">
        <v>282</v>
      </c>
      <c r="E5576">
        <v>2023</v>
      </c>
      <c r="F5576">
        <v>10</v>
      </c>
    </row>
    <row r="5577" spans="1:6" x14ac:dyDescent="0.55000000000000004">
      <c r="A5577" t="s">
        <v>156</v>
      </c>
      <c r="B5577" t="s">
        <v>11</v>
      </c>
      <c r="C5577">
        <v>4412709.4688999997</v>
      </c>
      <c r="D5577" t="s">
        <v>282</v>
      </c>
      <c r="E5577">
        <v>2023</v>
      </c>
      <c r="F5577">
        <v>10</v>
      </c>
    </row>
    <row r="5578" spans="1:6" x14ac:dyDescent="0.55000000000000004">
      <c r="A5578" t="s">
        <v>156</v>
      </c>
      <c r="B5578" t="s">
        <v>12</v>
      </c>
      <c r="C5578">
        <v>14388.7752</v>
      </c>
      <c r="D5578" t="s">
        <v>282</v>
      </c>
      <c r="E5578">
        <v>2023</v>
      </c>
      <c r="F5578">
        <v>10</v>
      </c>
    </row>
    <row r="5579" spans="1:6" x14ac:dyDescent="0.55000000000000004">
      <c r="A5579" t="s">
        <v>156</v>
      </c>
      <c r="B5579" t="s">
        <v>13</v>
      </c>
      <c r="C5579">
        <v>20896.916700000002</v>
      </c>
      <c r="D5579" t="s">
        <v>282</v>
      </c>
      <c r="E5579">
        <v>2023</v>
      </c>
      <c r="F5579">
        <v>10</v>
      </c>
    </row>
    <row r="5580" spans="1:6" x14ac:dyDescent="0.55000000000000004">
      <c r="A5580" t="s">
        <v>156</v>
      </c>
      <c r="B5580" t="s">
        <v>14</v>
      </c>
      <c r="C5580">
        <v>500</v>
      </c>
      <c r="D5580" t="s">
        <v>282</v>
      </c>
      <c r="E5580">
        <v>2023</v>
      </c>
      <c r="F5580">
        <v>10</v>
      </c>
    </row>
    <row r="5581" spans="1:6" x14ac:dyDescent="0.55000000000000004">
      <c r="A5581" t="s">
        <v>156</v>
      </c>
      <c r="B5581" t="s">
        <v>15</v>
      </c>
      <c r="C5581">
        <v>914362.99120000005</v>
      </c>
      <c r="D5581" t="s">
        <v>282</v>
      </c>
      <c r="E5581">
        <v>2023</v>
      </c>
      <c r="F5581">
        <v>10</v>
      </c>
    </row>
    <row r="5582" spans="1:6" x14ac:dyDescent="0.55000000000000004">
      <c r="A5582" t="s">
        <v>156</v>
      </c>
      <c r="B5582" t="s">
        <v>16</v>
      </c>
      <c r="C5582">
        <v>0</v>
      </c>
      <c r="D5582" t="s">
        <v>282</v>
      </c>
      <c r="E5582">
        <v>2023</v>
      </c>
      <c r="F5582">
        <v>10</v>
      </c>
    </row>
    <row r="5583" spans="1:6" x14ac:dyDescent="0.55000000000000004">
      <c r="A5583" t="s">
        <v>156</v>
      </c>
      <c r="B5583" t="s">
        <v>17</v>
      </c>
      <c r="C5583">
        <v>28816.7873</v>
      </c>
      <c r="D5583" t="s">
        <v>282</v>
      </c>
      <c r="E5583">
        <v>2023</v>
      </c>
      <c r="F5583">
        <v>10</v>
      </c>
    </row>
    <row r="5584" spans="1:6" x14ac:dyDescent="0.55000000000000004">
      <c r="A5584" t="s">
        <v>156</v>
      </c>
      <c r="B5584" t="s">
        <v>18</v>
      </c>
      <c r="C5584">
        <v>50500.088900000002</v>
      </c>
      <c r="D5584" t="s">
        <v>282</v>
      </c>
      <c r="E5584">
        <v>2023</v>
      </c>
      <c r="F5584">
        <v>10</v>
      </c>
    </row>
    <row r="5585" spans="1:6" x14ac:dyDescent="0.55000000000000004">
      <c r="A5585" t="s">
        <v>156</v>
      </c>
      <c r="B5585" t="s">
        <v>19</v>
      </c>
      <c r="C5585">
        <v>1299.9992999999999</v>
      </c>
      <c r="D5585" t="s">
        <v>282</v>
      </c>
      <c r="E5585">
        <v>2023</v>
      </c>
      <c r="F5585">
        <v>10</v>
      </c>
    </row>
    <row r="5586" spans="1:6" x14ac:dyDescent="0.55000000000000004">
      <c r="A5586" t="s">
        <v>156</v>
      </c>
      <c r="B5586" t="s">
        <v>20</v>
      </c>
      <c r="C5586">
        <v>11000</v>
      </c>
      <c r="D5586" t="s">
        <v>282</v>
      </c>
      <c r="E5586">
        <v>2023</v>
      </c>
      <c r="F5586">
        <v>10</v>
      </c>
    </row>
    <row r="5587" spans="1:6" x14ac:dyDescent="0.55000000000000004">
      <c r="A5587" t="s">
        <v>156</v>
      </c>
      <c r="B5587" t="s">
        <v>21</v>
      </c>
      <c r="C5587">
        <v>534.40179999999998</v>
      </c>
      <c r="D5587" t="s">
        <v>282</v>
      </c>
      <c r="E5587">
        <v>2023</v>
      </c>
      <c r="F5587">
        <v>10</v>
      </c>
    </row>
    <row r="5588" spans="1:6" x14ac:dyDescent="0.55000000000000004">
      <c r="A5588" t="s">
        <v>156</v>
      </c>
      <c r="B5588" t="s">
        <v>22</v>
      </c>
      <c r="C5588">
        <v>43214.0818</v>
      </c>
      <c r="D5588" t="s">
        <v>282</v>
      </c>
      <c r="E5588">
        <v>2023</v>
      </c>
      <c r="F5588">
        <v>10</v>
      </c>
    </row>
    <row r="5589" spans="1:6" x14ac:dyDescent="0.55000000000000004">
      <c r="A5589" t="s">
        <v>156</v>
      </c>
      <c r="B5589" t="s">
        <v>23</v>
      </c>
      <c r="C5589">
        <v>18163.3668</v>
      </c>
      <c r="D5589" t="s">
        <v>282</v>
      </c>
      <c r="E5589">
        <v>2023</v>
      </c>
      <c r="F5589">
        <v>10</v>
      </c>
    </row>
    <row r="5590" spans="1:6" x14ac:dyDescent="0.55000000000000004">
      <c r="A5590" t="s">
        <v>156</v>
      </c>
      <c r="B5590" t="s">
        <v>25</v>
      </c>
      <c r="C5590">
        <v>320000</v>
      </c>
      <c r="D5590" t="s">
        <v>282</v>
      </c>
      <c r="E5590">
        <v>2023</v>
      </c>
      <c r="F5590">
        <v>10</v>
      </c>
    </row>
    <row r="5591" spans="1:6" x14ac:dyDescent="0.55000000000000004">
      <c r="A5591" t="s">
        <v>156</v>
      </c>
      <c r="B5591" t="s">
        <v>27</v>
      </c>
      <c r="C5591">
        <v>827.68430000000001</v>
      </c>
      <c r="D5591" t="s">
        <v>282</v>
      </c>
      <c r="E5591">
        <v>2023</v>
      </c>
      <c r="F5591">
        <v>10</v>
      </c>
    </row>
    <row r="5592" spans="1:6" x14ac:dyDescent="0.55000000000000004">
      <c r="A5592" t="s">
        <v>156</v>
      </c>
      <c r="B5592" t="s">
        <v>28</v>
      </c>
      <c r="C5592">
        <v>120973.3855</v>
      </c>
      <c r="D5592" t="s">
        <v>282</v>
      </c>
      <c r="E5592">
        <v>2023</v>
      </c>
      <c r="F5592">
        <v>10</v>
      </c>
    </row>
    <row r="5593" spans="1:6" x14ac:dyDescent="0.55000000000000004">
      <c r="A5593" t="s">
        <v>156</v>
      </c>
      <c r="B5593" t="s">
        <v>29</v>
      </c>
      <c r="C5593">
        <v>8281.6666999999998</v>
      </c>
      <c r="D5593" t="s">
        <v>282</v>
      </c>
      <c r="E5593">
        <v>2023</v>
      </c>
      <c r="F5593">
        <v>10</v>
      </c>
    </row>
    <row r="5594" spans="1:6" x14ac:dyDescent="0.55000000000000004">
      <c r="A5594" t="s">
        <v>156</v>
      </c>
      <c r="B5594" t="s">
        <v>30</v>
      </c>
      <c r="C5594">
        <v>13.077400000000001</v>
      </c>
      <c r="D5594" t="s">
        <v>282</v>
      </c>
      <c r="E5594">
        <v>2023</v>
      </c>
      <c r="F5594">
        <v>10</v>
      </c>
    </row>
    <row r="5595" spans="1:6" x14ac:dyDescent="0.55000000000000004">
      <c r="A5595" t="s">
        <v>156</v>
      </c>
      <c r="B5595" t="s">
        <v>31</v>
      </c>
      <c r="C5595">
        <v>149.99600000000001</v>
      </c>
      <c r="D5595" t="s">
        <v>282</v>
      </c>
      <c r="E5595">
        <v>2023</v>
      </c>
      <c r="F5595">
        <v>10</v>
      </c>
    </row>
    <row r="5596" spans="1:6" x14ac:dyDescent="0.55000000000000004">
      <c r="A5596" t="s">
        <v>156</v>
      </c>
      <c r="B5596" t="s">
        <v>32</v>
      </c>
      <c r="C5596">
        <v>24843.9483</v>
      </c>
      <c r="D5596" t="s">
        <v>282</v>
      </c>
      <c r="E5596">
        <v>2023</v>
      </c>
      <c r="F5596">
        <v>10</v>
      </c>
    </row>
    <row r="5597" spans="1:6" x14ac:dyDescent="0.55000000000000004">
      <c r="A5597" t="s">
        <v>156</v>
      </c>
      <c r="B5597" t="s">
        <v>33</v>
      </c>
      <c r="C5597">
        <v>485515.62959999999</v>
      </c>
      <c r="D5597" t="s">
        <v>282</v>
      </c>
      <c r="E5597">
        <v>2023</v>
      </c>
      <c r="F5597">
        <v>10</v>
      </c>
    </row>
    <row r="5598" spans="1:6" x14ac:dyDescent="0.55000000000000004">
      <c r="A5598" t="s">
        <v>156</v>
      </c>
      <c r="B5598" t="s">
        <v>34</v>
      </c>
      <c r="C5598">
        <v>740741.49600000004</v>
      </c>
      <c r="D5598" t="s">
        <v>282</v>
      </c>
      <c r="E5598">
        <v>2023</v>
      </c>
      <c r="F5598">
        <v>10</v>
      </c>
    </row>
    <row r="5599" spans="1:6" x14ac:dyDescent="0.55000000000000004">
      <c r="A5599" t="s">
        <v>156</v>
      </c>
      <c r="B5599" t="s">
        <v>35</v>
      </c>
      <c r="C5599">
        <v>1939.0866000000001</v>
      </c>
      <c r="D5599" t="s">
        <v>282</v>
      </c>
      <c r="E5599">
        <v>2023</v>
      </c>
      <c r="F5599">
        <v>10</v>
      </c>
    </row>
    <row r="5600" spans="1:6" x14ac:dyDescent="0.55000000000000004">
      <c r="A5600" t="s">
        <v>156</v>
      </c>
      <c r="B5600" t="s">
        <v>36</v>
      </c>
      <c r="C5600">
        <v>30374.860499999999</v>
      </c>
      <c r="D5600" t="s">
        <v>282</v>
      </c>
      <c r="E5600">
        <v>2023</v>
      </c>
      <c r="F5600">
        <v>10</v>
      </c>
    </row>
    <row r="5601" spans="1:6" x14ac:dyDescent="0.55000000000000004">
      <c r="A5601" t="s">
        <v>156</v>
      </c>
      <c r="B5601" t="s">
        <v>37</v>
      </c>
      <c r="C5601">
        <v>26100.005300000001</v>
      </c>
      <c r="D5601" t="s">
        <v>282</v>
      </c>
      <c r="E5601">
        <v>2023</v>
      </c>
      <c r="F5601">
        <v>10</v>
      </c>
    </row>
    <row r="5602" spans="1:6" x14ac:dyDescent="0.55000000000000004">
      <c r="A5602" t="s">
        <v>156</v>
      </c>
      <c r="B5602" t="s">
        <v>39</v>
      </c>
      <c r="C5602">
        <v>1.9087000000000001</v>
      </c>
      <c r="D5602" t="s">
        <v>282</v>
      </c>
      <c r="E5602">
        <v>2023</v>
      </c>
      <c r="F5602">
        <v>10</v>
      </c>
    </row>
    <row r="5603" spans="1:6" x14ac:dyDescent="0.55000000000000004">
      <c r="A5603" t="s">
        <v>156</v>
      </c>
      <c r="B5603" t="s">
        <v>40</v>
      </c>
      <c r="C5603">
        <v>609.3175</v>
      </c>
      <c r="D5603" t="s">
        <v>282</v>
      </c>
      <c r="E5603">
        <v>2023</v>
      </c>
      <c r="F5603">
        <v>10</v>
      </c>
    </row>
    <row r="5604" spans="1:6" x14ac:dyDescent="0.55000000000000004">
      <c r="A5604" t="s">
        <v>156</v>
      </c>
      <c r="B5604" t="s">
        <v>41</v>
      </c>
      <c r="C5604">
        <v>185599.9952</v>
      </c>
      <c r="D5604" t="s">
        <v>282</v>
      </c>
      <c r="E5604">
        <v>2023</v>
      </c>
      <c r="F5604">
        <v>10</v>
      </c>
    </row>
    <row r="5605" spans="1:6" x14ac:dyDescent="0.55000000000000004">
      <c r="A5605" t="s">
        <v>156</v>
      </c>
      <c r="B5605" t="s">
        <v>42</v>
      </c>
      <c r="C5605">
        <v>17.8125</v>
      </c>
      <c r="D5605" t="s">
        <v>282</v>
      </c>
      <c r="E5605">
        <v>2023</v>
      </c>
      <c r="F5605">
        <v>10</v>
      </c>
    </row>
    <row r="5606" spans="1:6" x14ac:dyDescent="0.55000000000000004">
      <c r="A5606" t="s">
        <v>156</v>
      </c>
      <c r="B5606" t="s">
        <v>43</v>
      </c>
      <c r="C5606">
        <v>73416.469700000001</v>
      </c>
      <c r="D5606" t="s">
        <v>282</v>
      </c>
      <c r="E5606">
        <v>2023</v>
      </c>
      <c r="F5606">
        <v>10</v>
      </c>
    </row>
    <row r="5607" spans="1:6" x14ac:dyDescent="0.55000000000000004">
      <c r="A5607" t="s">
        <v>156</v>
      </c>
      <c r="B5607" t="s">
        <v>44</v>
      </c>
      <c r="C5607">
        <v>0</v>
      </c>
      <c r="D5607" t="s">
        <v>282</v>
      </c>
      <c r="E5607">
        <v>2023</v>
      </c>
      <c r="F5607">
        <v>10</v>
      </c>
    </row>
    <row r="5608" spans="1:6" x14ac:dyDescent="0.55000000000000004">
      <c r="A5608" t="s">
        <v>156</v>
      </c>
      <c r="B5608" t="s">
        <v>45</v>
      </c>
      <c r="C5608">
        <v>662.79039999999998</v>
      </c>
      <c r="D5608" t="s">
        <v>282</v>
      </c>
      <c r="E5608">
        <v>2023</v>
      </c>
      <c r="F5608">
        <v>10</v>
      </c>
    </row>
    <row r="5609" spans="1:6" x14ac:dyDescent="0.55000000000000004">
      <c r="A5609" t="s">
        <v>156</v>
      </c>
      <c r="B5609" t="s">
        <v>46</v>
      </c>
      <c r="C5609">
        <v>118825.5</v>
      </c>
      <c r="D5609" t="s">
        <v>282</v>
      </c>
      <c r="E5609">
        <v>2023</v>
      </c>
      <c r="F5609">
        <v>10</v>
      </c>
    </row>
    <row r="5610" spans="1:6" x14ac:dyDescent="0.55000000000000004">
      <c r="A5610" t="s">
        <v>156</v>
      </c>
      <c r="B5610" t="s">
        <v>47</v>
      </c>
      <c r="C5610">
        <v>0.5</v>
      </c>
      <c r="D5610" t="s">
        <v>282</v>
      </c>
      <c r="E5610">
        <v>2023</v>
      </c>
      <c r="F5610">
        <v>10</v>
      </c>
    </row>
    <row r="5611" spans="1:6" x14ac:dyDescent="0.55000000000000004">
      <c r="A5611" t="s">
        <v>156</v>
      </c>
      <c r="B5611" t="s">
        <v>48</v>
      </c>
      <c r="C5611">
        <v>619416.3504</v>
      </c>
      <c r="D5611" t="s">
        <v>282</v>
      </c>
      <c r="E5611">
        <v>2023</v>
      </c>
      <c r="F5611">
        <v>10</v>
      </c>
    </row>
    <row r="5612" spans="1:6" x14ac:dyDescent="0.55000000000000004">
      <c r="A5612" t="s">
        <v>156</v>
      </c>
      <c r="B5612" t="s">
        <v>49</v>
      </c>
      <c r="C5612">
        <v>230.3117</v>
      </c>
      <c r="D5612" t="s">
        <v>282</v>
      </c>
      <c r="E5612">
        <v>2023</v>
      </c>
      <c r="F5612">
        <v>10</v>
      </c>
    </row>
    <row r="5613" spans="1:6" x14ac:dyDescent="0.55000000000000004">
      <c r="A5613" t="s">
        <v>156</v>
      </c>
      <c r="B5613" t="s">
        <v>50</v>
      </c>
      <c r="C5613">
        <v>30129.995599999998</v>
      </c>
      <c r="D5613" t="s">
        <v>282</v>
      </c>
      <c r="E5613">
        <v>2023</v>
      </c>
      <c r="F5613">
        <v>10</v>
      </c>
    </row>
    <row r="5614" spans="1:6" x14ac:dyDescent="0.55000000000000004">
      <c r="A5614" t="s">
        <v>156</v>
      </c>
      <c r="B5614" t="s">
        <v>51</v>
      </c>
      <c r="C5614">
        <v>2400</v>
      </c>
      <c r="D5614" t="s">
        <v>282</v>
      </c>
      <c r="E5614">
        <v>2023</v>
      </c>
      <c r="F5614">
        <v>10</v>
      </c>
    </row>
    <row r="5615" spans="1:6" x14ac:dyDescent="0.55000000000000004">
      <c r="A5615" t="s">
        <v>156</v>
      </c>
      <c r="B5615" t="s">
        <v>52</v>
      </c>
      <c r="C5615">
        <v>107.88030000000001</v>
      </c>
      <c r="D5615" t="s">
        <v>282</v>
      </c>
      <c r="E5615">
        <v>2023</v>
      </c>
      <c r="F5615">
        <v>10</v>
      </c>
    </row>
    <row r="5616" spans="1:6" x14ac:dyDescent="0.55000000000000004">
      <c r="A5616" t="s">
        <v>156</v>
      </c>
      <c r="B5616" t="s">
        <v>53</v>
      </c>
      <c r="C5616">
        <v>131609.26</v>
      </c>
      <c r="D5616" t="s">
        <v>282</v>
      </c>
      <c r="E5616">
        <v>2023</v>
      </c>
      <c r="F5616">
        <v>10</v>
      </c>
    </row>
    <row r="5617" spans="1:6" x14ac:dyDescent="0.55000000000000004">
      <c r="A5617" t="s">
        <v>156</v>
      </c>
      <c r="B5617" t="s">
        <v>54</v>
      </c>
      <c r="C5617">
        <v>22502.6859</v>
      </c>
      <c r="D5617" t="s">
        <v>282</v>
      </c>
      <c r="E5617">
        <v>2023</v>
      </c>
      <c r="F5617">
        <v>10</v>
      </c>
    </row>
    <row r="5618" spans="1:6" x14ac:dyDescent="0.55000000000000004">
      <c r="A5618" t="s">
        <v>156</v>
      </c>
      <c r="B5618" t="s">
        <v>55</v>
      </c>
      <c r="C5618">
        <v>12107.3</v>
      </c>
      <c r="D5618" t="s">
        <v>282</v>
      </c>
      <c r="E5618">
        <v>2023</v>
      </c>
      <c r="F5618">
        <v>10</v>
      </c>
    </row>
    <row r="5619" spans="1:6" x14ac:dyDescent="0.55000000000000004">
      <c r="A5619" t="s">
        <v>156</v>
      </c>
      <c r="B5619" t="s">
        <v>56</v>
      </c>
      <c r="C5619">
        <v>3470.1167</v>
      </c>
      <c r="D5619" t="s">
        <v>282</v>
      </c>
      <c r="E5619">
        <v>2023</v>
      </c>
      <c r="F5619">
        <v>10</v>
      </c>
    </row>
    <row r="5620" spans="1:6" x14ac:dyDescent="0.55000000000000004">
      <c r="A5620" t="s">
        <v>156</v>
      </c>
      <c r="B5620" t="s">
        <v>57</v>
      </c>
      <c r="C5620">
        <v>540.39700000000005</v>
      </c>
      <c r="D5620" t="s">
        <v>282</v>
      </c>
      <c r="E5620">
        <v>2023</v>
      </c>
      <c r="F5620">
        <v>10</v>
      </c>
    </row>
    <row r="5621" spans="1:6" x14ac:dyDescent="0.55000000000000004">
      <c r="A5621" t="s">
        <v>156</v>
      </c>
      <c r="B5621" t="s">
        <v>58</v>
      </c>
      <c r="C5621">
        <v>470080</v>
      </c>
      <c r="D5621" t="s">
        <v>282</v>
      </c>
      <c r="E5621">
        <v>2023</v>
      </c>
      <c r="F5621">
        <v>10</v>
      </c>
    </row>
    <row r="5622" spans="1:6" x14ac:dyDescent="0.55000000000000004">
      <c r="A5622" t="s">
        <v>156</v>
      </c>
      <c r="B5622" t="s">
        <v>59</v>
      </c>
      <c r="C5622">
        <v>4400</v>
      </c>
      <c r="D5622" t="s">
        <v>282</v>
      </c>
      <c r="E5622">
        <v>2023</v>
      </c>
      <c r="F5622">
        <v>10</v>
      </c>
    </row>
    <row r="5623" spans="1:6" x14ac:dyDescent="0.55000000000000004">
      <c r="A5623" t="s">
        <v>156</v>
      </c>
      <c r="B5623" t="s">
        <v>60</v>
      </c>
      <c r="C5623">
        <v>806779.05539999995</v>
      </c>
      <c r="D5623" t="s">
        <v>282</v>
      </c>
      <c r="E5623">
        <v>2023</v>
      </c>
      <c r="F5623">
        <v>10</v>
      </c>
    </row>
    <row r="5624" spans="1:6" x14ac:dyDescent="0.55000000000000004">
      <c r="A5624" t="s">
        <v>156</v>
      </c>
      <c r="B5624" t="s">
        <v>61</v>
      </c>
      <c r="C5624">
        <v>4145.6333999999997</v>
      </c>
      <c r="D5624" t="s">
        <v>282</v>
      </c>
      <c r="E5624">
        <v>2023</v>
      </c>
      <c r="F5624">
        <v>10</v>
      </c>
    </row>
    <row r="5625" spans="1:6" x14ac:dyDescent="0.55000000000000004">
      <c r="A5625" t="s">
        <v>156</v>
      </c>
      <c r="B5625" t="s">
        <v>62</v>
      </c>
      <c r="C5625">
        <v>13143.566699999999</v>
      </c>
      <c r="D5625" t="s">
        <v>282</v>
      </c>
      <c r="E5625">
        <v>2023</v>
      </c>
      <c r="F5625">
        <v>10</v>
      </c>
    </row>
    <row r="5626" spans="1:6" x14ac:dyDescent="0.55000000000000004">
      <c r="A5626" t="s">
        <v>156</v>
      </c>
      <c r="B5626" t="s">
        <v>63</v>
      </c>
      <c r="C5626">
        <v>0</v>
      </c>
      <c r="D5626" t="s">
        <v>282</v>
      </c>
      <c r="E5626">
        <v>2023</v>
      </c>
      <c r="F5626">
        <v>10</v>
      </c>
    </row>
    <row r="5627" spans="1:6" x14ac:dyDescent="0.55000000000000004">
      <c r="A5627" t="s">
        <v>157</v>
      </c>
      <c r="B5627" t="s">
        <v>4</v>
      </c>
      <c r="C5627">
        <v>10505931.9507</v>
      </c>
      <c r="D5627" t="s">
        <v>283</v>
      </c>
      <c r="E5627">
        <v>2023</v>
      </c>
      <c r="F5627">
        <v>11</v>
      </c>
    </row>
    <row r="5628" spans="1:6" x14ac:dyDescent="0.55000000000000004">
      <c r="A5628" t="s">
        <v>157</v>
      </c>
      <c r="B5628" t="s">
        <v>5</v>
      </c>
      <c r="C5628">
        <v>1176821.3569</v>
      </c>
      <c r="D5628" t="s">
        <v>283</v>
      </c>
      <c r="E5628">
        <v>2023</v>
      </c>
      <c r="F5628">
        <v>11</v>
      </c>
    </row>
    <row r="5629" spans="1:6" x14ac:dyDescent="0.55000000000000004">
      <c r="A5629" t="s">
        <v>157</v>
      </c>
      <c r="B5629" t="s">
        <v>6</v>
      </c>
      <c r="C5629">
        <v>1505630.0984</v>
      </c>
      <c r="D5629" t="s">
        <v>283</v>
      </c>
      <c r="E5629">
        <v>2023</v>
      </c>
      <c r="F5629">
        <v>11</v>
      </c>
    </row>
    <row r="5630" spans="1:6" x14ac:dyDescent="0.55000000000000004">
      <c r="A5630" t="s">
        <v>157</v>
      </c>
      <c r="B5630" t="s">
        <v>7</v>
      </c>
      <c r="C5630">
        <v>3792220.9164</v>
      </c>
      <c r="D5630" t="s">
        <v>283</v>
      </c>
      <c r="E5630">
        <v>2023</v>
      </c>
      <c r="F5630">
        <v>11</v>
      </c>
    </row>
    <row r="5631" spans="1:6" x14ac:dyDescent="0.55000000000000004">
      <c r="A5631" t="s">
        <v>157</v>
      </c>
      <c r="B5631" t="s">
        <v>8</v>
      </c>
      <c r="C5631">
        <v>4031259.5789999999</v>
      </c>
      <c r="D5631" t="s">
        <v>283</v>
      </c>
      <c r="E5631">
        <v>2023</v>
      </c>
      <c r="F5631">
        <v>11</v>
      </c>
    </row>
    <row r="5632" spans="1:6" x14ac:dyDescent="0.55000000000000004">
      <c r="A5632" t="s">
        <v>157</v>
      </c>
      <c r="B5632" t="s">
        <v>9</v>
      </c>
      <c r="C5632">
        <v>1500</v>
      </c>
      <c r="D5632" t="s">
        <v>283</v>
      </c>
      <c r="E5632">
        <v>2023</v>
      </c>
      <c r="F5632">
        <v>11</v>
      </c>
    </row>
    <row r="5633" spans="1:6" x14ac:dyDescent="0.55000000000000004">
      <c r="A5633" t="s">
        <v>157</v>
      </c>
      <c r="B5633" t="s">
        <v>10</v>
      </c>
      <c r="C5633">
        <v>2503.4167000000002</v>
      </c>
      <c r="D5633" t="s">
        <v>283</v>
      </c>
      <c r="E5633">
        <v>2023</v>
      </c>
      <c r="F5633">
        <v>11</v>
      </c>
    </row>
    <row r="5634" spans="1:6" x14ac:dyDescent="0.55000000000000004">
      <c r="A5634" t="s">
        <v>157</v>
      </c>
      <c r="B5634" t="s">
        <v>11</v>
      </c>
      <c r="C5634">
        <v>4329650.4085999997</v>
      </c>
      <c r="D5634" t="s">
        <v>283</v>
      </c>
      <c r="E5634">
        <v>2023</v>
      </c>
      <c r="F5634">
        <v>11</v>
      </c>
    </row>
    <row r="5635" spans="1:6" x14ac:dyDescent="0.55000000000000004">
      <c r="A5635" t="s">
        <v>157</v>
      </c>
      <c r="B5635" t="s">
        <v>12</v>
      </c>
      <c r="C5635">
        <v>14388.7752</v>
      </c>
      <c r="D5635" t="s">
        <v>283</v>
      </c>
      <c r="E5635">
        <v>2023</v>
      </c>
      <c r="F5635">
        <v>11</v>
      </c>
    </row>
    <row r="5636" spans="1:6" x14ac:dyDescent="0.55000000000000004">
      <c r="A5636" t="s">
        <v>157</v>
      </c>
      <c r="B5636" t="s">
        <v>13</v>
      </c>
      <c r="C5636">
        <v>33716.873299999999</v>
      </c>
      <c r="D5636" t="s">
        <v>283</v>
      </c>
      <c r="E5636">
        <v>2023</v>
      </c>
      <c r="F5636">
        <v>11</v>
      </c>
    </row>
    <row r="5637" spans="1:6" x14ac:dyDescent="0.55000000000000004">
      <c r="A5637" t="s">
        <v>157</v>
      </c>
      <c r="B5637" t="s">
        <v>14</v>
      </c>
      <c r="C5637">
        <v>600</v>
      </c>
      <c r="D5637" t="s">
        <v>283</v>
      </c>
      <c r="E5637">
        <v>2023</v>
      </c>
      <c r="F5637">
        <v>11</v>
      </c>
    </row>
    <row r="5638" spans="1:6" x14ac:dyDescent="0.55000000000000004">
      <c r="A5638" t="s">
        <v>157</v>
      </c>
      <c r="B5638" t="s">
        <v>15</v>
      </c>
      <c r="C5638">
        <v>1111555.4665000001</v>
      </c>
      <c r="D5638" t="s">
        <v>283</v>
      </c>
      <c r="E5638">
        <v>2023</v>
      </c>
      <c r="F5638">
        <v>11</v>
      </c>
    </row>
    <row r="5639" spans="1:6" x14ac:dyDescent="0.55000000000000004">
      <c r="A5639" t="s">
        <v>157</v>
      </c>
      <c r="B5639" t="s">
        <v>16</v>
      </c>
      <c r="C5639">
        <v>0</v>
      </c>
      <c r="D5639" t="s">
        <v>283</v>
      </c>
      <c r="E5639">
        <v>2023</v>
      </c>
      <c r="F5639">
        <v>11</v>
      </c>
    </row>
    <row r="5640" spans="1:6" x14ac:dyDescent="0.55000000000000004">
      <c r="A5640" t="s">
        <v>157</v>
      </c>
      <c r="B5640" t="s">
        <v>17</v>
      </c>
      <c r="C5640">
        <v>7238.2415000000001</v>
      </c>
      <c r="D5640" t="s">
        <v>283</v>
      </c>
      <c r="E5640">
        <v>2023</v>
      </c>
      <c r="F5640">
        <v>11</v>
      </c>
    </row>
    <row r="5641" spans="1:6" x14ac:dyDescent="0.55000000000000004">
      <c r="A5641" t="s">
        <v>157</v>
      </c>
      <c r="B5641" t="s">
        <v>18</v>
      </c>
      <c r="C5641">
        <v>74976.483200000002</v>
      </c>
      <c r="D5641" t="s">
        <v>283</v>
      </c>
      <c r="E5641">
        <v>2023</v>
      </c>
      <c r="F5641">
        <v>11</v>
      </c>
    </row>
    <row r="5642" spans="1:6" x14ac:dyDescent="0.55000000000000004">
      <c r="A5642" t="s">
        <v>157</v>
      </c>
      <c r="B5642" t="s">
        <v>19</v>
      </c>
      <c r="C5642">
        <v>1099.9917</v>
      </c>
      <c r="D5642" t="s">
        <v>283</v>
      </c>
      <c r="E5642">
        <v>2023</v>
      </c>
      <c r="F5642">
        <v>11</v>
      </c>
    </row>
    <row r="5643" spans="1:6" x14ac:dyDescent="0.55000000000000004">
      <c r="A5643" t="s">
        <v>157</v>
      </c>
      <c r="B5643" t="s">
        <v>20</v>
      </c>
      <c r="C5643">
        <v>13000</v>
      </c>
      <c r="D5643" t="s">
        <v>283</v>
      </c>
      <c r="E5643">
        <v>2023</v>
      </c>
      <c r="F5643">
        <v>11</v>
      </c>
    </row>
    <row r="5644" spans="1:6" x14ac:dyDescent="0.55000000000000004">
      <c r="A5644" t="s">
        <v>157</v>
      </c>
      <c r="B5644" t="s">
        <v>21</v>
      </c>
      <c r="C5644">
        <v>1759.1309000000001</v>
      </c>
      <c r="D5644" t="s">
        <v>283</v>
      </c>
      <c r="E5644">
        <v>2023</v>
      </c>
      <c r="F5644">
        <v>11</v>
      </c>
    </row>
    <row r="5645" spans="1:6" x14ac:dyDescent="0.55000000000000004">
      <c r="A5645" t="s">
        <v>157</v>
      </c>
      <c r="B5645" t="s">
        <v>22</v>
      </c>
      <c r="C5645">
        <v>47544.9902</v>
      </c>
      <c r="D5645" t="s">
        <v>283</v>
      </c>
      <c r="E5645">
        <v>2023</v>
      </c>
      <c r="F5645">
        <v>11</v>
      </c>
    </row>
    <row r="5646" spans="1:6" x14ac:dyDescent="0.55000000000000004">
      <c r="A5646" t="s">
        <v>157</v>
      </c>
      <c r="B5646" t="s">
        <v>23</v>
      </c>
      <c r="C5646">
        <v>8724.8359</v>
      </c>
      <c r="D5646" t="s">
        <v>283</v>
      </c>
      <c r="E5646">
        <v>2023</v>
      </c>
      <c r="F5646">
        <v>11</v>
      </c>
    </row>
    <row r="5647" spans="1:6" x14ac:dyDescent="0.55000000000000004">
      <c r="A5647" t="s">
        <v>157</v>
      </c>
      <c r="B5647" t="s">
        <v>25</v>
      </c>
      <c r="C5647">
        <v>290000</v>
      </c>
      <c r="D5647" t="s">
        <v>283</v>
      </c>
      <c r="E5647">
        <v>2023</v>
      </c>
      <c r="F5647">
        <v>11</v>
      </c>
    </row>
    <row r="5648" spans="1:6" x14ac:dyDescent="0.55000000000000004">
      <c r="A5648" t="s">
        <v>157</v>
      </c>
      <c r="B5648" t="s">
        <v>27</v>
      </c>
      <c r="C5648">
        <v>208.923</v>
      </c>
      <c r="D5648" t="s">
        <v>283</v>
      </c>
      <c r="E5648">
        <v>2023</v>
      </c>
      <c r="F5648">
        <v>11</v>
      </c>
    </row>
    <row r="5649" spans="1:6" x14ac:dyDescent="0.55000000000000004">
      <c r="A5649" t="s">
        <v>157</v>
      </c>
      <c r="B5649" t="s">
        <v>28</v>
      </c>
      <c r="C5649">
        <v>46634.135000000002</v>
      </c>
      <c r="D5649" t="s">
        <v>283</v>
      </c>
      <c r="E5649">
        <v>2023</v>
      </c>
      <c r="F5649">
        <v>11</v>
      </c>
    </row>
    <row r="5650" spans="1:6" x14ac:dyDescent="0.55000000000000004">
      <c r="A5650" t="s">
        <v>157</v>
      </c>
      <c r="B5650" t="s">
        <v>29</v>
      </c>
      <c r="C5650">
        <v>23541.428400000001</v>
      </c>
      <c r="D5650" t="s">
        <v>283</v>
      </c>
      <c r="E5650">
        <v>2023</v>
      </c>
      <c r="F5650">
        <v>11</v>
      </c>
    </row>
    <row r="5651" spans="1:6" x14ac:dyDescent="0.55000000000000004">
      <c r="A5651" t="s">
        <v>157</v>
      </c>
      <c r="B5651" t="s">
        <v>30</v>
      </c>
      <c r="C5651">
        <v>5.6368</v>
      </c>
      <c r="D5651" t="s">
        <v>283</v>
      </c>
      <c r="E5651">
        <v>2023</v>
      </c>
      <c r="F5651">
        <v>11</v>
      </c>
    </row>
    <row r="5652" spans="1:6" x14ac:dyDescent="0.55000000000000004">
      <c r="A5652" t="s">
        <v>157</v>
      </c>
      <c r="B5652" t="s">
        <v>31</v>
      </c>
      <c r="C5652">
        <v>110</v>
      </c>
      <c r="D5652" t="s">
        <v>283</v>
      </c>
      <c r="E5652">
        <v>2023</v>
      </c>
      <c r="F5652">
        <v>11</v>
      </c>
    </row>
    <row r="5653" spans="1:6" x14ac:dyDescent="0.55000000000000004">
      <c r="A5653" t="s">
        <v>157</v>
      </c>
      <c r="B5653" t="s">
        <v>32</v>
      </c>
      <c r="C5653">
        <v>67454.399999999994</v>
      </c>
      <c r="D5653" t="s">
        <v>283</v>
      </c>
      <c r="E5653">
        <v>2023</v>
      </c>
      <c r="F5653">
        <v>11</v>
      </c>
    </row>
    <row r="5654" spans="1:6" x14ac:dyDescent="0.55000000000000004">
      <c r="A5654" t="s">
        <v>157</v>
      </c>
      <c r="B5654" t="s">
        <v>33</v>
      </c>
      <c r="C5654">
        <v>434068.85989999998</v>
      </c>
      <c r="D5654" t="s">
        <v>283</v>
      </c>
      <c r="E5654">
        <v>2023</v>
      </c>
      <c r="F5654">
        <v>11</v>
      </c>
    </row>
    <row r="5655" spans="1:6" x14ac:dyDescent="0.55000000000000004">
      <c r="A5655" t="s">
        <v>157</v>
      </c>
      <c r="B5655" t="s">
        <v>34</v>
      </c>
      <c r="C5655">
        <v>485004.52179999999</v>
      </c>
      <c r="D5655" t="s">
        <v>283</v>
      </c>
      <c r="E5655">
        <v>2023</v>
      </c>
      <c r="F5655">
        <v>11</v>
      </c>
    </row>
    <row r="5656" spans="1:6" x14ac:dyDescent="0.55000000000000004">
      <c r="A5656" t="s">
        <v>157</v>
      </c>
      <c r="B5656" t="s">
        <v>35</v>
      </c>
      <c r="C5656">
        <v>1452.0817</v>
      </c>
      <c r="D5656" t="s">
        <v>283</v>
      </c>
      <c r="E5656">
        <v>2023</v>
      </c>
      <c r="F5656">
        <v>11</v>
      </c>
    </row>
    <row r="5657" spans="1:6" x14ac:dyDescent="0.55000000000000004">
      <c r="A5657" t="s">
        <v>157</v>
      </c>
      <c r="B5657" t="s">
        <v>36</v>
      </c>
      <c r="C5657">
        <v>32051.5154</v>
      </c>
      <c r="D5657" t="s">
        <v>283</v>
      </c>
      <c r="E5657">
        <v>2023</v>
      </c>
      <c r="F5657">
        <v>11</v>
      </c>
    </row>
    <row r="5658" spans="1:6" x14ac:dyDescent="0.55000000000000004">
      <c r="A5658" t="s">
        <v>157</v>
      </c>
      <c r="B5658" t="s">
        <v>37</v>
      </c>
      <c r="C5658">
        <v>29699.991300000002</v>
      </c>
      <c r="D5658" t="s">
        <v>283</v>
      </c>
      <c r="E5658">
        <v>2023</v>
      </c>
      <c r="F5658">
        <v>11</v>
      </c>
    </row>
    <row r="5659" spans="1:6" x14ac:dyDescent="0.55000000000000004">
      <c r="A5659" t="s">
        <v>157</v>
      </c>
      <c r="B5659" t="s">
        <v>39</v>
      </c>
      <c r="C5659">
        <v>24.133299999999998</v>
      </c>
      <c r="D5659" t="s">
        <v>283</v>
      </c>
      <c r="E5659">
        <v>2023</v>
      </c>
      <c r="F5659">
        <v>11</v>
      </c>
    </row>
    <row r="5660" spans="1:6" x14ac:dyDescent="0.55000000000000004">
      <c r="A5660" t="s">
        <v>157</v>
      </c>
      <c r="B5660" t="s">
        <v>40</v>
      </c>
      <c r="C5660">
        <v>609.3175</v>
      </c>
      <c r="D5660" t="s">
        <v>283</v>
      </c>
      <c r="E5660">
        <v>2023</v>
      </c>
      <c r="F5660">
        <v>11</v>
      </c>
    </row>
    <row r="5661" spans="1:6" x14ac:dyDescent="0.55000000000000004">
      <c r="A5661" t="s">
        <v>157</v>
      </c>
      <c r="B5661" t="s">
        <v>41</v>
      </c>
      <c r="C5661">
        <v>170599.99979999999</v>
      </c>
      <c r="D5661" t="s">
        <v>283</v>
      </c>
      <c r="E5661">
        <v>2023</v>
      </c>
      <c r="F5661">
        <v>11</v>
      </c>
    </row>
    <row r="5662" spans="1:6" x14ac:dyDescent="0.55000000000000004">
      <c r="A5662" t="s">
        <v>157</v>
      </c>
      <c r="B5662" t="s">
        <v>42</v>
      </c>
      <c r="C5662">
        <v>33.485900000000001</v>
      </c>
      <c r="D5662" t="s">
        <v>283</v>
      </c>
      <c r="E5662">
        <v>2023</v>
      </c>
      <c r="F5662">
        <v>11</v>
      </c>
    </row>
    <row r="5663" spans="1:6" x14ac:dyDescent="0.55000000000000004">
      <c r="A5663" t="s">
        <v>157</v>
      </c>
      <c r="B5663" t="s">
        <v>43</v>
      </c>
      <c r="C5663">
        <v>61155.885199999997</v>
      </c>
      <c r="D5663" t="s">
        <v>283</v>
      </c>
      <c r="E5663">
        <v>2023</v>
      </c>
      <c r="F5663">
        <v>11</v>
      </c>
    </row>
    <row r="5664" spans="1:6" x14ac:dyDescent="0.55000000000000004">
      <c r="A5664" t="s">
        <v>157</v>
      </c>
      <c r="B5664" t="s">
        <v>44</v>
      </c>
      <c r="C5664">
        <v>0</v>
      </c>
      <c r="D5664" t="s">
        <v>283</v>
      </c>
      <c r="E5664">
        <v>2023</v>
      </c>
      <c r="F5664">
        <v>11</v>
      </c>
    </row>
    <row r="5665" spans="1:6" x14ac:dyDescent="0.55000000000000004">
      <c r="A5665" t="s">
        <v>157</v>
      </c>
      <c r="B5665" t="s">
        <v>45</v>
      </c>
      <c r="C5665">
        <v>30.126799999999999</v>
      </c>
      <c r="D5665" t="s">
        <v>283</v>
      </c>
      <c r="E5665">
        <v>2023</v>
      </c>
      <c r="F5665">
        <v>11</v>
      </c>
    </row>
    <row r="5666" spans="1:6" x14ac:dyDescent="0.55000000000000004">
      <c r="A5666" t="s">
        <v>157</v>
      </c>
      <c r="B5666" t="s">
        <v>46</v>
      </c>
      <c r="C5666">
        <v>125785.3333</v>
      </c>
      <c r="D5666" t="s">
        <v>283</v>
      </c>
      <c r="E5666">
        <v>2023</v>
      </c>
      <c r="F5666">
        <v>11</v>
      </c>
    </row>
    <row r="5667" spans="1:6" x14ac:dyDescent="0.55000000000000004">
      <c r="A5667" t="s">
        <v>157</v>
      </c>
      <c r="B5667" t="s">
        <v>47</v>
      </c>
      <c r="C5667">
        <v>0.25</v>
      </c>
      <c r="D5667" t="s">
        <v>283</v>
      </c>
      <c r="E5667">
        <v>2023</v>
      </c>
      <c r="F5667">
        <v>11</v>
      </c>
    </row>
    <row r="5668" spans="1:6" x14ac:dyDescent="0.55000000000000004">
      <c r="A5668" t="s">
        <v>157</v>
      </c>
      <c r="B5668" t="s">
        <v>48</v>
      </c>
      <c r="C5668">
        <v>565702.01130000001</v>
      </c>
      <c r="D5668" t="s">
        <v>283</v>
      </c>
      <c r="E5668">
        <v>2023</v>
      </c>
      <c r="F5668">
        <v>11</v>
      </c>
    </row>
    <row r="5669" spans="1:6" x14ac:dyDescent="0.55000000000000004">
      <c r="A5669" t="s">
        <v>157</v>
      </c>
      <c r="B5669" t="s">
        <v>49</v>
      </c>
      <c r="C5669">
        <v>4.9997999999999996</v>
      </c>
      <c r="D5669" t="s">
        <v>283</v>
      </c>
      <c r="E5669">
        <v>2023</v>
      </c>
      <c r="F5669">
        <v>11</v>
      </c>
    </row>
    <row r="5670" spans="1:6" x14ac:dyDescent="0.55000000000000004">
      <c r="A5670" t="s">
        <v>157</v>
      </c>
      <c r="B5670" t="s">
        <v>50</v>
      </c>
      <c r="C5670">
        <v>26119.999599999999</v>
      </c>
      <c r="D5670" t="s">
        <v>283</v>
      </c>
      <c r="E5670">
        <v>2023</v>
      </c>
      <c r="F5670">
        <v>11</v>
      </c>
    </row>
    <row r="5671" spans="1:6" x14ac:dyDescent="0.55000000000000004">
      <c r="A5671" t="s">
        <v>157</v>
      </c>
      <c r="B5671" t="s">
        <v>51</v>
      </c>
      <c r="C5671">
        <v>1400</v>
      </c>
      <c r="D5671" t="s">
        <v>283</v>
      </c>
      <c r="E5671">
        <v>2023</v>
      </c>
      <c r="F5671">
        <v>11</v>
      </c>
    </row>
    <row r="5672" spans="1:6" x14ac:dyDescent="0.55000000000000004">
      <c r="A5672" t="s">
        <v>157</v>
      </c>
      <c r="B5672" t="s">
        <v>52</v>
      </c>
      <c r="C5672">
        <v>58.467599999999997</v>
      </c>
      <c r="D5672" t="s">
        <v>283</v>
      </c>
      <c r="E5672">
        <v>2023</v>
      </c>
      <c r="F5672">
        <v>11</v>
      </c>
    </row>
    <row r="5673" spans="1:6" x14ac:dyDescent="0.55000000000000004">
      <c r="A5673" t="s">
        <v>157</v>
      </c>
      <c r="B5673" t="s">
        <v>53</v>
      </c>
      <c r="C5673">
        <v>82034.741699999999</v>
      </c>
      <c r="D5673" t="s">
        <v>283</v>
      </c>
      <c r="E5673">
        <v>2023</v>
      </c>
      <c r="F5673">
        <v>11</v>
      </c>
    </row>
    <row r="5674" spans="1:6" x14ac:dyDescent="0.55000000000000004">
      <c r="A5674" t="s">
        <v>157</v>
      </c>
      <c r="B5674" t="s">
        <v>54</v>
      </c>
      <c r="C5674">
        <v>19636.9136</v>
      </c>
      <c r="D5674" t="s">
        <v>283</v>
      </c>
      <c r="E5674">
        <v>2023</v>
      </c>
      <c r="F5674">
        <v>11</v>
      </c>
    </row>
    <row r="5675" spans="1:6" x14ac:dyDescent="0.55000000000000004">
      <c r="A5675" t="s">
        <v>157</v>
      </c>
      <c r="B5675" t="s">
        <v>55</v>
      </c>
      <c r="C5675">
        <v>4599.8333000000002</v>
      </c>
      <c r="D5675" t="s">
        <v>283</v>
      </c>
      <c r="E5675">
        <v>2023</v>
      </c>
      <c r="F5675">
        <v>11</v>
      </c>
    </row>
    <row r="5676" spans="1:6" x14ac:dyDescent="0.55000000000000004">
      <c r="A5676" t="s">
        <v>157</v>
      </c>
      <c r="B5676" t="s">
        <v>56</v>
      </c>
      <c r="C5676">
        <v>0</v>
      </c>
      <c r="D5676" t="s">
        <v>283</v>
      </c>
      <c r="E5676">
        <v>2023</v>
      </c>
      <c r="F5676">
        <v>11</v>
      </c>
    </row>
    <row r="5677" spans="1:6" x14ac:dyDescent="0.55000000000000004">
      <c r="A5677" t="s">
        <v>157</v>
      </c>
      <c r="B5677" t="s">
        <v>57</v>
      </c>
      <c r="C5677">
        <v>393.2765</v>
      </c>
      <c r="D5677" t="s">
        <v>283</v>
      </c>
      <c r="E5677">
        <v>2023</v>
      </c>
      <c r="F5677">
        <v>11</v>
      </c>
    </row>
    <row r="5678" spans="1:6" x14ac:dyDescent="0.55000000000000004">
      <c r="A5678" t="s">
        <v>157</v>
      </c>
      <c r="B5678" t="s">
        <v>58</v>
      </c>
      <c r="C5678">
        <v>425379.43</v>
      </c>
      <c r="D5678" t="s">
        <v>283</v>
      </c>
      <c r="E5678">
        <v>2023</v>
      </c>
      <c r="F5678">
        <v>11</v>
      </c>
    </row>
    <row r="5679" spans="1:6" x14ac:dyDescent="0.55000000000000004">
      <c r="A5679" t="s">
        <v>157</v>
      </c>
      <c r="B5679" t="s">
        <v>59</v>
      </c>
      <c r="C5679">
        <v>800</v>
      </c>
      <c r="D5679" t="s">
        <v>283</v>
      </c>
      <c r="E5679">
        <v>2023</v>
      </c>
      <c r="F5679">
        <v>11</v>
      </c>
    </row>
    <row r="5680" spans="1:6" x14ac:dyDescent="0.55000000000000004">
      <c r="A5680" t="s">
        <v>157</v>
      </c>
      <c r="B5680" t="s">
        <v>60</v>
      </c>
      <c r="C5680">
        <v>1944831.8419999999</v>
      </c>
      <c r="D5680" t="s">
        <v>283</v>
      </c>
      <c r="E5680">
        <v>2023</v>
      </c>
      <c r="F5680">
        <v>11</v>
      </c>
    </row>
    <row r="5681" spans="1:6" x14ac:dyDescent="0.55000000000000004">
      <c r="A5681" t="s">
        <v>157</v>
      </c>
      <c r="B5681" t="s">
        <v>61</v>
      </c>
      <c r="C5681">
        <v>3939.7964999999999</v>
      </c>
      <c r="D5681" t="s">
        <v>283</v>
      </c>
      <c r="E5681">
        <v>2023</v>
      </c>
      <c r="F5681">
        <v>11</v>
      </c>
    </row>
    <row r="5682" spans="1:6" x14ac:dyDescent="0.55000000000000004">
      <c r="A5682" t="s">
        <v>157</v>
      </c>
      <c r="B5682" t="s">
        <v>62</v>
      </c>
      <c r="C5682">
        <v>14302</v>
      </c>
      <c r="D5682" t="s">
        <v>283</v>
      </c>
      <c r="E5682">
        <v>2023</v>
      </c>
      <c r="F5682">
        <v>11</v>
      </c>
    </row>
    <row r="5683" spans="1:6" x14ac:dyDescent="0.55000000000000004">
      <c r="A5683" t="s">
        <v>157</v>
      </c>
      <c r="B5683" t="s">
        <v>63</v>
      </c>
      <c r="C5683">
        <v>0</v>
      </c>
      <c r="D5683" t="s">
        <v>283</v>
      </c>
      <c r="E5683">
        <v>2023</v>
      </c>
      <c r="F5683">
        <v>11</v>
      </c>
    </row>
    <row r="5684" spans="1:6" x14ac:dyDescent="0.55000000000000004">
      <c r="A5684" t="s">
        <v>158</v>
      </c>
      <c r="B5684" t="s">
        <v>4</v>
      </c>
      <c r="C5684">
        <v>12127234.4669</v>
      </c>
      <c r="D5684" t="s">
        <v>284</v>
      </c>
      <c r="E5684">
        <v>2023</v>
      </c>
      <c r="F5684">
        <v>12</v>
      </c>
    </row>
    <row r="5685" spans="1:6" x14ac:dyDescent="0.55000000000000004">
      <c r="A5685" t="s">
        <v>158</v>
      </c>
      <c r="B5685" t="s">
        <v>5</v>
      </c>
      <c r="C5685">
        <v>1136748.02</v>
      </c>
      <c r="D5685" t="s">
        <v>284</v>
      </c>
      <c r="E5685">
        <v>2023</v>
      </c>
      <c r="F5685">
        <v>12</v>
      </c>
    </row>
    <row r="5686" spans="1:6" x14ac:dyDescent="0.55000000000000004">
      <c r="A5686" t="s">
        <v>158</v>
      </c>
      <c r="B5686" t="s">
        <v>6</v>
      </c>
      <c r="C5686">
        <v>1596964.49</v>
      </c>
      <c r="D5686" t="s">
        <v>284</v>
      </c>
      <c r="E5686">
        <v>2023</v>
      </c>
      <c r="F5686">
        <v>12</v>
      </c>
    </row>
    <row r="5687" spans="1:6" x14ac:dyDescent="0.55000000000000004">
      <c r="A5687" t="s">
        <v>158</v>
      </c>
      <c r="B5687" t="s">
        <v>7</v>
      </c>
      <c r="C5687">
        <v>4205725.2786999997</v>
      </c>
      <c r="D5687" t="s">
        <v>284</v>
      </c>
      <c r="E5687">
        <v>2023</v>
      </c>
      <c r="F5687">
        <v>12</v>
      </c>
    </row>
    <row r="5688" spans="1:6" x14ac:dyDescent="0.55000000000000004">
      <c r="A5688" t="s">
        <v>158</v>
      </c>
      <c r="B5688" t="s">
        <v>8</v>
      </c>
      <c r="C5688">
        <v>5187796.6782</v>
      </c>
      <c r="D5688" t="s">
        <v>284</v>
      </c>
      <c r="E5688">
        <v>2023</v>
      </c>
      <c r="F5688">
        <v>12</v>
      </c>
    </row>
    <row r="5689" spans="1:6" x14ac:dyDescent="0.55000000000000004">
      <c r="A5689" t="s">
        <v>158</v>
      </c>
      <c r="B5689" t="s">
        <v>9</v>
      </c>
      <c r="C5689">
        <v>1238.5834</v>
      </c>
      <c r="D5689" t="s">
        <v>284</v>
      </c>
      <c r="E5689">
        <v>2023</v>
      </c>
      <c r="F5689">
        <v>12</v>
      </c>
    </row>
    <row r="5690" spans="1:6" x14ac:dyDescent="0.55000000000000004">
      <c r="A5690" t="s">
        <v>158</v>
      </c>
      <c r="B5690" t="s">
        <v>10</v>
      </c>
      <c r="C5690">
        <v>4119.4666999999999</v>
      </c>
      <c r="D5690" t="s">
        <v>284</v>
      </c>
      <c r="E5690">
        <v>2023</v>
      </c>
      <c r="F5690">
        <v>12</v>
      </c>
    </row>
    <row r="5691" spans="1:6" x14ac:dyDescent="0.55000000000000004">
      <c r="A5691" t="s">
        <v>158</v>
      </c>
      <c r="B5691" t="s">
        <v>11</v>
      </c>
      <c r="C5691">
        <v>4186199.7505999999</v>
      </c>
      <c r="D5691" t="s">
        <v>284</v>
      </c>
      <c r="E5691">
        <v>2023</v>
      </c>
      <c r="F5691">
        <v>12</v>
      </c>
    </row>
    <row r="5692" spans="1:6" x14ac:dyDescent="0.55000000000000004">
      <c r="A5692" t="s">
        <v>158</v>
      </c>
      <c r="B5692" t="s">
        <v>12</v>
      </c>
      <c r="C5692">
        <v>14388.7752</v>
      </c>
      <c r="D5692" t="s">
        <v>284</v>
      </c>
      <c r="E5692">
        <v>2023</v>
      </c>
      <c r="F5692">
        <v>12</v>
      </c>
    </row>
    <row r="5693" spans="1:6" x14ac:dyDescent="0.55000000000000004">
      <c r="A5693" t="s">
        <v>158</v>
      </c>
      <c r="B5693" t="s">
        <v>13</v>
      </c>
      <c r="C5693">
        <v>8573.99</v>
      </c>
      <c r="D5693" t="s">
        <v>284</v>
      </c>
      <c r="E5693">
        <v>2023</v>
      </c>
      <c r="F5693">
        <v>12</v>
      </c>
    </row>
    <row r="5694" spans="1:6" x14ac:dyDescent="0.55000000000000004">
      <c r="A5694" t="s">
        <v>158</v>
      </c>
      <c r="B5694" t="s">
        <v>14</v>
      </c>
      <c r="C5694">
        <v>700</v>
      </c>
      <c r="D5694" t="s">
        <v>284</v>
      </c>
      <c r="E5694">
        <v>2023</v>
      </c>
      <c r="F5694">
        <v>12</v>
      </c>
    </row>
    <row r="5695" spans="1:6" x14ac:dyDescent="0.55000000000000004">
      <c r="A5695" t="s">
        <v>158</v>
      </c>
      <c r="B5695" t="s">
        <v>15</v>
      </c>
      <c r="C5695">
        <v>1074456.1654000001</v>
      </c>
      <c r="D5695" t="s">
        <v>284</v>
      </c>
      <c r="E5695">
        <v>2023</v>
      </c>
      <c r="F5695">
        <v>12</v>
      </c>
    </row>
    <row r="5696" spans="1:6" x14ac:dyDescent="0.55000000000000004">
      <c r="A5696" t="s">
        <v>158</v>
      </c>
      <c r="B5696" t="s">
        <v>16</v>
      </c>
      <c r="C5696">
        <v>0</v>
      </c>
      <c r="D5696" t="s">
        <v>284</v>
      </c>
      <c r="E5696">
        <v>2023</v>
      </c>
      <c r="F5696">
        <v>12</v>
      </c>
    </row>
    <row r="5697" spans="1:6" x14ac:dyDescent="0.55000000000000004">
      <c r="A5697" t="s">
        <v>158</v>
      </c>
      <c r="B5697" t="s">
        <v>17</v>
      </c>
      <c r="C5697">
        <v>19833.252799999998</v>
      </c>
      <c r="D5697" t="s">
        <v>284</v>
      </c>
      <c r="E5697">
        <v>2023</v>
      </c>
      <c r="F5697">
        <v>12</v>
      </c>
    </row>
    <row r="5698" spans="1:6" x14ac:dyDescent="0.55000000000000004">
      <c r="A5698" t="s">
        <v>158</v>
      </c>
      <c r="B5698" t="s">
        <v>18</v>
      </c>
      <c r="C5698">
        <v>44328.116800000003</v>
      </c>
      <c r="D5698" t="s">
        <v>284</v>
      </c>
      <c r="E5698">
        <v>2023</v>
      </c>
      <c r="F5698">
        <v>12</v>
      </c>
    </row>
    <row r="5699" spans="1:6" x14ac:dyDescent="0.55000000000000004">
      <c r="A5699" t="s">
        <v>158</v>
      </c>
      <c r="B5699" t="s">
        <v>19</v>
      </c>
      <c r="C5699">
        <v>1099.9917</v>
      </c>
      <c r="D5699" t="s">
        <v>284</v>
      </c>
      <c r="E5699">
        <v>2023</v>
      </c>
      <c r="F5699">
        <v>12</v>
      </c>
    </row>
    <row r="5700" spans="1:6" x14ac:dyDescent="0.55000000000000004">
      <c r="A5700" t="s">
        <v>158</v>
      </c>
      <c r="B5700" t="s">
        <v>20</v>
      </c>
      <c r="C5700">
        <v>8700</v>
      </c>
      <c r="D5700" t="s">
        <v>284</v>
      </c>
      <c r="E5700">
        <v>2023</v>
      </c>
      <c r="F5700">
        <v>12</v>
      </c>
    </row>
    <row r="5701" spans="1:6" x14ac:dyDescent="0.55000000000000004">
      <c r="A5701" t="s">
        <v>158</v>
      </c>
      <c r="B5701" t="s">
        <v>21</v>
      </c>
      <c r="C5701">
        <v>2135.9919</v>
      </c>
      <c r="D5701" t="s">
        <v>284</v>
      </c>
      <c r="E5701">
        <v>2023</v>
      </c>
      <c r="F5701">
        <v>12</v>
      </c>
    </row>
    <row r="5702" spans="1:6" x14ac:dyDescent="0.55000000000000004">
      <c r="A5702" t="s">
        <v>158</v>
      </c>
      <c r="B5702" t="s">
        <v>22</v>
      </c>
      <c r="C5702">
        <v>39602.144</v>
      </c>
      <c r="D5702" t="s">
        <v>284</v>
      </c>
      <c r="E5702">
        <v>2023</v>
      </c>
      <c r="F5702">
        <v>12</v>
      </c>
    </row>
    <row r="5703" spans="1:6" x14ac:dyDescent="0.55000000000000004">
      <c r="A5703" t="s">
        <v>158</v>
      </c>
      <c r="B5703" t="s">
        <v>23</v>
      </c>
      <c r="C5703">
        <v>7510.8621000000003</v>
      </c>
      <c r="D5703" t="s">
        <v>284</v>
      </c>
      <c r="E5703">
        <v>2023</v>
      </c>
      <c r="F5703">
        <v>12</v>
      </c>
    </row>
    <row r="5704" spans="1:6" x14ac:dyDescent="0.55000000000000004">
      <c r="A5704" t="s">
        <v>158</v>
      </c>
      <c r="B5704" t="s">
        <v>25</v>
      </c>
      <c r="C5704">
        <v>440000</v>
      </c>
      <c r="D5704" t="s">
        <v>284</v>
      </c>
      <c r="E5704">
        <v>2023</v>
      </c>
      <c r="F5704">
        <v>12</v>
      </c>
    </row>
    <row r="5705" spans="1:6" x14ac:dyDescent="0.55000000000000004">
      <c r="A5705" t="s">
        <v>158</v>
      </c>
      <c r="B5705" t="s">
        <v>27</v>
      </c>
      <c r="C5705">
        <v>841.14980000000003</v>
      </c>
      <c r="D5705" t="s">
        <v>284</v>
      </c>
      <c r="E5705">
        <v>2023</v>
      </c>
      <c r="F5705">
        <v>12</v>
      </c>
    </row>
    <row r="5706" spans="1:6" x14ac:dyDescent="0.55000000000000004">
      <c r="A5706" t="s">
        <v>158</v>
      </c>
      <c r="B5706" t="s">
        <v>28</v>
      </c>
      <c r="C5706">
        <v>57941.203500000003</v>
      </c>
      <c r="D5706" t="s">
        <v>284</v>
      </c>
      <c r="E5706">
        <v>2023</v>
      </c>
      <c r="F5706">
        <v>12</v>
      </c>
    </row>
    <row r="5707" spans="1:6" x14ac:dyDescent="0.55000000000000004">
      <c r="A5707" t="s">
        <v>158</v>
      </c>
      <c r="B5707" t="s">
        <v>29</v>
      </c>
      <c r="C5707">
        <v>45037.5003</v>
      </c>
      <c r="D5707" t="s">
        <v>284</v>
      </c>
      <c r="E5707">
        <v>2023</v>
      </c>
      <c r="F5707">
        <v>12</v>
      </c>
    </row>
    <row r="5708" spans="1:6" x14ac:dyDescent="0.55000000000000004">
      <c r="A5708" t="s">
        <v>158</v>
      </c>
      <c r="B5708" t="s">
        <v>30</v>
      </c>
      <c r="C5708">
        <v>3.5700000000000003E-2</v>
      </c>
      <c r="D5708" t="s">
        <v>284</v>
      </c>
      <c r="E5708">
        <v>2023</v>
      </c>
      <c r="F5708">
        <v>12</v>
      </c>
    </row>
    <row r="5709" spans="1:6" x14ac:dyDescent="0.55000000000000004">
      <c r="A5709" t="s">
        <v>158</v>
      </c>
      <c r="B5709" t="s">
        <v>31</v>
      </c>
      <c r="C5709">
        <v>120</v>
      </c>
      <c r="D5709" t="s">
        <v>284</v>
      </c>
      <c r="E5709">
        <v>2023</v>
      </c>
      <c r="F5709">
        <v>12</v>
      </c>
    </row>
    <row r="5710" spans="1:6" x14ac:dyDescent="0.55000000000000004">
      <c r="A5710" t="s">
        <v>158</v>
      </c>
      <c r="B5710" t="s">
        <v>32</v>
      </c>
      <c r="C5710">
        <v>213118</v>
      </c>
      <c r="D5710" t="s">
        <v>284</v>
      </c>
      <c r="E5710">
        <v>2023</v>
      </c>
      <c r="F5710">
        <v>12</v>
      </c>
    </row>
    <row r="5711" spans="1:6" x14ac:dyDescent="0.55000000000000004">
      <c r="A5711" t="s">
        <v>158</v>
      </c>
      <c r="B5711" t="s">
        <v>33</v>
      </c>
      <c r="C5711">
        <v>360599.5245</v>
      </c>
      <c r="D5711" t="s">
        <v>284</v>
      </c>
      <c r="E5711">
        <v>2023</v>
      </c>
      <c r="F5711">
        <v>12</v>
      </c>
    </row>
    <row r="5712" spans="1:6" x14ac:dyDescent="0.55000000000000004">
      <c r="A5712" t="s">
        <v>158</v>
      </c>
      <c r="B5712" t="s">
        <v>34</v>
      </c>
      <c r="C5712">
        <v>714312.60120000003</v>
      </c>
      <c r="D5712" t="s">
        <v>284</v>
      </c>
      <c r="E5712">
        <v>2023</v>
      </c>
      <c r="F5712">
        <v>12</v>
      </c>
    </row>
    <row r="5713" spans="1:6" x14ac:dyDescent="0.55000000000000004">
      <c r="A5713" t="s">
        <v>158</v>
      </c>
      <c r="B5713" t="s">
        <v>35</v>
      </c>
      <c r="C5713">
        <v>598.90449999999998</v>
      </c>
      <c r="D5713" t="s">
        <v>284</v>
      </c>
      <c r="E5713">
        <v>2023</v>
      </c>
      <c r="F5713">
        <v>12</v>
      </c>
    </row>
    <row r="5714" spans="1:6" x14ac:dyDescent="0.55000000000000004">
      <c r="A5714" t="s">
        <v>158</v>
      </c>
      <c r="B5714" t="s">
        <v>36</v>
      </c>
      <c r="C5714">
        <v>28509.5746</v>
      </c>
      <c r="D5714" t="s">
        <v>284</v>
      </c>
      <c r="E5714">
        <v>2023</v>
      </c>
      <c r="F5714">
        <v>12</v>
      </c>
    </row>
    <row r="5715" spans="1:6" x14ac:dyDescent="0.55000000000000004">
      <c r="A5715" t="s">
        <v>158</v>
      </c>
      <c r="B5715" t="s">
        <v>37</v>
      </c>
      <c r="C5715">
        <v>42400.000399999997</v>
      </c>
      <c r="D5715" t="s">
        <v>284</v>
      </c>
      <c r="E5715">
        <v>2023</v>
      </c>
      <c r="F5715">
        <v>12</v>
      </c>
    </row>
    <row r="5716" spans="1:6" x14ac:dyDescent="0.55000000000000004">
      <c r="A5716" t="s">
        <v>158</v>
      </c>
      <c r="B5716" t="s">
        <v>39</v>
      </c>
      <c r="C5716">
        <v>2.4268000000000001</v>
      </c>
      <c r="D5716" t="s">
        <v>284</v>
      </c>
      <c r="E5716">
        <v>2023</v>
      </c>
      <c r="F5716">
        <v>12</v>
      </c>
    </row>
    <row r="5717" spans="1:6" x14ac:dyDescent="0.55000000000000004">
      <c r="A5717" t="s">
        <v>158</v>
      </c>
      <c r="B5717" t="s">
        <v>40</v>
      </c>
      <c r="C5717">
        <v>609.3175</v>
      </c>
      <c r="D5717" t="s">
        <v>284</v>
      </c>
      <c r="E5717">
        <v>2023</v>
      </c>
      <c r="F5717">
        <v>12</v>
      </c>
    </row>
    <row r="5718" spans="1:6" x14ac:dyDescent="0.55000000000000004">
      <c r="A5718" t="s">
        <v>158</v>
      </c>
      <c r="B5718" t="s">
        <v>41</v>
      </c>
      <c r="C5718">
        <v>165600.00099999999</v>
      </c>
      <c r="D5718" t="s">
        <v>284</v>
      </c>
      <c r="E5718">
        <v>2023</v>
      </c>
      <c r="F5718">
        <v>12</v>
      </c>
    </row>
    <row r="5719" spans="1:6" x14ac:dyDescent="0.55000000000000004">
      <c r="A5719" t="s">
        <v>158</v>
      </c>
      <c r="B5719" t="s">
        <v>42</v>
      </c>
      <c r="C5719">
        <v>10.850099999999999</v>
      </c>
      <c r="D5719" t="s">
        <v>284</v>
      </c>
      <c r="E5719">
        <v>2023</v>
      </c>
      <c r="F5719">
        <v>12</v>
      </c>
    </row>
    <row r="5720" spans="1:6" x14ac:dyDescent="0.55000000000000004">
      <c r="A5720" t="s">
        <v>158</v>
      </c>
      <c r="B5720" t="s">
        <v>43</v>
      </c>
      <c r="C5720">
        <v>45489.300600000002</v>
      </c>
      <c r="D5720" t="s">
        <v>284</v>
      </c>
      <c r="E5720">
        <v>2023</v>
      </c>
      <c r="F5720">
        <v>12</v>
      </c>
    </row>
    <row r="5721" spans="1:6" x14ac:dyDescent="0.55000000000000004">
      <c r="A5721" t="s">
        <v>158</v>
      </c>
      <c r="B5721" t="s">
        <v>44</v>
      </c>
      <c r="C5721">
        <v>0</v>
      </c>
      <c r="D5721" t="s">
        <v>284</v>
      </c>
      <c r="E5721">
        <v>2023</v>
      </c>
      <c r="F5721">
        <v>12</v>
      </c>
    </row>
    <row r="5722" spans="1:6" x14ac:dyDescent="0.55000000000000004">
      <c r="A5722" t="s">
        <v>158</v>
      </c>
      <c r="B5722" t="s">
        <v>45</v>
      </c>
      <c r="C5722">
        <v>1010.8637</v>
      </c>
      <c r="D5722" t="s">
        <v>284</v>
      </c>
      <c r="E5722">
        <v>2023</v>
      </c>
      <c r="F5722">
        <v>12</v>
      </c>
    </row>
    <row r="5723" spans="1:6" x14ac:dyDescent="0.55000000000000004">
      <c r="A5723" t="s">
        <v>158</v>
      </c>
      <c r="B5723" t="s">
        <v>46</v>
      </c>
      <c r="C5723">
        <v>121315.3333</v>
      </c>
      <c r="D5723" t="s">
        <v>284</v>
      </c>
      <c r="E5723">
        <v>2023</v>
      </c>
      <c r="F5723">
        <v>12</v>
      </c>
    </row>
    <row r="5724" spans="1:6" x14ac:dyDescent="0.55000000000000004">
      <c r="A5724" t="s">
        <v>158</v>
      </c>
      <c r="B5724" t="s">
        <v>47</v>
      </c>
      <c r="C5724">
        <v>11.021699999999999</v>
      </c>
      <c r="D5724" t="s">
        <v>284</v>
      </c>
      <c r="E5724">
        <v>2023</v>
      </c>
      <c r="F5724">
        <v>12</v>
      </c>
    </row>
    <row r="5725" spans="1:6" x14ac:dyDescent="0.55000000000000004">
      <c r="A5725" t="s">
        <v>158</v>
      </c>
      <c r="B5725" t="s">
        <v>48</v>
      </c>
      <c r="C5725">
        <v>464981.946</v>
      </c>
      <c r="D5725" t="s">
        <v>284</v>
      </c>
      <c r="E5725">
        <v>2023</v>
      </c>
      <c r="F5725">
        <v>12</v>
      </c>
    </row>
    <row r="5726" spans="1:6" x14ac:dyDescent="0.55000000000000004">
      <c r="A5726" t="s">
        <v>158</v>
      </c>
      <c r="B5726" t="s">
        <v>49</v>
      </c>
      <c r="C5726">
        <v>4.9997999999999996</v>
      </c>
      <c r="D5726" t="s">
        <v>284</v>
      </c>
      <c r="E5726">
        <v>2023</v>
      </c>
      <c r="F5726">
        <v>12</v>
      </c>
    </row>
    <row r="5727" spans="1:6" x14ac:dyDescent="0.55000000000000004">
      <c r="A5727" t="s">
        <v>158</v>
      </c>
      <c r="B5727" t="s">
        <v>50</v>
      </c>
      <c r="C5727">
        <v>62279.9951</v>
      </c>
      <c r="D5727" t="s">
        <v>284</v>
      </c>
      <c r="E5727">
        <v>2023</v>
      </c>
      <c r="F5727">
        <v>12</v>
      </c>
    </row>
    <row r="5728" spans="1:6" x14ac:dyDescent="0.55000000000000004">
      <c r="A5728" t="s">
        <v>158</v>
      </c>
      <c r="B5728" t="s">
        <v>51</v>
      </c>
      <c r="C5728">
        <v>1500</v>
      </c>
      <c r="D5728" t="s">
        <v>284</v>
      </c>
      <c r="E5728">
        <v>2023</v>
      </c>
      <c r="F5728">
        <v>12</v>
      </c>
    </row>
    <row r="5729" spans="1:6" x14ac:dyDescent="0.55000000000000004">
      <c r="A5729" t="s">
        <v>158</v>
      </c>
      <c r="B5729" t="s">
        <v>52</v>
      </c>
      <c r="C5729">
        <v>28.305199999999999</v>
      </c>
      <c r="D5729" t="s">
        <v>284</v>
      </c>
      <c r="E5729">
        <v>2023</v>
      </c>
      <c r="F5729">
        <v>12</v>
      </c>
    </row>
    <row r="5730" spans="1:6" x14ac:dyDescent="0.55000000000000004">
      <c r="A5730" t="s">
        <v>158</v>
      </c>
      <c r="B5730" t="s">
        <v>53</v>
      </c>
      <c r="C5730">
        <v>56779.68</v>
      </c>
      <c r="D5730" t="s">
        <v>284</v>
      </c>
      <c r="E5730">
        <v>2023</v>
      </c>
      <c r="F5730">
        <v>12</v>
      </c>
    </row>
    <row r="5731" spans="1:6" x14ac:dyDescent="0.55000000000000004">
      <c r="A5731" t="s">
        <v>158</v>
      </c>
      <c r="B5731" t="s">
        <v>54</v>
      </c>
      <c r="C5731">
        <v>19425.786400000001</v>
      </c>
      <c r="D5731" t="s">
        <v>284</v>
      </c>
      <c r="E5731">
        <v>2023</v>
      </c>
      <c r="F5731">
        <v>12</v>
      </c>
    </row>
    <row r="5732" spans="1:6" x14ac:dyDescent="0.55000000000000004">
      <c r="A5732" t="s">
        <v>158</v>
      </c>
      <c r="B5732" t="s">
        <v>55</v>
      </c>
      <c r="C5732">
        <v>6778.7833000000001</v>
      </c>
      <c r="D5732" t="s">
        <v>284</v>
      </c>
      <c r="E5732">
        <v>2023</v>
      </c>
      <c r="F5732">
        <v>12</v>
      </c>
    </row>
    <row r="5733" spans="1:6" x14ac:dyDescent="0.55000000000000004">
      <c r="A5733" t="s">
        <v>158</v>
      </c>
      <c r="B5733" t="s">
        <v>56</v>
      </c>
      <c r="C5733">
        <v>606.82669999999996</v>
      </c>
      <c r="D5733" t="s">
        <v>284</v>
      </c>
      <c r="E5733">
        <v>2023</v>
      </c>
      <c r="F5733">
        <v>12</v>
      </c>
    </row>
    <row r="5734" spans="1:6" x14ac:dyDescent="0.55000000000000004">
      <c r="A5734" t="s">
        <v>158</v>
      </c>
      <c r="B5734" t="s">
        <v>57</v>
      </c>
      <c r="C5734">
        <v>277.91930000000002</v>
      </c>
      <c r="D5734" t="s">
        <v>284</v>
      </c>
      <c r="E5734">
        <v>2023</v>
      </c>
      <c r="F5734">
        <v>12</v>
      </c>
    </row>
    <row r="5735" spans="1:6" x14ac:dyDescent="0.55000000000000004">
      <c r="A5735" t="s">
        <v>158</v>
      </c>
      <c r="B5735" t="s">
        <v>58</v>
      </c>
      <c r="C5735">
        <v>401336</v>
      </c>
      <c r="D5735" t="s">
        <v>284</v>
      </c>
      <c r="E5735">
        <v>2023</v>
      </c>
      <c r="F5735">
        <v>12</v>
      </c>
    </row>
    <row r="5736" spans="1:6" x14ac:dyDescent="0.55000000000000004">
      <c r="A5736" t="s">
        <v>158</v>
      </c>
      <c r="B5736" t="s">
        <v>59</v>
      </c>
      <c r="C5736">
        <v>5000</v>
      </c>
      <c r="D5736" t="s">
        <v>284</v>
      </c>
      <c r="E5736">
        <v>2023</v>
      </c>
      <c r="F5736">
        <v>12</v>
      </c>
    </row>
    <row r="5737" spans="1:6" x14ac:dyDescent="0.55000000000000004">
      <c r="A5737" t="s">
        <v>158</v>
      </c>
      <c r="B5737" t="s">
        <v>60</v>
      </c>
      <c r="C5737">
        <v>3443419.4190000002</v>
      </c>
      <c r="D5737" t="s">
        <v>284</v>
      </c>
      <c r="E5737">
        <v>2023</v>
      </c>
      <c r="F5737">
        <v>12</v>
      </c>
    </row>
    <row r="5738" spans="1:6" x14ac:dyDescent="0.55000000000000004">
      <c r="A5738" t="s">
        <v>158</v>
      </c>
      <c r="B5738" t="s">
        <v>61</v>
      </c>
      <c r="C5738">
        <v>4678.4395999999997</v>
      </c>
      <c r="D5738" t="s">
        <v>284</v>
      </c>
      <c r="E5738">
        <v>2023</v>
      </c>
      <c r="F5738">
        <v>12</v>
      </c>
    </row>
    <row r="5739" spans="1:6" x14ac:dyDescent="0.55000000000000004">
      <c r="A5739" t="s">
        <v>158</v>
      </c>
      <c r="B5739" t="s">
        <v>62</v>
      </c>
      <c r="C5739">
        <v>9401.6666999999998</v>
      </c>
      <c r="D5739" t="s">
        <v>284</v>
      </c>
      <c r="E5739">
        <v>2023</v>
      </c>
      <c r="F5739">
        <v>12</v>
      </c>
    </row>
    <row r="5740" spans="1:6" x14ac:dyDescent="0.55000000000000004">
      <c r="A5740" t="s">
        <v>158</v>
      </c>
      <c r="B5740" t="s">
        <v>63</v>
      </c>
      <c r="C5740">
        <v>320</v>
      </c>
      <c r="D5740" t="s">
        <v>284</v>
      </c>
      <c r="E5740">
        <v>2023</v>
      </c>
      <c r="F5740">
        <v>12</v>
      </c>
    </row>
    <row r="5741" spans="1:6" x14ac:dyDescent="0.55000000000000004">
      <c r="A5741" t="s">
        <v>159</v>
      </c>
      <c r="B5741" t="s">
        <v>4</v>
      </c>
      <c r="C5741">
        <v>12476187.355699999</v>
      </c>
      <c r="D5741" t="s">
        <v>285</v>
      </c>
      <c r="E5741">
        <v>2024</v>
      </c>
      <c r="F5741">
        <v>1</v>
      </c>
    </row>
    <row r="5742" spans="1:6" x14ac:dyDescent="0.55000000000000004">
      <c r="A5742" t="s">
        <v>159</v>
      </c>
      <c r="B5742" t="s">
        <v>5</v>
      </c>
      <c r="C5742">
        <v>1062254.4691000001</v>
      </c>
      <c r="D5742" t="s">
        <v>285</v>
      </c>
      <c r="E5742">
        <v>2024</v>
      </c>
      <c r="F5742">
        <v>1</v>
      </c>
    </row>
    <row r="5743" spans="1:6" x14ac:dyDescent="0.55000000000000004">
      <c r="A5743" t="s">
        <v>159</v>
      </c>
      <c r="B5743" t="s">
        <v>6</v>
      </c>
      <c r="C5743">
        <v>1933711.6673999999</v>
      </c>
      <c r="D5743" t="s">
        <v>285</v>
      </c>
      <c r="E5743">
        <v>2024</v>
      </c>
      <c r="F5743">
        <v>1</v>
      </c>
    </row>
    <row r="5744" spans="1:6" x14ac:dyDescent="0.55000000000000004">
      <c r="A5744" t="s">
        <v>159</v>
      </c>
      <c r="B5744" t="s">
        <v>7</v>
      </c>
      <c r="C5744">
        <v>3760470.0723000001</v>
      </c>
      <c r="D5744" t="s">
        <v>285</v>
      </c>
      <c r="E5744">
        <v>2024</v>
      </c>
      <c r="F5744">
        <v>1</v>
      </c>
    </row>
    <row r="5745" spans="1:6" x14ac:dyDescent="0.55000000000000004">
      <c r="A5745" t="s">
        <v>159</v>
      </c>
      <c r="B5745" t="s">
        <v>8</v>
      </c>
      <c r="C5745">
        <v>5719751.1469000001</v>
      </c>
      <c r="D5745" t="s">
        <v>285</v>
      </c>
      <c r="E5745">
        <v>2024</v>
      </c>
      <c r="F5745">
        <v>1</v>
      </c>
    </row>
    <row r="5746" spans="1:6" x14ac:dyDescent="0.55000000000000004">
      <c r="A5746" t="s">
        <v>159</v>
      </c>
      <c r="B5746" t="s">
        <v>9</v>
      </c>
      <c r="C5746">
        <v>3026.2485000000001</v>
      </c>
      <c r="D5746" t="s">
        <v>285</v>
      </c>
      <c r="E5746">
        <v>2024</v>
      </c>
      <c r="F5746">
        <v>1</v>
      </c>
    </row>
    <row r="5747" spans="1:6" x14ac:dyDescent="0.55000000000000004">
      <c r="A5747" t="s">
        <v>159</v>
      </c>
      <c r="B5747" t="s">
        <v>10</v>
      </c>
      <c r="C5747">
        <v>3850.0832999999998</v>
      </c>
      <c r="D5747" t="s">
        <v>285</v>
      </c>
      <c r="E5747">
        <v>2024</v>
      </c>
      <c r="F5747">
        <v>1</v>
      </c>
    </row>
    <row r="5748" spans="1:6" x14ac:dyDescent="0.55000000000000004">
      <c r="A5748" t="s">
        <v>159</v>
      </c>
      <c r="B5748" t="s">
        <v>11</v>
      </c>
      <c r="C5748">
        <v>3998730.5814999999</v>
      </c>
      <c r="D5748" t="s">
        <v>285</v>
      </c>
      <c r="E5748">
        <v>2024</v>
      </c>
      <c r="F5748">
        <v>1</v>
      </c>
    </row>
    <row r="5749" spans="1:6" x14ac:dyDescent="0.55000000000000004">
      <c r="A5749" t="s">
        <v>159</v>
      </c>
      <c r="B5749" t="s">
        <v>12</v>
      </c>
      <c r="C5749">
        <v>6100</v>
      </c>
      <c r="D5749" t="s">
        <v>285</v>
      </c>
      <c r="E5749">
        <v>2024</v>
      </c>
      <c r="F5749">
        <v>1</v>
      </c>
    </row>
    <row r="5750" spans="1:6" x14ac:dyDescent="0.55000000000000004">
      <c r="A5750" t="s">
        <v>159</v>
      </c>
      <c r="B5750" t="s">
        <v>13</v>
      </c>
      <c r="C5750">
        <v>11091.816699999999</v>
      </c>
      <c r="D5750" t="s">
        <v>285</v>
      </c>
      <c r="E5750">
        <v>2024</v>
      </c>
      <c r="F5750">
        <v>1</v>
      </c>
    </row>
    <row r="5751" spans="1:6" x14ac:dyDescent="0.55000000000000004">
      <c r="A5751" t="s">
        <v>159</v>
      </c>
      <c r="B5751" t="s">
        <v>14</v>
      </c>
      <c r="C5751">
        <v>1000</v>
      </c>
      <c r="D5751" t="s">
        <v>285</v>
      </c>
      <c r="E5751">
        <v>2024</v>
      </c>
      <c r="F5751">
        <v>1</v>
      </c>
    </row>
    <row r="5752" spans="1:6" x14ac:dyDescent="0.55000000000000004">
      <c r="A5752" t="s">
        <v>159</v>
      </c>
      <c r="B5752" t="s">
        <v>15</v>
      </c>
      <c r="C5752">
        <v>943061.63749999995</v>
      </c>
      <c r="D5752" t="s">
        <v>285</v>
      </c>
      <c r="E5752">
        <v>2024</v>
      </c>
      <c r="F5752">
        <v>1</v>
      </c>
    </row>
    <row r="5753" spans="1:6" x14ac:dyDescent="0.55000000000000004">
      <c r="A5753" t="s">
        <v>159</v>
      </c>
      <c r="B5753" t="s">
        <v>16</v>
      </c>
      <c r="C5753">
        <v>0</v>
      </c>
      <c r="D5753" t="s">
        <v>285</v>
      </c>
      <c r="E5753">
        <v>2024</v>
      </c>
      <c r="F5753">
        <v>1</v>
      </c>
    </row>
    <row r="5754" spans="1:6" x14ac:dyDescent="0.55000000000000004">
      <c r="A5754" t="s">
        <v>159</v>
      </c>
      <c r="B5754" t="s">
        <v>17</v>
      </c>
      <c r="C5754">
        <v>60449.552100000001</v>
      </c>
      <c r="D5754" t="s">
        <v>285</v>
      </c>
      <c r="E5754">
        <v>2024</v>
      </c>
      <c r="F5754">
        <v>1</v>
      </c>
    </row>
    <row r="5755" spans="1:6" x14ac:dyDescent="0.55000000000000004">
      <c r="A5755" t="s">
        <v>159</v>
      </c>
      <c r="B5755" t="s">
        <v>18</v>
      </c>
      <c r="C5755">
        <v>70176.917300000001</v>
      </c>
      <c r="D5755" t="s">
        <v>285</v>
      </c>
      <c r="E5755">
        <v>2024</v>
      </c>
      <c r="F5755">
        <v>1</v>
      </c>
    </row>
    <row r="5756" spans="1:6" x14ac:dyDescent="0.55000000000000004">
      <c r="A5756" t="s">
        <v>159</v>
      </c>
      <c r="B5756" t="s">
        <v>19</v>
      </c>
      <c r="C5756">
        <v>1399.9992999999999</v>
      </c>
      <c r="D5756" t="s">
        <v>285</v>
      </c>
      <c r="E5756">
        <v>2024</v>
      </c>
      <c r="F5756">
        <v>1</v>
      </c>
    </row>
    <row r="5757" spans="1:6" x14ac:dyDescent="0.55000000000000004">
      <c r="A5757" t="s">
        <v>159</v>
      </c>
      <c r="B5757" t="s">
        <v>20</v>
      </c>
      <c r="C5757">
        <v>12200</v>
      </c>
      <c r="D5757" t="s">
        <v>285</v>
      </c>
      <c r="E5757">
        <v>2024</v>
      </c>
      <c r="F5757">
        <v>1</v>
      </c>
    </row>
    <row r="5758" spans="1:6" x14ac:dyDescent="0.55000000000000004">
      <c r="A5758" t="s">
        <v>159</v>
      </c>
      <c r="B5758" t="s">
        <v>21</v>
      </c>
      <c r="C5758">
        <v>618.32320000000004</v>
      </c>
      <c r="D5758" t="s">
        <v>285</v>
      </c>
      <c r="E5758">
        <v>2024</v>
      </c>
      <c r="F5758">
        <v>1</v>
      </c>
    </row>
    <row r="5759" spans="1:6" x14ac:dyDescent="0.55000000000000004">
      <c r="A5759" t="s">
        <v>159</v>
      </c>
      <c r="B5759" t="s">
        <v>22</v>
      </c>
      <c r="C5759">
        <v>50388.701999999997</v>
      </c>
      <c r="D5759" t="s">
        <v>285</v>
      </c>
      <c r="E5759">
        <v>2024</v>
      </c>
      <c r="F5759">
        <v>1</v>
      </c>
    </row>
    <row r="5760" spans="1:6" x14ac:dyDescent="0.55000000000000004">
      <c r="A5760" t="s">
        <v>159</v>
      </c>
      <c r="B5760" t="s">
        <v>23</v>
      </c>
      <c r="C5760">
        <v>7924.7143999999998</v>
      </c>
      <c r="D5760" t="s">
        <v>285</v>
      </c>
      <c r="E5760">
        <v>2024</v>
      </c>
      <c r="F5760">
        <v>1</v>
      </c>
    </row>
    <row r="5761" spans="1:6" x14ac:dyDescent="0.55000000000000004">
      <c r="A5761" t="s">
        <v>159</v>
      </c>
      <c r="B5761" t="s">
        <v>25</v>
      </c>
      <c r="C5761">
        <v>210000</v>
      </c>
      <c r="D5761" t="s">
        <v>285</v>
      </c>
      <c r="E5761">
        <v>2024</v>
      </c>
      <c r="F5761">
        <v>1</v>
      </c>
    </row>
    <row r="5762" spans="1:6" x14ac:dyDescent="0.55000000000000004">
      <c r="A5762" t="s">
        <v>159</v>
      </c>
      <c r="B5762" t="s">
        <v>27</v>
      </c>
      <c r="C5762">
        <v>511.9033</v>
      </c>
      <c r="D5762" t="s">
        <v>285</v>
      </c>
      <c r="E5762">
        <v>2024</v>
      </c>
      <c r="F5762">
        <v>1</v>
      </c>
    </row>
    <row r="5763" spans="1:6" x14ac:dyDescent="0.55000000000000004">
      <c r="A5763" t="s">
        <v>159</v>
      </c>
      <c r="B5763" t="s">
        <v>28</v>
      </c>
      <c r="C5763">
        <v>191585.8848</v>
      </c>
      <c r="D5763" t="s">
        <v>285</v>
      </c>
      <c r="E5763">
        <v>2024</v>
      </c>
      <c r="F5763">
        <v>1</v>
      </c>
    </row>
    <row r="5764" spans="1:6" x14ac:dyDescent="0.55000000000000004">
      <c r="A5764" t="s">
        <v>159</v>
      </c>
      <c r="B5764" t="s">
        <v>29</v>
      </c>
      <c r="C5764">
        <v>42305.050199999998</v>
      </c>
      <c r="D5764" t="s">
        <v>285</v>
      </c>
      <c r="E5764">
        <v>2024</v>
      </c>
      <c r="F5764">
        <v>1</v>
      </c>
    </row>
    <row r="5765" spans="1:6" x14ac:dyDescent="0.55000000000000004">
      <c r="A5765" t="s">
        <v>159</v>
      </c>
      <c r="B5765" t="s">
        <v>30</v>
      </c>
      <c r="C5765">
        <v>4.3299999999999998E-2</v>
      </c>
      <c r="D5765" t="s">
        <v>285</v>
      </c>
      <c r="E5765">
        <v>2024</v>
      </c>
      <c r="F5765">
        <v>1</v>
      </c>
    </row>
    <row r="5766" spans="1:6" x14ac:dyDescent="0.55000000000000004">
      <c r="A5766" t="s">
        <v>159</v>
      </c>
      <c r="B5766" t="s">
        <v>31</v>
      </c>
      <c r="C5766">
        <v>20</v>
      </c>
      <c r="D5766" t="s">
        <v>285</v>
      </c>
      <c r="E5766">
        <v>2024</v>
      </c>
      <c r="F5766">
        <v>1</v>
      </c>
    </row>
    <row r="5767" spans="1:6" x14ac:dyDescent="0.55000000000000004">
      <c r="A5767" t="s">
        <v>159</v>
      </c>
      <c r="B5767" t="s">
        <v>32</v>
      </c>
      <c r="C5767">
        <v>342365.86</v>
      </c>
      <c r="D5767" t="s">
        <v>285</v>
      </c>
      <c r="E5767">
        <v>2024</v>
      </c>
      <c r="F5767">
        <v>1</v>
      </c>
    </row>
    <row r="5768" spans="1:6" x14ac:dyDescent="0.55000000000000004">
      <c r="A5768" t="s">
        <v>159</v>
      </c>
      <c r="B5768" t="s">
        <v>33</v>
      </c>
      <c r="C5768">
        <v>431196.10100000002</v>
      </c>
      <c r="D5768" t="s">
        <v>285</v>
      </c>
      <c r="E5768">
        <v>2024</v>
      </c>
      <c r="F5768">
        <v>1</v>
      </c>
    </row>
    <row r="5769" spans="1:6" x14ac:dyDescent="0.55000000000000004">
      <c r="A5769" t="s">
        <v>159</v>
      </c>
      <c r="B5769" t="s">
        <v>34</v>
      </c>
      <c r="C5769">
        <v>464389.7242</v>
      </c>
      <c r="D5769" t="s">
        <v>285</v>
      </c>
      <c r="E5769">
        <v>2024</v>
      </c>
      <c r="F5769">
        <v>1</v>
      </c>
    </row>
    <row r="5770" spans="1:6" x14ac:dyDescent="0.55000000000000004">
      <c r="A5770" t="s">
        <v>159</v>
      </c>
      <c r="B5770" t="s">
        <v>35</v>
      </c>
      <c r="C5770">
        <v>1311.8018</v>
      </c>
      <c r="D5770" t="s">
        <v>285</v>
      </c>
      <c r="E5770">
        <v>2024</v>
      </c>
      <c r="F5770">
        <v>1</v>
      </c>
    </row>
    <row r="5771" spans="1:6" x14ac:dyDescent="0.55000000000000004">
      <c r="A5771" t="s">
        <v>159</v>
      </c>
      <c r="B5771" t="s">
        <v>36</v>
      </c>
      <c r="C5771">
        <v>48869.181600000004</v>
      </c>
      <c r="D5771" t="s">
        <v>285</v>
      </c>
      <c r="E5771">
        <v>2024</v>
      </c>
      <c r="F5771">
        <v>1</v>
      </c>
    </row>
    <row r="5772" spans="1:6" x14ac:dyDescent="0.55000000000000004">
      <c r="A5772" t="s">
        <v>159</v>
      </c>
      <c r="B5772" t="s">
        <v>37</v>
      </c>
      <c r="C5772">
        <v>25399.991999999998</v>
      </c>
      <c r="D5772" t="s">
        <v>285</v>
      </c>
      <c r="E5772">
        <v>2024</v>
      </c>
      <c r="F5772">
        <v>1</v>
      </c>
    </row>
    <row r="5773" spans="1:6" x14ac:dyDescent="0.55000000000000004">
      <c r="A5773" t="s">
        <v>159</v>
      </c>
      <c r="B5773" t="s">
        <v>39</v>
      </c>
      <c r="C5773">
        <v>2.4405000000000001</v>
      </c>
      <c r="D5773" t="s">
        <v>285</v>
      </c>
      <c r="E5773">
        <v>2024</v>
      </c>
      <c r="F5773">
        <v>1</v>
      </c>
    </row>
    <row r="5774" spans="1:6" x14ac:dyDescent="0.55000000000000004">
      <c r="A5774" t="s">
        <v>159</v>
      </c>
      <c r="B5774" t="s">
        <v>40</v>
      </c>
      <c r="C5774">
        <v>1641.7959000000001</v>
      </c>
      <c r="D5774" t="s">
        <v>285</v>
      </c>
      <c r="E5774">
        <v>2024</v>
      </c>
      <c r="F5774">
        <v>1</v>
      </c>
    </row>
    <row r="5775" spans="1:6" x14ac:dyDescent="0.55000000000000004">
      <c r="A5775" t="s">
        <v>159</v>
      </c>
      <c r="B5775" t="s">
        <v>41</v>
      </c>
      <c r="C5775">
        <v>253350.0061</v>
      </c>
      <c r="D5775" t="s">
        <v>285</v>
      </c>
      <c r="E5775">
        <v>2024</v>
      </c>
      <c r="F5775">
        <v>1</v>
      </c>
    </row>
    <row r="5776" spans="1:6" x14ac:dyDescent="0.55000000000000004">
      <c r="A5776" t="s">
        <v>159</v>
      </c>
      <c r="B5776" t="s">
        <v>42</v>
      </c>
      <c r="C5776">
        <v>37.936199999999999</v>
      </c>
      <c r="D5776" t="s">
        <v>285</v>
      </c>
      <c r="E5776">
        <v>2024</v>
      </c>
      <c r="F5776">
        <v>1</v>
      </c>
    </row>
    <row r="5777" spans="1:6" x14ac:dyDescent="0.55000000000000004">
      <c r="A5777" t="s">
        <v>159</v>
      </c>
      <c r="B5777" t="s">
        <v>43</v>
      </c>
      <c r="C5777">
        <v>134399.99069999999</v>
      </c>
      <c r="D5777" t="s">
        <v>285</v>
      </c>
      <c r="E5777">
        <v>2024</v>
      </c>
      <c r="F5777">
        <v>1</v>
      </c>
    </row>
    <row r="5778" spans="1:6" x14ac:dyDescent="0.55000000000000004">
      <c r="A5778" t="s">
        <v>159</v>
      </c>
      <c r="B5778" t="s">
        <v>44</v>
      </c>
      <c r="C5778">
        <v>0</v>
      </c>
      <c r="D5778" t="s">
        <v>285</v>
      </c>
      <c r="E5778">
        <v>2024</v>
      </c>
      <c r="F5778">
        <v>1</v>
      </c>
    </row>
    <row r="5779" spans="1:6" x14ac:dyDescent="0.55000000000000004">
      <c r="A5779" t="s">
        <v>159</v>
      </c>
      <c r="B5779" t="s">
        <v>45</v>
      </c>
      <c r="C5779">
        <v>2029.3142</v>
      </c>
      <c r="D5779" t="s">
        <v>285</v>
      </c>
      <c r="E5779">
        <v>2024</v>
      </c>
      <c r="F5779">
        <v>1</v>
      </c>
    </row>
    <row r="5780" spans="1:6" x14ac:dyDescent="0.55000000000000004">
      <c r="A5780" t="s">
        <v>159</v>
      </c>
      <c r="B5780" t="s">
        <v>46</v>
      </c>
      <c r="C5780">
        <v>58439.06</v>
      </c>
      <c r="D5780" t="s">
        <v>285</v>
      </c>
      <c r="E5780">
        <v>2024</v>
      </c>
      <c r="F5780">
        <v>1</v>
      </c>
    </row>
    <row r="5781" spans="1:6" x14ac:dyDescent="0.55000000000000004">
      <c r="A5781" t="s">
        <v>159</v>
      </c>
      <c r="B5781" t="s">
        <v>47</v>
      </c>
      <c r="C5781">
        <v>0</v>
      </c>
      <c r="D5781" t="s">
        <v>285</v>
      </c>
      <c r="E5781">
        <v>2024</v>
      </c>
      <c r="F5781">
        <v>1</v>
      </c>
    </row>
    <row r="5782" spans="1:6" x14ac:dyDescent="0.55000000000000004">
      <c r="A5782" t="s">
        <v>159</v>
      </c>
      <c r="B5782" t="s">
        <v>48</v>
      </c>
      <c r="C5782">
        <v>437690.84749999997</v>
      </c>
      <c r="D5782" t="s">
        <v>285</v>
      </c>
      <c r="E5782">
        <v>2024</v>
      </c>
      <c r="F5782">
        <v>1</v>
      </c>
    </row>
    <row r="5783" spans="1:6" x14ac:dyDescent="0.55000000000000004">
      <c r="A5783" t="s">
        <v>159</v>
      </c>
      <c r="B5783" t="s">
        <v>49</v>
      </c>
      <c r="C5783">
        <v>0.96550000000000002</v>
      </c>
      <c r="D5783" t="s">
        <v>285</v>
      </c>
      <c r="E5783">
        <v>2024</v>
      </c>
      <c r="F5783">
        <v>1</v>
      </c>
    </row>
    <row r="5784" spans="1:6" x14ac:dyDescent="0.55000000000000004">
      <c r="A5784" t="s">
        <v>159</v>
      </c>
      <c r="B5784" t="s">
        <v>50</v>
      </c>
      <c r="C5784">
        <v>21089.9997</v>
      </c>
      <c r="D5784" t="s">
        <v>285</v>
      </c>
      <c r="E5784">
        <v>2024</v>
      </c>
      <c r="F5784">
        <v>1</v>
      </c>
    </row>
    <row r="5785" spans="1:6" x14ac:dyDescent="0.55000000000000004">
      <c r="A5785" t="s">
        <v>159</v>
      </c>
      <c r="B5785" t="s">
        <v>51</v>
      </c>
      <c r="C5785">
        <v>2200</v>
      </c>
      <c r="D5785" t="s">
        <v>285</v>
      </c>
      <c r="E5785">
        <v>2024</v>
      </c>
      <c r="F5785">
        <v>1</v>
      </c>
    </row>
    <row r="5786" spans="1:6" x14ac:dyDescent="0.55000000000000004">
      <c r="A5786" t="s">
        <v>159</v>
      </c>
      <c r="B5786" t="s">
        <v>52</v>
      </c>
      <c r="C5786">
        <v>22.642700000000001</v>
      </c>
      <c r="D5786" t="s">
        <v>285</v>
      </c>
      <c r="E5786">
        <v>2024</v>
      </c>
      <c r="F5786">
        <v>1</v>
      </c>
    </row>
    <row r="5787" spans="1:6" x14ac:dyDescent="0.55000000000000004">
      <c r="A5787" t="s">
        <v>159</v>
      </c>
      <c r="B5787" t="s">
        <v>53</v>
      </c>
      <c r="C5787">
        <v>98213.23</v>
      </c>
      <c r="D5787" t="s">
        <v>285</v>
      </c>
      <c r="E5787">
        <v>2024</v>
      </c>
      <c r="F5787">
        <v>1</v>
      </c>
    </row>
    <row r="5788" spans="1:6" x14ac:dyDescent="0.55000000000000004">
      <c r="A5788" t="s">
        <v>159</v>
      </c>
      <c r="B5788" t="s">
        <v>54</v>
      </c>
      <c r="C5788">
        <v>15122.193600000001</v>
      </c>
      <c r="D5788" t="s">
        <v>285</v>
      </c>
      <c r="E5788">
        <v>2024</v>
      </c>
      <c r="F5788">
        <v>1</v>
      </c>
    </row>
    <row r="5789" spans="1:6" x14ac:dyDescent="0.55000000000000004">
      <c r="A5789" t="s">
        <v>159</v>
      </c>
      <c r="B5789" t="s">
        <v>55</v>
      </c>
      <c r="C5789">
        <v>4714.3333000000002</v>
      </c>
      <c r="D5789" t="s">
        <v>285</v>
      </c>
      <c r="E5789">
        <v>2024</v>
      </c>
      <c r="F5789">
        <v>1</v>
      </c>
    </row>
    <row r="5790" spans="1:6" x14ac:dyDescent="0.55000000000000004">
      <c r="A5790" t="s">
        <v>159</v>
      </c>
      <c r="B5790" t="s">
        <v>56</v>
      </c>
      <c r="C5790">
        <v>10061.620000000001</v>
      </c>
      <c r="D5790" t="s">
        <v>285</v>
      </c>
      <c r="E5790">
        <v>2024</v>
      </c>
      <c r="F5790">
        <v>1</v>
      </c>
    </row>
    <row r="5791" spans="1:6" x14ac:dyDescent="0.55000000000000004">
      <c r="A5791" t="s">
        <v>159</v>
      </c>
      <c r="B5791" t="s">
        <v>57</v>
      </c>
      <c r="C5791">
        <v>156.15010000000001</v>
      </c>
      <c r="D5791" t="s">
        <v>285</v>
      </c>
      <c r="E5791">
        <v>2024</v>
      </c>
      <c r="F5791">
        <v>1</v>
      </c>
    </row>
    <row r="5792" spans="1:6" x14ac:dyDescent="0.55000000000000004">
      <c r="A5792" t="s">
        <v>159</v>
      </c>
      <c r="B5792" t="s">
        <v>58</v>
      </c>
      <c r="C5792">
        <v>481586</v>
      </c>
      <c r="D5792" t="s">
        <v>285</v>
      </c>
      <c r="E5792">
        <v>2024</v>
      </c>
      <c r="F5792">
        <v>1</v>
      </c>
    </row>
    <row r="5793" spans="1:6" x14ac:dyDescent="0.55000000000000004">
      <c r="A5793" t="s">
        <v>159</v>
      </c>
      <c r="B5793" t="s">
        <v>59</v>
      </c>
      <c r="C5793">
        <v>4400</v>
      </c>
      <c r="D5793" t="s">
        <v>285</v>
      </c>
      <c r="E5793">
        <v>2024</v>
      </c>
      <c r="F5793">
        <v>1</v>
      </c>
    </row>
    <row r="5794" spans="1:6" x14ac:dyDescent="0.55000000000000004">
      <c r="A5794" t="s">
        <v>159</v>
      </c>
      <c r="B5794" t="s">
        <v>60</v>
      </c>
      <c r="C5794">
        <v>4012790.7163</v>
      </c>
      <c r="D5794" t="s">
        <v>285</v>
      </c>
      <c r="E5794">
        <v>2024</v>
      </c>
      <c r="F5794">
        <v>1</v>
      </c>
    </row>
    <row r="5795" spans="1:6" x14ac:dyDescent="0.55000000000000004">
      <c r="A5795" t="s">
        <v>159</v>
      </c>
      <c r="B5795" t="s">
        <v>61</v>
      </c>
      <c r="C5795">
        <v>2500.9953999999998</v>
      </c>
      <c r="D5795" t="s">
        <v>285</v>
      </c>
      <c r="E5795">
        <v>2024</v>
      </c>
      <c r="F5795">
        <v>1</v>
      </c>
    </row>
    <row r="5796" spans="1:6" x14ac:dyDescent="0.55000000000000004">
      <c r="A5796" t="s">
        <v>159</v>
      </c>
      <c r="B5796" t="s">
        <v>62</v>
      </c>
      <c r="C5796">
        <v>6803</v>
      </c>
      <c r="D5796" t="s">
        <v>285</v>
      </c>
      <c r="E5796">
        <v>2024</v>
      </c>
      <c r="F5796">
        <v>1</v>
      </c>
    </row>
    <row r="5797" spans="1:6" x14ac:dyDescent="0.55000000000000004">
      <c r="A5797" t="s">
        <v>159</v>
      </c>
      <c r="B5797" t="s">
        <v>63</v>
      </c>
      <c r="C5797">
        <v>960</v>
      </c>
      <c r="D5797" t="s">
        <v>285</v>
      </c>
      <c r="E5797">
        <v>2024</v>
      </c>
      <c r="F5797">
        <v>1</v>
      </c>
    </row>
    <row r="5798" spans="1:6" x14ac:dyDescent="0.55000000000000004">
      <c r="A5798" t="s">
        <v>160</v>
      </c>
      <c r="B5798" t="s">
        <v>4</v>
      </c>
      <c r="C5798">
        <v>11392962.5152</v>
      </c>
      <c r="D5798" t="s">
        <v>286</v>
      </c>
      <c r="E5798">
        <v>2024</v>
      </c>
      <c r="F5798">
        <v>2</v>
      </c>
    </row>
    <row r="5799" spans="1:6" x14ac:dyDescent="0.55000000000000004">
      <c r="A5799" t="s">
        <v>160</v>
      </c>
      <c r="B5799" t="s">
        <v>5</v>
      </c>
      <c r="C5799">
        <v>1168200.7341</v>
      </c>
      <c r="D5799" t="s">
        <v>286</v>
      </c>
      <c r="E5799">
        <v>2024</v>
      </c>
      <c r="F5799">
        <v>2</v>
      </c>
    </row>
    <row r="5800" spans="1:6" x14ac:dyDescent="0.55000000000000004">
      <c r="A5800" t="s">
        <v>160</v>
      </c>
      <c r="B5800" t="s">
        <v>6</v>
      </c>
      <c r="C5800">
        <v>2119978.7464999999</v>
      </c>
      <c r="D5800" t="s">
        <v>286</v>
      </c>
      <c r="E5800">
        <v>2024</v>
      </c>
      <c r="F5800">
        <v>2</v>
      </c>
    </row>
    <row r="5801" spans="1:6" x14ac:dyDescent="0.55000000000000004">
      <c r="A5801" t="s">
        <v>160</v>
      </c>
      <c r="B5801" t="s">
        <v>7</v>
      </c>
      <c r="C5801">
        <v>3330656.1886</v>
      </c>
      <c r="D5801" t="s">
        <v>286</v>
      </c>
      <c r="E5801">
        <v>2024</v>
      </c>
      <c r="F5801">
        <v>2</v>
      </c>
    </row>
    <row r="5802" spans="1:6" x14ac:dyDescent="0.55000000000000004">
      <c r="A5802" t="s">
        <v>160</v>
      </c>
      <c r="B5802" t="s">
        <v>8</v>
      </c>
      <c r="C5802">
        <v>4774126.8459999999</v>
      </c>
      <c r="D5802" t="s">
        <v>286</v>
      </c>
      <c r="E5802">
        <v>2024</v>
      </c>
      <c r="F5802">
        <v>2</v>
      </c>
    </row>
    <row r="5803" spans="1:6" x14ac:dyDescent="0.55000000000000004">
      <c r="A5803" t="s">
        <v>160</v>
      </c>
      <c r="B5803" t="s">
        <v>9</v>
      </c>
      <c r="C5803">
        <v>920.01670000000001</v>
      </c>
      <c r="D5803" t="s">
        <v>286</v>
      </c>
      <c r="E5803">
        <v>2024</v>
      </c>
      <c r="F5803">
        <v>2</v>
      </c>
    </row>
    <row r="5804" spans="1:6" x14ac:dyDescent="0.55000000000000004">
      <c r="A5804" t="s">
        <v>160</v>
      </c>
      <c r="B5804" t="s">
        <v>10</v>
      </c>
      <c r="C5804">
        <v>2649.107</v>
      </c>
      <c r="D5804" t="s">
        <v>286</v>
      </c>
      <c r="E5804">
        <v>2024</v>
      </c>
      <c r="F5804">
        <v>2</v>
      </c>
    </row>
    <row r="5805" spans="1:6" x14ac:dyDescent="0.55000000000000004">
      <c r="A5805" t="s">
        <v>160</v>
      </c>
      <c r="B5805" t="s">
        <v>11</v>
      </c>
      <c r="C5805">
        <v>3742175.4912</v>
      </c>
      <c r="D5805" t="s">
        <v>286</v>
      </c>
      <c r="E5805">
        <v>2024</v>
      </c>
      <c r="F5805">
        <v>2</v>
      </c>
    </row>
    <row r="5806" spans="1:6" x14ac:dyDescent="0.55000000000000004">
      <c r="A5806" t="s">
        <v>160</v>
      </c>
      <c r="B5806" t="s">
        <v>12</v>
      </c>
      <c r="C5806">
        <v>6300</v>
      </c>
      <c r="D5806" t="s">
        <v>286</v>
      </c>
      <c r="E5806">
        <v>2024</v>
      </c>
      <c r="F5806">
        <v>2</v>
      </c>
    </row>
    <row r="5807" spans="1:6" x14ac:dyDescent="0.55000000000000004">
      <c r="A5807" t="s">
        <v>160</v>
      </c>
      <c r="B5807" t="s">
        <v>13</v>
      </c>
      <c r="C5807">
        <v>10758.266</v>
      </c>
      <c r="D5807" t="s">
        <v>286</v>
      </c>
      <c r="E5807">
        <v>2024</v>
      </c>
      <c r="F5807">
        <v>2</v>
      </c>
    </row>
    <row r="5808" spans="1:6" x14ac:dyDescent="0.55000000000000004">
      <c r="A5808" t="s">
        <v>160</v>
      </c>
      <c r="B5808" t="s">
        <v>14</v>
      </c>
      <c r="C5808">
        <v>600</v>
      </c>
      <c r="D5808" t="s">
        <v>286</v>
      </c>
      <c r="E5808">
        <v>2024</v>
      </c>
      <c r="F5808">
        <v>2</v>
      </c>
    </row>
    <row r="5809" spans="1:6" x14ac:dyDescent="0.55000000000000004">
      <c r="A5809" t="s">
        <v>160</v>
      </c>
      <c r="B5809" t="s">
        <v>15</v>
      </c>
      <c r="C5809">
        <v>1051144.2186</v>
      </c>
      <c r="D5809" t="s">
        <v>286</v>
      </c>
      <c r="E5809">
        <v>2024</v>
      </c>
      <c r="F5809">
        <v>2</v>
      </c>
    </row>
    <row r="5810" spans="1:6" x14ac:dyDescent="0.55000000000000004">
      <c r="A5810" t="s">
        <v>160</v>
      </c>
      <c r="B5810" t="s">
        <v>16</v>
      </c>
      <c r="C5810">
        <v>0</v>
      </c>
      <c r="D5810" t="s">
        <v>286</v>
      </c>
      <c r="E5810">
        <v>2024</v>
      </c>
      <c r="F5810">
        <v>2</v>
      </c>
    </row>
    <row r="5811" spans="1:6" x14ac:dyDescent="0.55000000000000004">
      <c r="A5811" t="s">
        <v>160</v>
      </c>
      <c r="B5811" t="s">
        <v>17</v>
      </c>
      <c r="C5811">
        <v>58899.527999999998</v>
      </c>
      <c r="D5811" t="s">
        <v>286</v>
      </c>
      <c r="E5811">
        <v>2024</v>
      </c>
      <c r="F5811">
        <v>2</v>
      </c>
    </row>
    <row r="5812" spans="1:6" x14ac:dyDescent="0.55000000000000004">
      <c r="A5812" t="s">
        <v>160</v>
      </c>
      <c r="B5812" t="s">
        <v>18</v>
      </c>
      <c r="C5812">
        <v>96570.683099999995</v>
      </c>
      <c r="D5812" t="s">
        <v>286</v>
      </c>
      <c r="E5812">
        <v>2024</v>
      </c>
      <c r="F5812">
        <v>2</v>
      </c>
    </row>
    <row r="5813" spans="1:6" x14ac:dyDescent="0.55000000000000004">
      <c r="A5813" t="s">
        <v>160</v>
      </c>
      <c r="B5813" t="s">
        <v>19</v>
      </c>
      <c r="C5813">
        <v>1599.9992999999999</v>
      </c>
      <c r="D5813" t="s">
        <v>286</v>
      </c>
      <c r="E5813">
        <v>2024</v>
      </c>
      <c r="F5813">
        <v>2</v>
      </c>
    </row>
    <row r="5814" spans="1:6" x14ac:dyDescent="0.55000000000000004">
      <c r="A5814" t="s">
        <v>160</v>
      </c>
      <c r="B5814" t="s">
        <v>20</v>
      </c>
      <c r="C5814">
        <v>13500</v>
      </c>
      <c r="D5814" t="s">
        <v>286</v>
      </c>
      <c r="E5814">
        <v>2024</v>
      </c>
      <c r="F5814">
        <v>2</v>
      </c>
    </row>
    <row r="5815" spans="1:6" x14ac:dyDescent="0.55000000000000004">
      <c r="A5815" t="s">
        <v>160</v>
      </c>
      <c r="B5815" t="s">
        <v>21</v>
      </c>
      <c r="C5815">
        <v>2099.9960999999998</v>
      </c>
      <c r="D5815" t="s">
        <v>286</v>
      </c>
      <c r="E5815">
        <v>2024</v>
      </c>
      <c r="F5815">
        <v>2</v>
      </c>
    </row>
    <row r="5816" spans="1:6" x14ac:dyDescent="0.55000000000000004">
      <c r="A5816" t="s">
        <v>160</v>
      </c>
      <c r="B5816" t="s">
        <v>22</v>
      </c>
      <c r="C5816">
        <v>52789.012199999997</v>
      </c>
      <c r="D5816" t="s">
        <v>286</v>
      </c>
      <c r="E5816">
        <v>2024</v>
      </c>
      <c r="F5816">
        <v>2</v>
      </c>
    </row>
    <row r="5817" spans="1:6" x14ac:dyDescent="0.55000000000000004">
      <c r="A5817" t="s">
        <v>160</v>
      </c>
      <c r="B5817" t="s">
        <v>23</v>
      </c>
      <c r="C5817">
        <v>40786.332999999999</v>
      </c>
      <c r="D5817" t="s">
        <v>286</v>
      </c>
      <c r="E5817">
        <v>2024</v>
      </c>
      <c r="F5817">
        <v>2</v>
      </c>
    </row>
    <row r="5818" spans="1:6" x14ac:dyDescent="0.55000000000000004">
      <c r="A5818" t="s">
        <v>160</v>
      </c>
      <c r="B5818" t="s">
        <v>25</v>
      </c>
      <c r="C5818">
        <v>310000</v>
      </c>
      <c r="D5818" t="s">
        <v>286</v>
      </c>
      <c r="E5818">
        <v>2024</v>
      </c>
      <c r="F5818">
        <v>2</v>
      </c>
    </row>
    <row r="5819" spans="1:6" x14ac:dyDescent="0.55000000000000004">
      <c r="A5819" t="s">
        <v>160</v>
      </c>
      <c r="B5819" t="s">
        <v>27</v>
      </c>
      <c r="C5819">
        <v>2645.7863000000002</v>
      </c>
      <c r="D5819" t="s">
        <v>286</v>
      </c>
      <c r="E5819">
        <v>2024</v>
      </c>
      <c r="F5819">
        <v>2</v>
      </c>
    </row>
    <row r="5820" spans="1:6" x14ac:dyDescent="0.55000000000000004">
      <c r="A5820" t="s">
        <v>160</v>
      </c>
      <c r="B5820" t="s">
        <v>28</v>
      </c>
      <c r="C5820">
        <v>278803.60350000003</v>
      </c>
      <c r="D5820" t="s">
        <v>286</v>
      </c>
      <c r="E5820">
        <v>2024</v>
      </c>
      <c r="F5820">
        <v>2</v>
      </c>
    </row>
    <row r="5821" spans="1:6" x14ac:dyDescent="0.55000000000000004">
      <c r="A5821" t="s">
        <v>160</v>
      </c>
      <c r="B5821" t="s">
        <v>29</v>
      </c>
      <c r="C5821">
        <v>38184.800199999998</v>
      </c>
      <c r="D5821" t="s">
        <v>286</v>
      </c>
      <c r="E5821">
        <v>2024</v>
      </c>
      <c r="F5821">
        <v>2</v>
      </c>
    </row>
    <row r="5822" spans="1:6" x14ac:dyDescent="0.55000000000000004">
      <c r="A5822" t="s">
        <v>160</v>
      </c>
      <c r="B5822" t="s">
        <v>30</v>
      </c>
      <c r="C5822">
        <v>8.5875000000000004</v>
      </c>
      <c r="D5822" t="s">
        <v>286</v>
      </c>
      <c r="E5822">
        <v>2024</v>
      </c>
      <c r="F5822">
        <v>2</v>
      </c>
    </row>
    <row r="5823" spans="1:6" x14ac:dyDescent="0.55000000000000004">
      <c r="A5823" t="s">
        <v>160</v>
      </c>
      <c r="B5823" t="s">
        <v>31</v>
      </c>
      <c r="C5823">
        <v>0</v>
      </c>
      <c r="D5823" t="s">
        <v>286</v>
      </c>
      <c r="E5823">
        <v>2024</v>
      </c>
      <c r="F5823">
        <v>2</v>
      </c>
    </row>
    <row r="5824" spans="1:6" x14ac:dyDescent="0.55000000000000004">
      <c r="A5824" t="s">
        <v>160</v>
      </c>
      <c r="B5824" t="s">
        <v>32</v>
      </c>
      <c r="C5824">
        <v>578716.89</v>
      </c>
      <c r="D5824" t="s">
        <v>286</v>
      </c>
      <c r="E5824">
        <v>2024</v>
      </c>
      <c r="F5824">
        <v>2</v>
      </c>
    </row>
    <row r="5825" spans="1:6" x14ac:dyDescent="0.55000000000000004">
      <c r="A5825" t="s">
        <v>160</v>
      </c>
      <c r="B5825" t="s">
        <v>33</v>
      </c>
      <c r="C5825">
        <v>737736.65249999997</v>
      </c>
      <c r="D5825" t="s">
        <v>286</v>
      </c>
      <c r="E5825">
        <v>2024</v>
      </c>
      <c r="F5825">
        <v>2</v>
      </c>
    </row>
    <row r="5826" spans="1:6" x14ac:dyDescent="0.55000000000000004">
      <c r="A5826" t="s">
        <v>160</v>
      </c>
      <c r="B5826" t="s">
        <v>34</v>
      </c>
      <c r="C5826">
        <v>325487.50410000002</v>
      </c>
      <c r="D5826" t="s">
        <v>286</v>
      </c>
      <c r="E5826">
        <v>2024</v>
      </c>
      <c r="F5826">
        <v>2</v>
      </c>
    </row>
    <row r="5827" spans="1:6" x14ac:dyDescent="0.55000000000000004">
      <c r="A5827" t="s">
        <v>160</v>
      </c>
      <c r="B5827" t="s">
        <v>35</v>
      </c>
      <c r="C5827">
        <v>253.2672</v>
      </c>
      <c r="D5827" t="s">
        <v>286</v>
      </c>
      <c r="E5827">
        <v>2024</v>
      </c>
      <c r="F5827">
        <v>2</v>
      </c>
    </row>
    <row r="5828" spans="1:6" x14ac:dyDescent="0.55000000000000004">
      <c r="A5828" t="s">
        <v>160</v>
      </c>
      <c r="B5828" t="s">
        <v>36</v>
      </c>
      <c r="C5828">
        <v>48797.7255</v>
      </c>
      <c r="D5828" t="s">
        <v>286</v>
      </c>
      <c r="E5828">
        <v>2024</v>
      </c>
      <c r="F5828">
        <v>2</v>
      </c>
    </row>
    <row r="5829" spans="1:6" x14ac:dyDescent="0.55000000000000004">
      <c r="A5829" t="s">
        <v>160</v>
      </c>
      <c r="B5829" t="s">
        <v>37</v>
      </c>
      <c r="C5829">
        <v>36000.004999999997</v>
      </c>
      <c r="D5829" t="s">
        <v>286</v>
      </c>
      <c r="E5829">
        <v>2024</v>
      </c>
      <c r="F5829">
        <v>2</v>
      </c>
    </row>
    <row r="5830" spans="1:6" x14ac:dyDescent="0.55000000000000004">
      <c r="A5830" t="s">
        <v>160</v>
      </c>
      <c r="B5830" t="s">
        <v>39</v>
      </c>
      <c r="C5830">
        <v>0</v>
      </c>
      <c r="D5830" t="s">
        <v>286</v>
      </c>
      <c r="E5830">
        <v>2024</v>
      </c>
      <c r="F5830">
        <v>2</v>
      </c>
    </row>
    <row r="5831" spans="1:6" x14ac:dyDescent="0.55000000000000004">
      <c r="A5831" t="s">
        <v>160</v>
      </c>
      <c r="B5831" t="s">
        <v>40</v>
      </c>
      <c r="C5831">
        <v>1041.7094999999999</v>
      </c>
      <c r="D5831" t="s">
        <v>286</v>
      </c>
      <c r="E5831">
        <v>2024</v>
      </c>
      <c r="F5831">
        <v>2</v>
      </c>
    </row>
    <row r="5832" spans="1:6" x14ac:dyDescent="0.55000000000000004">
      <c r="A5832" t="s">
        <v>160</v>
      </c>
      <c r="B5832" t="s">
        <v>41</v>
      </c>
      <c r="C5832">
        <v>208050.01259999999</v>
      </c>
      <c r="D5832" t="s">
        <v>286</v>
      </c>
      <c r="E5832">
        <v>2024</v>
      </c>
      <c r="F5832">
        <v>2</v>
      </c>
    </row>
    <row r="5833" spans="1:6" x14ac:dyDescent="0.55000000000000004">
      <c r="A5833" t="s">
        <v>160</v>
      </c>
      <c r="B5833" t="s">
        <v>42</v>
      </c>
      <c r="C5833">
        <v>8.2817000000000007</v>
      </c>
      <c r="D5833" t="s">
        <v>286</v>
      </c>
      <c r="E5833">
        <v>2024</v>
      </c>
      <c r="F5833">
        <v>2</v>
      </c>
    </row>
    <row r="5834" spans="1:6" x14ac:dyDescent="0.55000000000000004">
      <c r="A5834" t="s">
        <v>160</v>
      </c>
      <c r="B5834" t="s">
        <v>43</v>
      </c>
      <c r="C5834">
        <v>196599.992</v>
      </c>
      <c r="D5834" t="s">
        <v>286</v>
      </c>
      <c r="E5834">
        <v>2024</v>
      </c>
      <c r="F5834">
        <v>2</v>
      </c>
    </row>
    <row r="5835" spans="1:6" x14ac:dyDescent="0.55000000000000004">
      <c r="A5835" t="s">
        <v>160</v>
      </c>
      <c r="B5835" t="s">
        <v>44</v>
      </c>
      <c r="C5835">
        <v>0</v>
      </c>
      <c r="D5835" t="s">
        <v>286</v>
      </c>
      <c r="E5835">
        <v>2024</v>
      </c>
      <c r="F5835">
        <v>2</v>
      </c>
    </row>
    <row r="5836" spans="1:6" x14ac:dyDescent="0.55000000000000004">
      <c r="A5836" t="s">
        <v>160</v>
      </c>
      <c r="B5836" t="s">
        <v>45</v>
      </c>
      <c r="C5836">
        <v>1610.2722000000001</v>
      </c>
      <c r="D5836" t="s">
        <v>286</v>
      </c>
      <c r="E5836">
        <v>2024</v>
      </c>
      <c r="F5836">
        <v>2</v>
      </c>
    </row>
    <row r="5837" spans="1:6" x14ac:dyDescent="0.55000000000000004">
      <c r="A5837" t="s">
        <v>160</v>
      </c>
      <c r="B5837" t="s">
        <v>46</v>
      </c>
      <c r="C5837">
        <v>83903.32</v>
      </c>
      <c r="D5837" t="s">
        <v>286</v>
      </c>
      <c r="E5837">
        <v>2024</v>
      </c>
      <c r="F5837">
        <v>2</v>
      </c>
    </row>
    <row r="5838" spans="1:6" x14ac:dyDescent="0.55000000000000004">
      <c r="A5838" t="s">
        <v>160</v>
      </c>
      <c r="B5838" t="s">
        <v>47</v>
      </c>
      <c r="C5838">
        <v>19.297799999999999</v>
      </c>
      <c r="D5838" t="s">
        <v>286</v>
      </c>
      <c r="E5838">
        <v>2024</v>
      </c>
      <c r="F5838">
        <v>2</v>
      </c>
    </row>
    <row r="5839" spans="1:6" x14ac:dyDescent="0.55000000000000004">
      <c r="A5839" t="s">
        <v>160</v>
      </c>
      <c r="B5839" t="s">
        <v>48</v>
      </c>
      <c r="C5839">
        <v>180897.7475</v>
      </c>
      <c r="D5839" t="s">
        <v>286</v>
      </c>
      <c r="E5839">
        <v>2024</v>
      </c>
      <c r="F5839">
        <v>2</v>
      </c>
    </row>
    <row r="5840" spans="1:6" x14ac:dyDescent="0.55000000000000004">
      <c r="A5840" t="s">
        <v>160</v>
      </c>
      <c r="B5840" t="s">
        <v>49</v>
      </c>
      <c r="C5840">
        <v>339.33199999999999</v>
      </c>
      <c r="D5840" t="s">
        <v>286</v>
      </c>
      <c r="E5840">
        <v>2024</v>
      </c>
      <c r="F5840">
        <v>2</v>
      </c>
    </row>
    <row r="5841" spans="1:6" x14ac:dyDescent="0.55000000000000004">
      <c r="A5841" t="s">
        <v>160</v>
      </c>
      <c r="B5841" t="s">
        <v>50</v>
      </c>
      <c r="C5841">
        <v>19089.9997</v>
      </c>
      <c r="D5841" t="s">
        <v>286</v>
      </c>
      <c r="E5841">
        <v>2024</v>
      </c>
      <c r="F5841">
        <v>2</v>
      </c>
    </row>
    <row r="5842" spans="1:6" x14ac:dyDescent="0.55000000000000004">
      <c r="A5842" t="s">
        <v>160</v>
      </c>
      <c r="B5842" t="s">
        <v>51</v>
      </c>
      <c r="C5842">
        <v>2100</v>
      </c>
      <c r="D5842" t="s">
        <v>286</v>
      </c>
      <c r="E5842">
        <v>2024</v>
      </c>
      <c r="F5842">
        <v>2</v>
      </c>
    </row>
    <row r="5843" spans="1:6" x14ac:dyDescent="0.55000000000000004">
      <c r="A5843" t="s">
        <v>160</v>
      </c>
      <c r="B5843" t="s">
        <v>52</v>
      </c>
      <c r="C5843">
        <v>46.953699999999998</v>
      </c>
      <c r="D5843" t="s">
        <v>286</v>
      </c>
      <c r="E5843">
        <v>2024</v>
      </c>
      <c r="F5843">
        <v>2</v>
      </c>
    </row>
    <row r="5844" spans="1:6" x14ac:dyDescent="0.55000000000000004">
      <c r="A5844" t="s">
        <v>160</v>
      </c>
      <c r="B5844" t="s">
        <v>53</v>
      </c>
      <c r="C5844">
        <v>100933.07</v>
      </c>
      <c r="D5844" t="s">
        <v>286</v>
      </c>
      <c r="E5844">
        <v>2024</v>
      </c>
      <c r="F5844">
        <v>2</v>
      </c>
    </row>
    <row r="5845" spans="1:6" x14ac:dyDescent="0.55000000000000004">
      <c r="A5845" t="s">
        <v>160</v>
      </c>
      <c r="B5845" t="s">
        <v>54</v>
      </c>
      <c r="C5845">
        <v>16891.169600000001</v>
      </c>
      <c r="D5845" t="s">
        <v>286</v>
      </c>
      <c r="E5845">
        <v>2024</v>
      </c>
      <c r="F5845">
        <v>2</v>
      </c>
    </row>
    <row r="5846" spans="1:6" x14ac:dyDescent="0.55000000000000004">
      <c r="A5846" t="s">
        <v>160</v>
      </c>
      <c r="B5846" t="s">
        <v>55</v>
      </c>
      <c r="C5846">
        <v>12176.6167</v>
      </c>
      <c r="D5846" t="s">
        <v>286</v>
      </c>
      <c r="E5846">
        <v>2024</v>
      </c>
      <c r="F5846">
        <v>2</v>
      </c>
    </row>
    <row r="5847" spans="1:6" x14ac:dyDescent="0.55000000000000004">
      <c r="A5847" t="s">
        <v>160</v>
      </c>
      <c r="B5847" t="s">
        <v>56</v>
      </c>
      <c r="C5847">
        <v>11631.4</v>
      </c>
      <c r="D5847" t="s">
        <v>286</v>
      </c>
      <c r="E5847">
        <v>2024</v>
      </c>
      <c r="F5847">
        <v>2</v>
      </c>
    </row>
    <row r="5848" spans="1:6" x14ac:dyDescent="0.55000000000000004">
      <c r="A5848" t="s">
        <v>160</v>
      </c>
      <c r="B5848" t="s">
        <v>57</v>
      </c>
      <c r="C5848">
        <v>582.55679999999995</v>
      </c>
      <c r="D5848" t="s">
        <v>286</v>
      </c>
      <c r="E5848">
        <v>2024</v>
      </c>
      <c r="F5848">
        <v>2</v>
      </c>
    </row>
    <row r="5849" spans="1:6" x14ac:dyDescent="0.55000000000000004">
      <c r="A5849" t="s">
        <v>160</v>
      </c>
      <c r="B5849" t="s">
        <v>58</v>
      </c>
      <c r="C5849">
        <v>434582</v>
      </c>
      <c r="D5849" t="s">
        <v>286</v>
      </c>
      <c r="E5849">
        <v>2024</v>
      </c>
      <c r="F5849">
        <v>2</v>
      </c>
    </row>
    <row r="5850" spans="1:6" x14ac:dyDescent="0.55000000000000004">
      <c r="A5850" t="s">
        <v>160</v>
      </c>
      <c r="B5850" t="s">
        <v>59</v>
      </c>
      <c r="C5850">
        <v>2900</v>
      </c>
      <c r="D5850" t="s">
        <v>286</v>
      </c>
      <c r="E5850">
        <v>2024</v>
      </c>
      <c r="F5850">
        <v>2</v>
      </c>
    </row>
    <row r="5851" spans="1:6" x14ac:dyDescent="0.55000000000000004">
      <c r="A5851" t="s">
        <v>160</v>
      </c>
      <c r="B5851" t="s">
        <v>60</v>
      </c>
      <c r="C5851">
        <v>2671066.5269999998</v>
      </c>
      <c r="D5851" t="s">
        <v>286</v>
      </c>
      <c r="E5851">
        <v>2024</v>
      </c>
      <c r="F5851">
        <v>2</v>
      </c>
    </row>
    <row r="5852" spans="1:6" x14ac:dyDescent="0.55000000000000004">
      <c r="A5852" t="s">
        <v>160</v>
      </c>
      <c r="B5852" t="s">
        <v>61</v>
      </c>
      <c r="C5852">
        <v>4993.7834000000003</v>
      </c>
      <c r="D5852" t="s">
        <v>286</v>
      </c>
      <c r="E5852">
        <v>2024</v>
      </c>
      <c r="F5852">
        <v>2</v>
      </c>
    </row>
    <row r="5853" spans="1:6" x14ac:dyDescent="0.55000000000000004">
      <c r="A5853" t="s">
        <v>160</v>
      </c>
      <c r="B5853" t="s">
        <v>62</v>
      </c>
      <c r="C5853">
        <v>6071</v>
      </c>
      <c r="D5853" t="s">
        <v>286</v>
      </c>
      <c r="E5853">
        <v>2024</v>
      </c>
      <c r="F5853">
        <v>2</v>
      </c>
    </row>
    <row r="5854" spans="1:6" x14ac:dyDescent="0.55000000000000004">
      <c r="A5854" t="s">
        <v>160</v>
      </c>
      <c r="B5854" t="s">
        <v>63</v>
      </c>
      <c r="C5854">
        <v>0</v>
      </c>
      <c r="D5854" t="s">
        <v>286</v>
      </c>
      <c r="E5854">
        <v>2024</v>
      </c>
      <c r="F5854">
        <v>2</v>
      </c>
    </row>
    <row r="5855" spans="1:6" x14ac:dyDescent="0.55000000000000004">
      <c r="A5855" t="s">
        <v>161</v>
      </c>
      <c r="B5855" t="s">
        <v>4</v>
      </c>
      <c r="C5855">
        <v>12820428.350299999</v>
      </c>
      <c r="D5855" t="s">
        <v>287</v>
      </c>
      <c r="E5855">
        <v>2024</v>
      </c>
      <c r="F5855">
        <v>3</v>
      </c>
    </row>
    <row r="5856" spans="1:6" x14ac:dyDescent="0.55000000000000004">
      <c r="A5856" t="s">
        <v>161</v>
      </c>
      <c r="B5856" t="s">
        <v>5</v>
      </c>
      <c r="C5856">
        <v>1153988.2089</v>
      </c>
      <c r="D5856" t="s">
        <v>287</v>
      </c>
      <c r="E5856">
        <v>2024</v>
      </c>
      <c r="F5856">
        <v>3</v>
      </c>
    </row>
    <row r="5857" spans="1:6" x14ac:dyDescent="0.55000000000000004">
      <c r="A5857" t="s">
        <v>161</v>
      </c>
      <c r="B5857" t="s">
        <v>6</v>
      </c>
      <c r="C5857">
        <v>2429082.0868000002</v>
      </c>
      <c r="D5857" t="s">
        <v>287</v>
      </c>
      <c r="E5857">
        <v>2024</v>
      </c>
      <c r="F5857">
        <v>3</v>
      </c>
    </row>
    <row r="5858" spans="1:6" x14ac:dyDescent="0.55000000000000004">
      <c r="A5858" t="s">
        <v>161</v>
      </c>
      <c r="B5858" t="s">
        <v>7</v>
      </c>
      <c r="C5858">
        <v>3782294.2483000001</v>
      </c>
      <c r="D5858" t="s">
        <v>287</v>
      </c>
      <c r="E5858">
        <v>2024</v>
      </c>
      <c r="F5858">
        <v>3</v>
      </c>
    </row>
    <row r="5859" spans="1:6" x14ac:dyDescent="0.55000000000000004">
      <c r="A5859" t="s">
        <v>161</v>
      </c>
      <c r="B5859" t="s">
        <v>8</v>
      </c>
      <c r="C5859">
        <v>5455063.8063000003</v>
      </c>
      <c r="D5859" t="s">
        <v>287</v>
      </c>
      <c r="E5859">
        <v>2024</v>
      </c>
      <c r="F5859">
        <v>3</v>
      </c>
    </row>
    <row r="5860" spans="1:6" x14ac:dyDescent="0.55000000000000004">
      <c r="A5860" t="s">
        <v>161</v>
      </c>
      <c r="B5860" t="s">
        <v>9</v>
      </c>
      <c r="C5860">
        <v>1505.4149</v>
      </c>
      <c r="D5860" t="s">
        <v>287</v>
      </c>
      <c r="E5860">
        <v>2024</v>
      </c>
      <c r="F5860">
        <v>3</v>
      </c>
    </row>
    <row r="5861" spans="1:6" x14ac:dyDescent="0.55000000000000004">
      <c r="A5861" t="s">
        <v>161</v>
      </c>
      <c r="B5861" t="s">
        <v>10</v>
      </c>
      <c r="C5861">
        <v>2975.4450000000002</v>
      </c>
      <c r="D5861" t="s">
        <v>287</v>
      </c>
      <c r="E5861">
        <v>2024</v>
      </c>
      <c r="F5861">
        <v>3</v>
      </c>
    </row>
    <row r="5862" spans="1:6" x14ac:dyDescent="0.55000000000000004">
      <c r="A5862" t="s">
        <v>161</v>
      </c>
      <c r="B5862" t="s">
        <v>11</v>
      </c>
      <c r="C5862">
        <v>4308615.3492999999</v>
      </c>
      <c r="D5862" t="s">
        <v>287</v>
      </c>
      <c r="E5862">
        <v>2024</v>
      </c>
      <c r="F5862">
        <v>3</v>
      </c>
    </row>
    <row r="5863" spans="1:6" x14ac:dyDescent="0.55000000000000004">
      <c r="A5863" t="s">
        <v>161</v>
      </c>
      <c r="B5863" t="s">
        <v>12</v>
      </c>
      <c r="C5863">
        <v>5100</v>
      </c>
      <c r="D5863" t="s">
        <v>287</v>
      </c>
      <c r="E5863">
        <v>2024</v>
      </c>
      <c r="F5863">
        <v>3</v>
      </c>
    </row>
    <row r="5864" spans="1:6" x14ac:dyDescent="0.55000000000000004">
      <c r="A5864" t="s">
        <v>161</v>
      </c>
      <c r="B5864" t="s">
        <v>13</v>
      </c>
      <c r="C5864">
        <v>6087.0334000000003</v>
      </c>
      <c r="D5864" t="s">
        <v>287</v>
      </c>
      <c r="E5864">
        <v>2024</v>
      </c>
      <c r="F5864">
        <v>3</v>
      </c>
    </row>
    <row r="5865" spans="1:6" x14ac:dyDescent="0.55000000000000004">
      <c r="A5865" t="s">
        <v>161</v>
      </c>
      <c r="B5865" t="s">
        <v>14</v>
      </c>
      <c r="C5865">
        <v>3900</v>
      </c>
      <c r="D5865" t="s">
        <v>287</v>
      </c>
      <c r="E5865">
        <v>2024</v>
      </c>
      <c r="F5865">
        <v>3</v>
      </c>
    </row>
    <row r="5866" spans="1:6" x14ac:dyDescent="0.55000000000000004">
      <c r="A5866" t="s">
        <v>161</v>
      </c>
      <c r="B5866" t="s">
        <v>15</v>
      </c>
      <c r="C5866">
        <v>1012978.8182</v>
      </c>
      <c r="D5866" t="s">
        <v>287</v>
      </c>
      <c r="E5866">
        <v>2024</v>
      </c>
      <c r="F5866">
        <v>3</v>
      </c>
    </row>
    <row r="5867" spans="1:6" x14ac:dyDescent="0.55000000000000004">
      <c r="A5867" t="s">
        <v>161</v>
      </c>
      <c r="B5867" t="s">
        <v>16</v>
      </c>
      <c r="C5867">
        <v>0</v>
      </c>
      <c r="D5867" t="s">
        <v>287</v>
      </c>
      <c r="E5867">
        <v>2024</v>
      </c>
      <c r="F5867">
        <v>3</v>
      </c>
    </row>
    <row r="5868" spans="1:6" x14ac:dyDescent="0.55000000000000004">
      <c r="A5868" t="s">
        <v>161</v>
      </c>
      <c r="B5868" t="s">
        <v>17</v>
      </c>
      <c r="C5868">
        <v>83742.949399999998</v>
      </c>
      <c r="D5868" t="s">
        <v>287</v>
      </c>
      <c r="E5868">
        <v>2024</v>
      </c>
      <c r="F5868">
        <v>3</v>
      </c>
    </row>
    <row r="5869" spans="1:6" x14ac:dyDescent="0.55000000000000004">
      <c r="A5869" t="s">
        <v>161</v>
      </c>
      <c r="B5869" t="s">
        <v>18</v>
      </c>
      <c r="C5869">
        <v>182834.86780000001</v>
      </c>
      <c r="D5869" t="s">
        <v>287</v>
      </c>
      <c r="E5869">
        <v>2024</v>
      </c>
      <c r="F5869">
        <v>3</v>
      </c>
    </row>
    <row r="5870" spans="1:6" x14ac:dyDescent="0.55000000000000004">
      <c r="A5870" t="s">
        <v>161</v>
      </c>
      <c r="B5870" t="s">
        <v>19</v>
      </c>
      <c r="C5870">
        <v>1599.9992999999999</v>
      </c>
      <c r="D5870" t="s">
        <v>287</v>
      </c>
      <c r="E5870">
        <v>2024</v>
      </c>
      <c r="F5870">
        <v>3</v>
      </c>
    </row>
    <row r="5871" spans="1:6" x14ac:dyDescent="0.55000000000000004">
      <c r="A5871" t="s">
        <v>161</v>
      </c>
      <c r="B5871" t="s">
        <v>20</v>
      </c>
      <c r="C5871">
        <v>13300</v>
      </c>
      <c r="D5871" t="s">
        <v>287</v>
      </c>
      <c r="E5871">
        <v>2024</v>
      </c>
      <c r="F5871">
        <v>3</v>
      </c>
    </row>
    <row r="5872" spans="1:6" x14ac:dyDescent="0.55000000000000004">
      <c r="A5872" t="s">
        <v>161</v>
      </c>
      <c r="B5872" t="s">
        <v>21</v>
      </c>
      <c r="C5872">
        <v>2099.9960999999998</v>
      </c>
      <c r="D5872" t="s">
        <v>287</v>
      </c>
      <c r="E5872">
        <v>2024</v>
      </c>
      <c r="F5872">
        <v>3</v>
      </c>
    </row>
    <row r="5873" spans="1:6" x14ac:dyDescent="0.55000000000000004">
      <c r="A5873" t="s">
        <v>161</v>
      </c>
      <c r="B5873" t="s">
        <v>22</v>
      </c>
      <c r="C5873">
        <v>41255.383999999998</v>
      </c>
      <c r="D5873" t="s">
        <v>287</v>
      </c>
      <c r="E5873">
        <v>2024</v>
      </c>
      <c r="F5873">
        <v>3</v>
      </c>
    </row>
    <row r="5874" spans="1:6" x14ac:dyDescent="0.55000000000000004">
      <c r="A5874" t="s">
        <v>161</v>
      </c>
      <c r="B5874" t="s">
        <v>23</v>
      </c>
      <c r="C5874">
        <v>67133.485100000005</v>
      </c>
      <c r="D5874" t="s">
        <v>287</v>
      </c>
      <c r="E5874">
        <v>2024</v>
      </c>
      <c r="F5874">
        <v>3</v>
      </c>
    </row>
    <row r="5875" spans="1:6" x14ac:dyDescent="0.55000000000000004">
      <c r="A5875" t="s">
        <v>161</v>
      </c>
      <c r="B5875" t="s">
        <v>25</v>
      </c>
      <c r="C5875">
        <v>380000</v>
      </c>
      <c r="D5875" t="s">
        <v>287</v>
      </c>
      <c r="E5875">
        <v>2024</v>
      </c>
      <c r="F5875">
        <v>3</v>
      </c>
    </row>
    <row r="5876" spans="1:6" x14ac:dyDescent="0.55000000000000004">
      <c r="A5876" t="s">
        <v>161</v>
      </c>
      <c r="B5876" t="s">
        <v>27</v>
      </c>
      <c r="C5876">
        <v>1016.4473</v>
      </c>
      <c r="D5876" t="s">
        <v>287</v>
      </c>
      <c r="E5876">
        <v>2024</v>
      </c>
      <c r="F5876">
        <v>3</v>
      </c>
    </row>
    <row r="5877" spans="1:6" x14ac:dyDescent="0.55000000000000004">
      <c r="A5877" t="s">
        <v>161</v>
      </c>
      <c r="B5877" t="s">
        <v>28</v>
      </c>
      <c r="C5877">
        <v>340840.91769999999</v>
      </c>
      <c r="D5877" t="s">
        <v>287</v>
      </c>
      <c r="E5877">
        <v>2024</v>
      </c>
      <c r="F5877">
        <v>3</v>
      </c>
    </row>
    <row r="5878" spans="1:6" x14ac:dyDescent="0.55000000000000004">
      <c r="A5878" t="s">
        <v>161</v>
      </c>
      <c r="B5878" t="s">
        <v>29</v>
      </c>
      <c r="C5878">
        <v>44055.333700000003</v>
      </c>
      <c r="D5878" t="s">
        <v>287</v>
      </c>
      <c r="E5878">
        <v>2024</v>
      </c>
      <c r="F5878">
        <v>3</v>
      </c>
    </row>
    <row r="5879" spans="1:6" x14ac:dyDescent="0.55000000000000004">
      <c r="A5879" t="s">
        <v>161</v>
      </c>
      <c r="B5879" t="s">
        <v>30</v>
      </c>
      <c r="C5879">
        <v>5.3891999999999998</v>
      </c>
      <c r="D5879" t="s">
        <v>287</v>
      </c>
      <c r="E5879">
        <v>2024</v>
      </c>
      <c r="F5879">
        <v>3</v>
      </c>
    </row>
    <row r="5880" spans="1:6" x14ac:dyDescent="0.55000000000000004">
      <c r="A5880" t="s">
        <v>161</v>
      </c>
      <c r="B5880" t="s">
        <v>31</v>
      </c>
      <c r="C5880">
        <v>10</v>
      </c>
      <c r="D5880" t="s">
        <v>287</v>
      </c>
      <c r="E5880">
        <v>2024</v>
      </c>
      <c r="F5880">
        <v>3</v>
      </c>
    </row>
    <row r="5881" spans="1:6" x14ac:dyDescent="0.55000000000000004">
      <c r="A5881" t="s">
        <v>161</v>
      </c>
      <c r="B5881" t="s">
        <v>32</v>
      </c>
      <c r="C5881">
        <v>721182.71</v>
      </c>
      <c r="D5881" t="s">
        <v>287</v>
      </c>
      <c r="E5881">
        <v>2024</v>
      </c>
      <c r="F5881">
        <v>3</v>
      </c>
    </row>
    <row r="5882" spans="1:6" x14ac:dyDescent="0.55000000000000004">
      <c r="A5882" t="s">
        <v>161</v>
      </c>
      <c r="B5882" t="s">
        <v>33</v>
      </c>
      <c r="C5882">
        <v>805950.21799999999</v>
      </c>
      <c r="D5882" t="s">
        <v>287</v>
      </c>
      <c r="E5882">
        <v>2024</v>
      </c>
      <c r="F5882">
        <v>3</v>
      </c>
    </row>
    <row r="5883" spans="1:6" x14ac:dyDescent="0.55000000000000004">
      <c r="A5883" t="s">
        <v>161</v>
      </c>
      <c r="B5883" t="s">
        <v>34</v>
      </c>
      <c r="C5883">
        <v>383285.57559999998</v>
      </c>
      <c r="D5883" t="s">
        <v>287</v>
      </c>
      <c r="E5883">
        <v>2024</v>
      </c>
      <c r="F5883">
        <v>3</v>
      </c>
    </row>
    <row r="5884" spans="1:6" x14ac:dyDescent="0.55000000000000004">
      <c r="A5884" t="s">
        <v>161</v>
      </c>
      <c r="B5884" t="s">
        <v>35</v>
      </c>
      <c r="C5884">
        <v>1406.8824</v>
      </c>
      <c r="D5884" t="s">
        <v>287</v>
      </c>
      <c r="E5884">
        <v>2024</v>
      </c>
      <c r="F5884">
        <v>3</v>
      </c>
    </row>
    <row r="5885" spans="1:6" x14ac:dyDescent="0.55000000000000004">
      <c r="A5885" t="s">
        <v>161</v>
      </c>
      <c r="B5885" t="s">
        <v>36</v>
      </c>
      <c r="C5885">
        <v>74411.9807</v>
      </c>
      <c r="D5885" t="s">
        <v>287</v>
      </c>
      <c r="E5885">
        <v>2024</v>
      </c>
      <c r="F5885">
        <v>3</v>
      </c>
    </row>
    <row r="5886" spans="1:6" x14ac:dyDescent="0.55000000000000004">
      <c r="A5886" t="s">
        <v>161</v>
      </c>
      <c r="B5886" t="s">
        <v>37</v>
      </c>
      <c r="C5886">
        <v>63699.996400000004</v>
      </c>
      <c r="D5886" t="s">
        <v>287</v>
      </c>
      <c r="E5886">
        <v>2024</v>
      </c>
      <c r="F5886">
        <v>3</v>
      </c>
    </row>
    <row r="5887" spans="1:6" x14ac:dyDescent="0.55000000000000004">
      <c r="A5887" t="s">
        <v>161</v>
      </c>
      <c r="B5887" t="s">
        <v>39</v>
      </c>
      <c r="C5887">
        <v>2.5329000000000002</v>
      </c>
      <c r="D5887" t="s">
        <v>287</v>
      </c>
      <c r="E5887">
        <v>2024</v>
      </c>
      <c r="F5887">
        <v>3</v>
      </c>
    </row>
    <row r="5888" spans="1:6" x14ac:dyDescent="0.55000000000000004">
      <c r="A5888" t="s">
        <v>161</v>
      </c>
      <c r="B5888" t="s">
        <v>40</v>
      </c>
      <c r="C5888">
        <v>1279.9974</v>
      </c>
      <c r="D5888" t="s">
        <v>287</v>
      </c>
      <c r="E5888">
        <v>2024</v>
      </c>
      <c r="F5888">
        <v>3</v>
      </c>
    </row>
    <row r="5889" spans="1:6" x14ac:dyDescent="0.55000000000000004">
      <c r="A5889" t="s">
        <v>161</v>
      </c>
      <c r="B5889" t="s">
        <v>41</v>
      </c>
      <c r="C5889">
        <v>217050.00260000001</v>
      </c>
      <c r="D5889" t="s">
        <v>287</v>
      </c>
      <c r="E5889">
        <v>2024</v>
      </c>
      <c r="F5889">
        <v>3</v>
      </c>
    </row>
    <row r="5890" spans="1:6" x14ac:dyDescent="0.55000000000000004">
      <c r="A5890" t="s">
        <v>161</v>
      </c>
      <c r="B5890" t="s">
        <v>42</v>
      </c>
      <c r="C5890">
        <v>185.21</v>
      </c>
      <c r="D5890" t="s">
        <v>287</v>
      </c>
      <c r="E5890">
        <v>2024</v>
      </c>
      <c r="F5890">
        <v>3</v>
      </c>
    </row>
    <row r="5891" spans="1:6" x14ac:dyDescent="0.55000000000000004">
      <c r="A5891" t="s">
        <v>161</v>
      </c>
      <c r="B5891" t="s">
        <v>43</v>
      </c>
      <c r="C5891">
        <v>247700.0116</v>
      </c>
      <c r="D5891" t="s">
        <v>287</v>
      </c>
      <c r="E5891">
        <v>2024</v>
      </c>
      <c r="F5891">
        <v>3</v>
      </c>
    </row>
    <row r="5892" spans="1:6" x14ac:dyDescent="0.55000000000000004">
      <c r="A5892" t="s">
        <v>161</v>
      </c>
      <c r="B5892" t="s">
        <v>44</v>
      </c>
      <c r="C5892">
        <v>0</v>
      </c>
      <c r="D5892" t="s">
        <v>287</v>
      </c>
      <c r="E5892">
        <v>2024</v>
      </c>
      <c r="F5892">
        <v>3</v>
      </c>
    </row>
    <row r="5893" spans="1:6" x14ac:dyDescent="0.55000000000000004">
      <c r="A5893" t="s">
        <v>161</v>
      </c>
      <c r="B5893" t="s">
        <v>45</v>
      </c>
      <c r="C5893">
        <v>2089.1839</v>
      </c>
      <c r="D5893" t="s">
        <v>287</v>
      </c>
      <c r="E5893">
        <v>2024</v>
      </c>
      <c r="F5893">
        <v>3</v>
      </c>
    </row>
    <row r="5894" spans="1:6" x14ac:dyDescent="0.55000000000000004">
      <c r="A5894" t="s">
        <v>161</v>
      </c>
      <c r="B5894" t="s">
        <v>46</v>
      </c>
      <c r="C5894">
        <v>67752.509999999995</v>
      </c>
      <c r="D5894" t="s">
        <v>287</v>
      </c>
      <c r="E5894">
        <v>2024</v>
      </c>
      <c r="F5894">
        <v>3</v>
      </c>
    </row>
    <row r="5895" spans="1:6" x14ac:dyDescent="0.55000000000000004">
      <c r="A5895" t="s">
        <v>161</v>
      </c>
      <c r="B5895" t="s">
        <v>47</v>
      </c>
      <c r="C5895">
        <v>0.41670000000000001</v>
      </c>
      <c r="D5895" t="s">
        <v>287</v>
      </c>
      <c r="E5895">
        <v>2024</v>
      </c>
      <c r="F5895">
        <v>3</v>
      </c>
    </row>
    <row r="5896" spans="1:6" x14ac:dyDescent="0.55000000000000004">
      <c r="A5896" t="s">
        <v>161</v>
      </c>
      <c r="B5896" t="s">
        <v>48</v>
      </c>
      <c r="C5896">
        <v>142870.36129999999</v>
      </c>
      <c r="D5896" t="s">
        <v>287</v>
      </c>
      <c r="E5896">
        <v>2024</v>
      </c>
      <c r="F5896">
        <v>3</v>
      </c>
    </row>
    <row r="5897" spans="1:6" x14ac:dyDescent="0.55000000000000004">
      <c r="A5897" t="s">
        <v>161</v>
      </c>
      <c r="B5897" t="s">
        <v>49</v>
      </c>
      <c r="C5897">
        <v>693.58669999999995</v>
      </c>
      <c r="D5897" t="s">
        <v>287</v>
      </c>
      <c r="E5897">
        <v>2024</v>
      </c>
      <c r="F5897">
        <v>3</v>
      </c>
    </row>
    <row r="5898" spans="1:6" x14ac:dyDescent="0.55000000000000004">
      <c r="A5898" t="s">
        <v>161</v>
      </c>
      <c r="B5898" t="s">
        <v>50</v>
      </c>
      <c r="C5898">
        <v>19089.9997</v>
      </c>
      <c r="D5898" t="s">
        <v>287</v>
      </c>
      <c r="E5898">
        <v>2024</v>
      </c>
      <c r="F5898">
        <v>3</v>
      </c>
    </row>
    <row r="5899" spans="1:6" x14ac:dyDescent="0.55000000000000004">
      <c r="A5899" t="s">
        <v>161</v>
      </c>
      <c r="B5899" t="s">
        <v>51</v>
      </c>
      <c r="C5899">
        <v>1900</v>
      </c>
      <c r="D5899" t="s">
        <v>287</v>
      </c>
      <c r="E5899">
        <v>2024</v>
      </c>
      <c r="F5899">
        <v>3</v>
      </c>
    </row>
    <row r="5900" spans="1:6" x14ac:dyDescent="0.55000000000000004">
      <c r="A5900" t="s">
        <v>161</v>
      </c>
      <c r="B5900" t="s">
        <v>52</v>
      </c>
      <c r="C5900">
        <v>477.36869999999999</v>
      </c>
      <c r="D5900" t="s">
        <v>287</v>
      </c>
      <c r="E5900">
        <v>2024</v>
      </c>
      <c r="F5900">
        <v>3</v>
      </c>
    </row>
    <row r="5901" spans="1:6" x14ac:dyDescent="0.55000000000000004">
      <c r="A5901" t="s">
        <v>161</v>
      </c>
      <c r="B5901" t="s">
        <v>53</v>
      </c>
      <c r="C5901">
        <v>76299.86</v>
      </c>
      <c r="D5901" t="s">
        <v>287</v>
      </c>
      <c r="E5901">
        <v>2024</v>
      </c>
      <c r="F5901">
        <v>3</v>
      </c>
    </row>
    <row r="5902" spans="1:6" x14ac:dyDescent="0.55000000000000004">
      <c r="A5902" t="s">
        <v>161</v>
      </c>
      <c r="B5902" t="s">
        <v>54</v>
      </c>
      <c r="C5902">
        <v>17555.296399999999</v>
      </c>
      <c r="D5902" t="s">
        <v>287</v>
      </c>
      <c r="E5902">
        <v>2024</v>
      </c>
      <c r="F5902">
        <v>3</v>
      </c>
    </row>
    <row r="5903" spans="1:6" x14ac:dyDescent="0.55000000000000004">
      <c r="A5903" t="s">
        <v>161</v>
      </c>
      <c r="B5903" t="s">
        <v>55</v>
      </c>
      <c r="C5903">
        <v>2260.6667000000002</v>
      </c>
      <c r="D5903" t="s">
        <v>287</v>
      </c>
      <c r="E5903">
        <v>2024</v>
      </c>
      <c r="F5903">
        <v>3</v>
      </c>
    </row>
    <row r="5904" spans="1:6" x14ac:dyDescent="0.55000000000000004">
      <c r="A5904" t="s">
        <v>161</v>
      </c>
      <c r="B5904" t="s">
        <v>56</v>
      </c>
      <c r="C5904">
        <v>10627.82</v>
      </c>
      <c r="D5904" t="s">
        <v>287</v>
      </c>
      <c r="E5904">
        <v>2024</v>
      </c>
      <c r="F5904">
        <v>3</v>
      </c>
    </row>
    <row r="5905" spans="1:6" x14ac:dyDescent="0.55000000000000004">
      <c r="A5905" t="s">
        <v>161</v>
      </c>
      <c r="B5905" t="s">
        <v>57</v>
      </c>
      <c r="C5905">
        <v>464.70850000000002</v>
      </c>
      <c r="D5905" t="s">
        <v>287</v>
      </c>
      <c r="E5905">
        <v>2024</v>
      </c>
      <c r="F5905">
        <v>3</v>
      </c>
    </row>
    <row r="5906" spans="1:6" x14ac:dyDescent="0.55000000000000004">
      <c r="A5906" t="s">
        <v>161</v>
      </c>
      <c r="B5906" t="s">
        <v>58</v>
      </c>
      <c r="C5906">
        <v>329686</v>
      </c>
      <c r="D5906" t="s">
        <v>287</v>
      </c>
      <c r="E5906">
        <v>2024</v>
      </c>
      <c r="F5906">
        <v>3</v>
      </c>
    </row>
    <row r="5907" spans="1:6" x14ac:dyDescent="0.55000000000000004">
      <c r="A5907" t="s">
        <v>161</v>
      </c>
      <c r="B5907" t="s">
        <v>59</v>
      </c>
      <c r="C5907">
        <v>3100</v>
      </c>
      <c r="D5907" t="s">
        <v>287</v>
      </c>
      <c r="E5907">
        <v>2024</v>
      </c>
      <c r="F5907">
        <v>3</v>
      </c>
    </row>
    <row r="5908" spans="1:6" x14ac:dyDescent="0.55000000000000004">
      <c r="A5908" t="s">
        <v>161</v>
      </c>
      <c r="B5908" t="s">
        <v>60</v>
      </c>
      <c r="C5908">
        <v>3118877.6973000001</v>
      </c>
      <c r="D5908" t="s">
        <v>287</v>
      </c>
      <c r="E5908">
        <v>2024</v>
      </c>
      <c r="F5908">
        <v>3</v>
      </c>
    </row>
    <row r="5909" spans="1:6" x14ac:dyDescent="0.55000000000000004">
      <c r="A5909" t="s">
        <v>161</v>
      </c>
      <c r="B5909" t="s">
        <v>61</v>
      </c>
      <c r="C5909">
        <v>3476.4931000000001</v>
      </c>
      <c r="D5909" t="s">
        <v>287</v>
      </c>
      <c r="E5909">
        <v>2024</v>
      </c>
      <c r="F5909">
        <v>3</v>
      </c>
    </row>
    <row r="5910" spans="1:6" x14ac:dyDescent="0.55000000000000004">
      <c r="A5910" t="s">
        <v>161</v>
      </c>
      <c r="B5910" t="s">
        <v>62</v>
      </c>
      <c r="C5910">
        <v>7994.4332999999997</v>
      </c>
      <c r="D5910" t="s">
        <v>287</v>
      </c>
      <c r="E5910">
        <v>2024</v>
      </c>
      <c r="F5910">
        <v>3</v>
      </c>
    </row>
    <row r="5911" spans="1:6" x14ac:dyDescent="0.55000000000000004">
      <c r="A5911" t="s">
        <v>161</v>
      </c>
      <c r="B5911" t="s">
        <v>63</v>
      </c>
      <c r="C5911">
        <v>0</v>
      </c>
      <c r="D5911" t="s">
        <v>287</v>
      </c>
      <c r="E5911">
        <v>2024</v>
      </c>
      <c r="F5911">
        <v>3</v>
      </c>
    </row>
    <row r="5912" spans="1:6" x14ac:dyDescent="0.55000000000000004">
      <c r="A5912" t="s">
        <v>162</v>
      </c>
      <c r="B5912" t="s">
        <v>4</v>
      </c>
      <c r="C5912">
        <v>11992984.8869</v>
      </c>
      <c r="D5912" t="s">
        <v>288</v>
      </c>
      <c r="E5912">
        <v>2024</v>
      </c>
      <c r="F5912">
        <v>4</v>
      </c>
    </row>
    <row r="5913" spans="1:6" x14ac:dyDescent="0.55000000000000004">
      <c r="A5913" t="s">
        <v>162</v>
      </c>
      <c r="B5913" t="s">
        <v>5</v>
      </c>
      <c r="C5913">
        <v>941224.64630000002</v>
      </c>
      <c r="D5913" t="s">
        <v>288</v>
      </c>
      <c r="E5913">
        <v>2024</v>
      </c>
      <c r="F5913">
        <v>4</v>
      </c>
    </row>
    <row r="5914" spans="1:6" x14ac:dyDescent="0.55000000000000004">
      <c r="A5914" t="s">
        <v>162</v>
      </c>
      <c r="B5914" t="s">
        <v>6</v>
      </c>
      <c r="C5914">
        <v>2403770.0731000002</v>
      </c>
      <c r="D5914" t="s">
        <v>288</v>
      </c>
      <c r="E5914">
        <v>2024</v>
      </c>
      <c r="F5914">
        <v>4</v>
      </c>
    </row>
    <row r="5915" spans="1:6" x14ac:dyDescent="0.55000000000000004">
      <c r="A5915" t="s">
        <v>162</v>
      </c>
      <c r="B5915" t="s">
        <v>7</v>
      </c>
      <c r="C5915">
        <v>3952021.7448999998</v>
      </c>
      <c r="D5915" t="s">
        <v>288</v>
      </c>
      <c r="E5915">
        <v>2024</v>
      </c>
      <c r="F5915">
        <v>4</v>
      </c>
    </row>
    <row r="5916" spans="1:6" x14ac:dyDescent="0.55000000000000004">
      <c r="A5916" t="s">
        <v>162</v>
      </c>
      <c r="B5916" t="s">
        <v>8</v>
      </c>
      <c r="C5916">
        <v>4695968.4226000002</v>
      </c>
      <c r="D5916" t="s">
        <v>288</v>
      </c>
      <c r="E5916">
        <v>2024</v>
      </c>
      <c r="F5916">
        <v>4</v>
      </c>
    </row>
    <row r="5917" spans="1:6" x14ac:dyDescent="0.55000000000000004">
      <c r="A5917" t="s">
        <v>162</v>
      </c>
      <c r="B5917" t="s">
        <v>9</v>
      </c>
      <c r="C5917">
        <v>680.15</v>
      </c>
      <c r="D5917" t="s">
        <v>288</v>
      </c>
      <c r="E5917">
        <v>2024</v>
      </c>
      <c r="F5917">
        <v>4</v>
      </c>
    </row>
    <row r="5918" spans="1:6" x14ac:dyDescent="0.55000000000000004">
      <c r="A5918" t="s">
        <v>162</v>
      </c>
      <c r="B5918" t="s">
        <v>10</v>
      </c>
      <c r="C5918">
        <v>2483.6333</v>
      </c>
      <c r="D5918" t="s">
        <v>288</v>
      </c>
      <c r="E5918">
        <v>2024</v>
      </c>
      <c r="F5918">
        <v>4</v>
      </c>
    </row>
    <row r="5919" spans="1:6" x14ac:dyDescent="0.55000000000000004">
      <c r="A5919" t="s">
        <v>162</v>
      </c>
      <c r="B5919" t="s">
        <v>11</v>
      </c>
      <c r="C5919">
        <v>4276347.5065000001</v>
      </c>
      <c r="D5919" t="s">
        <v>288</v>
      </c>
      <c r="E5919">
        <v>2024</v>
      </c>
      <c r="F5919">
        <v>4</v>
      </c>
    </row>
    <row r="5920" spans="1:6" x14ac:dyDescent="0.55000000000000004">
      <c r="A5920" t="s">
        <v>162</v>
      </c>
      <c r="B5920" t="s">
        <v>12</v>
      </c>
      <c r="C5920">
        <v>4000</v>
      </c>
      <c r="D5920" t="s">
        <v>288</v>
      </c>
      <c r="E5920">
        <v>2024</v>
      </c>
      <c r="F5920">
        <v>4</v>
      </c>
    </row>
    <row r="5921" spans="1:6" x14ac:dyDescent="0.55000000000000004">
      <c r="A5921" t="s">
        <v>162</v>
      </c>
      <c r="B5921" t="s">
        <v>13</v>
      </c>
      <c r="C5921">
        <v>10097.5669</v>
      </c>
      <c r="D5921" t="s">
        <v>288</v>
      </c>
      <c r="E5921">
        <v>2024</v>
      </c>
      <c r="F5921">
        <v>4</v>
      </c>
    </row>
    <row r="5922" spans="1:6" x14ac:dyDescent="0.55000000000000004">
      <c r="A5922" t="s">
        <v>162</v>
      </c>
      <c r="B5922" t="s">
        <v>14</v>
      </c>
      <c r="C5922">
        <v>3000</v>
      </c>
      <c r="D5922" t="s">
        <v>288</v>
      </c>
      <c r="E5922">
        <v>2024</v>
      </c>
      <c r="F5922">
        <v>4</v>
      </c>
    </row>
    <row r="5923" spans="1:6" x14ac:dyDescent="0.55000000000000004">
      <c r="A5923" t="s">
        <v>162</v>
      </c>
      <c r="B5923" t="s">
        <v>15</v>
      </c>
      <c r="C5923">
        <v>795891.58109999995</v>
      </c>
      <c r="D5923" t="s">
        <v>288</v>
      </c>
      <c r="E5923">
        <v>2024</v>
      </c>
      <c r="F5923">
        <v>4</v>
      </c>
    </row>
    <row r="5924" spans="1:6" x14ac:dyDescent="0.55000000000000004">
      <c r="A5924" t="s">
        <v>162</v>
      </c>
      <c r="B5924" t="s">
        <v>16</v>
      </c>
      <c r="C5924">
        <v>0</v>
      </c>
      <c r="D5924" t="s">
        <v>288</v>
      </c>
      <c r="E5924">
        <v>2024</v>
      </c>
      <c r="F5924">
        <v>4</v>
      </c>
    </row>
    <row r="5925" spans="1:6" x14ac:dyDescent="0.55000000000000004">
      <c r="A5925" t="s">
        <v>162</v>
      </c>
      <c r="B5925" t="s">
        <v>17</v>
      </c>
      <c r="C5925">
        <v>138338.85339999999</v>
      </c>
      <c r="D5925" t="s">
        <v>288</v>
      </c>
      <c r="E5925">
        <v>2024</v>
      </c>
      <c r="F5925">
        <v>4</v>
      </c>
    </row>
    <row r="5926" spans="1:6" x14ac:dyDescent="0.55000000000000004">
      <c r="A5926" t="s">
        <v>162</v>
      </c>
      <c r="B5926" t="s">
        <v>18</v>
      </c>
      <c r="C5926">
        <v>154022.01699999999</v>
      </c>
      <c r="D5926" t="s">
        <v>288</v>
      </c>
      <c r="E5926">
        <v>2024</v>
      </c>
      <c r="F5926">
        <v>4</v>
      </c>
    </row>
    <row r="5927" spans="1:6" x14ac:dyDescent="0.55000000000000004">
      <c r="A5927" t="s">
        <v>162</v>
      </c>
      <c r="B5927" t="s">
        <v>19</v>
      </c>
      <c r="C5927">
        <v>1699.9992999999999</v>
      </c>
      <c r="D5927" t="s">
        <v>288</v>
      </c>
      <c r="E5927">
        <v>2024</v>
      </c>
      <c r="F5927">
        <v>4</v>
      </c>
    </row>
    <row r="5928" spans="1:6" x14ac:dyDescent="0.55000000000000004">
      <c r="A5928" t="s">
        <v>162</v>
      </c>
      <c r="B5928" t="s">
        <v>20</v>
      </c>
      <c r="C5928">
        <v>15100</v>
      </c>
      <c r="D5928" t="s">
        <v>288</v>
      </c>
      <c r="E5928">
        <v>2024</v>
      </c>
      <c r="F5928">
        <v>4</v>
      </c>
    </row>
    <row r="5929" spans="1:6" x14ac:dyDescent="0.55000000000000004">
      <c r="A5929" t="s">
        <v>162</v>
      </c>
      <c r="B5929" t="s">
        <v>21</v>
      </c>
      <c r="C5929">
        <v>3499.9974000000002</v>
      </c>
      <c r="D5929" t="s">
        <v>288</v>
      </c>
      <c r="E5929">
        <v>2024</v>
      </c>
      <c r="F5929">
        <v>4</v>
      </c>
    </row>
    <row r="5930" spans="1:6" x14ac:dyDescent="0.55000000000000004">
      <c r="A5930" t="s">
        <v>162</v>
      </c>
      <c r="B5930" t="s">
        <v>22</v>
      </c>
      <c r="C5930">
        <v>43038.5602</v>
      </c>
      <c r="D5930" t="s">
        <v>288</v>
      </c>
      <c r="E5930">
        <v>2024</v>
      </c>
      <c r="F5930">
        <v>4</v>
      </c>
    </row>
    <row r="5931" spans="1:6" x14ac:dyDescent="0.55000000000000004">
      <c r="A5931" t="s">
        <v>162</v>
      </c>
      <c r="B5931" t="s">
        <v>23</v>
      </c>
      <c r="C5931">
        <v>36205.170899999997</v>
      </c>
      <c r="D5931" t="s">
        <v>288</v>
      </c>
      <c r="E5931">
        <v>2024</v>
      </c>
      <c r="F5931">
        <v>4</v>
      </c>
    </row>
    <row r="5932" spans="1:6" x14ac:dyDescent="0.55000000000000004">
      <c r="A5932" t="s">
        <v>162</v>
      </c>
      <c r="B5932" t="s">
        <v>25</v>
      </c>
      <c r="C5932">
        <v>570000</v>
      </c>
      <c r="D5932" t="s">
        <v>288</v>
      </c>
      <c r="E5932">
        <v>2024</v>
      </c>
      <c r="F5932">
        <v>4</v>
      </c>
    </row>
    <row r="5933" spans="1:6" x14ac:dyDescent="0.55000000000000004">
      <c r="A5933" t="s">
        <v>162</v>
      </c>
      <c r="B5933" t="s">
        <v>27</v>
      </c>
      <c r="C5933">
        <v>549.93470000000002</v>
      </c>
      <c r="D5933" t="s">
        <v>288</v>
      </c>
      <c r="E5933">
        <v>2024</v>
      </c>
      <c r="F5933">
        <v>4</v>
      </c>
    </row>
    <row r="5934" spans="1:6" x14ac:dyDescent="0.55000000000000004">
      <c r="A5934" t="s">
        <v>162</v>
      </c>
      <c r="B5934" t="s">
        <v>28</v>
      </c>
      <c r="C5934">
        <v>414359.9792</v>
      </c>
      <c r="D5934" t="s">
        <v>288</v>
      </c>
      <c r="E5934">
        <v>2024</v>
      </c>
      <c r="F5934">
        <v>4</v>
      </c>
    </row>
    <row r="5935" spans="1:6" x14ac:dyDescent="0.55000000000000004">
      <c r="A5935" t="s">
        <v>162</v>
      </c>
      <c r="B5935" t="s">
        <v>29</v>
      </c>
      <c r="C5935">
        <v>23042.0003</v>
      </c>
      <c r="D5935" t="s">
        <v>288</v>
      </c>
      <c r="E5935">
        <v>2024</v>
      </c>
      <c r="F5935">
        <v>4</v>
      </c>
    </row>
    <row r="5936" spans="1:6" x14ac:dyDescent="0.55000000000000004">
      <c r="A5936" t="s">
        <v>162</v>
      </c>
      <c r="B5936" t="s">
        <v>30</v>
      </c>
      <c r="C5936">
        <v>56.3645</v>
      </c>
      <c r="D5936" t="s">
        <v>288</v>
      </c>
      <c r="E5936">
        <v>2024</v>
      </c>
      <c r="F5936">
        <v>4</v>
      </c>
    </row>
    <row r="5937" spans="1:6" x14ac:dyDescent="0.55000000000000004">
      <c r="A5937" t="s">
        <v>162</v>
      </c>
      <c r="B5937" t="s">
        <v>31</v>
      </c>
      <c r="C5937">
        <v>1300</v>
      </c>
      <c r="D5937" t="s">
        <v>288</v>
      </c>
      <c r="E5937">
        <v>2024</v>
      </c>
      <c r="F5937">
        <v>4</v>
      </c>
    </row>
    <row r="5938" spans="1:6" x14ac:dyDescent="0.55000000000000004">
      <c r="A5938" t="s">
        <v>162</v>
      </c>
      <c r="B5938" t="s">
        <v>32</v>
      </c>
      <c r="C5938">
        <v>549097.27</v>
      </c>
      <c r="D5938" t="s">
        <v>288</v>
      </c>
      <c r="E5938">
        <v>2024</v>
      </c>
      <c r="F5938">
        <v>4</v>
      </c>
    </row>
    <row r="5939" spans="1:6" x14ac:dyDescent="0.55000000000000004">
      <c r="A5939" t="s">
        <v>162</v>
      </c>
      <c r="B5939" t="s">
        <v>33</v>
      </c>
      <c r="C5939">
        <v>663787.63679999998</v>
      </c>
      <c r="D5939" t="s">
        <v>288</v>
      </c>
      <c r="E5939">
        <v>2024</v>
      </c>
      <c r="F5939">
        <v>4</v>
      </c>
    </row>
    <row r="5940" spans="1:6" x14ac:dyDescent="0.55000000000000004">
      <c r="A5940" t="s">
        <v>162</v>
      </c>
      <c r="B5940" t="s">
        <v>34</v>
      </c>
      <c r="C5940">
        <v>403760.8406</v>
      </c>
      <c r="D5940" t="s">
        <v>288</v>
      </c>
      <c r="E5940">
        <v>2024</v>
      </c>
      <c r="F5940">
        <v>4</v>
      </c>
    </row>
    <row r="5941" spans="1:6" x14ac:dyDescent="0.55000000000000004">
      <c r="A5941" t="s">
        <v>162</v>
      </c>
      <c r="B5941" t="s">
        <v>35</v>
      </c>
      <c r="C5941">
        <v>1841.7436</v>
      </c>
      <c r="D5941" t="s">
        <v>288</v>
      </c>
      <c r="E5941">
        <v>2024</v>
      </c>
      <c r="F5941">
        <v>4</v>
      </c>
    </row>
    <row r="5942" spans="1:6" x14ac:dyDescent="0.55000000000000004">
      <c r="A5942" t="s">
        <v>162</v>
      </c>
      <c r="B5942" t="s">
        <v>36</v>
      </c>
      <c r="C5942">
        <v>93133.060200000007</v>
      </c>
      <c r="D5942" t="s">
        <v>288</v>
      </c>
      <c r="E5942">
        <v>2024</v>
      </c>
      <c r="F5942">
        <v>4</v>
      </c>
    </row>
    <row r="5943" spans="1:6" x14ac:dyDescent="0.55000000000000004">
      <c r="A5943" t="s">
        <v>162</v>
      </c>
      <c r="B5943" t="s">
        <v>37</v>
      </c>
      <c r="C5943">
        <v>80600.009000000005</v>
      </c>
      <c r="D5943" t="s">
        <v>288</v>
      </c>
      <c r="E5943">
        <v>2024</v>
      </c>
      <c r="F5943">
        <v>4</v>
      </c>
    </row>
    <row r="5944" spans="1:6" x14ac:dyDescent="0.55000000000000004">
      <c r="A5944" t="s">
        <v>162</v>
      </c>
      <c r="B5944" t="s">
        <v>39</v>
      </c>
      <c r="C5944">
        <v>2.5819999999999999</v>
      </c>
      <c r="D5944" t="s">
        <v>288</v>
      </c>
      <c r="E5944">
        <v>2024</v>
      </c>
      <c r="F5944">
        <v>4</v>
      </c>
    </row>
    <row r="5945" spans="1:6" x14ac:dyDescent="0.55000000000000004">
      <c r="A5945" t="s">
        <v>162</v>
      </c>
      <c r="B5945" t="s">
        <v>40</v>
      </c>
      <c r="C5945">
        <v>710.00260000000003</v>
      </c>
      <c r="D5945" t="s">
        <v>288</v>
      </c>
      <c r="E5945">
        <v>2024</v>
      </c>
      <c r="F5945">
        <v>4</v>
      </c>
    </row>
    <row r="5946" spans="1:6" x14ac:dyDescent="0.55000000000000004">
      <c r="A5946" t="s">
        <v>162</v>
      </c>
      <c r="B5946" t="s">
        <v>41</v>
      </c>
      <c r="C5946">
        <v>310650.005</v>
      </c>
      <c r="D5946" t="s">
        <v>288</v>
      </c>
      <c r="E5946">
        <v>2024</v>
      </c>
      <c r="F5946">
        <v>4</v>
      </c>
    </row>
    <row r="5947" spans="1:6" x14ac:dyDescent="0.55000000000000004">
      <c r="A5947" t="s">
        <v>162</v>
      </c>
      <c r="B5947" t="s">
        <v>42</v>
      </c>
      <c r="C5947">
        <v>112.42</v>
      </c>
      <c r="D5947" t="s">
        <v>288</v>
      </c>
      <c r="E5947">
        <v>2024</v>
      </c>
      <c r="F5947">
        <v>4</v>
      </c>
    </row>
    <row r="5948" spans="1:6" x14ac:dyDescent="0.55000000000000004">
      <c r="A5948" t="s">
        <v>162</v>
      </c>
      <c r="B5948" t="s">
        <v>43</v>
      </c>
      <c r="C5948">
        <v>247700.0116</v>
      </c>
      <c r="D5948" t="s">
        <v>288</v>
      </c>
      <c r="E5948">
        <v>2024</v>
      </c>
      <c r="F5948">
        <v>4</v>
      </c>
    </row>
    <row r="5949" spans="1:6" x14ac:dyDescent="0.55000000000000004">
      <c r="A5949" t="s">
        <v>162</v>
      </c>
      <c r="B5949" t="s">
        <v>44</v>
      </c>
      <c r="C5949">
        <v>0</v>
      </c>
      <c r="D5949" t="s">
        <v>288</v>
      </c>
      <c r="E5949">
        <v>2024</v>
      </c>
      <c r="F5949">
        <v>4</v>
      </c>
    </row>
    <row r="5950" spans="1:6" x14ac:dyDescent="0.55000000000000004">
      <c r="A5950" t="s">
        <v>162</v>
      </c>
      <c r="B5950" t="s">
        <v>45</v>
      </c>
      <c r="C5950">
        <v>4008.0735</v>
      </c>
      <c r="D5950" t="s">
        <v>288</v>
      </c>
      <c r="E5950">
        <v>2024</v>
      </c>
      <c r="F5950">
        <v>4</v>
      </c>
    </row>
    <row r="5951" spans="1:6" x14ac:dyDescent="0.55000000000000004">
      <c r="A5951" t="s">
        <v>162</v>
      </c>
      <c r="B5951" t="s">
        <v>46</v>
      </c>
      <c r="C5951">
        <v>52752.75</v>
      </c>
      <c r="D5951" t="s">
        <v>288</v>
      </c>
      <c r="E5951">
        <v>2024</v>
      </c>
      <c r="F5951">
        <v>4</v>
      </c>
    </row>
    <row r="5952" spans="1:6" x14ac:dyDescent="0.55000000000000004">
      <c r="A5952" t="s">
        <v>162</v>
      </c>
      <c r="B5952" t="s">
        <v>47</v>
      </c>
      <c r="C5952">
        <v>18.0017</v>
      </c>
      <c r="D5952" t="s">
        <v>288</v>
      </c>
      <c r="E5952">
        <v>2024</v>
      </c>
      <c r="F5952">
        <v>4</v>
      </c>
    </row>
    <row r="5953" spans="1:6" x14ac:dyDescent="0.55000000000000004">
      <c r="A5953" t="s">
        <v>162</v>
      </c>
      <c r="B5953" t="s">
        <v>48</v>
      </c>
      <c r="C5953">
        <v>75025.780799999993</v>
      </c>
      <c r="D5953" t="s">
        <v>288</v>
      </c>
      <c r="E5953">
        <v>2024</v>
      </c>
      <c r="F5953">
        <v>4</v>
      </c>
    </row>
    <row r="5954" spans="1:6" x14ac:dyDescent="0.55000000000000004">
      <c r="A5954" t="s">
        <v>162</v>
      </c>
      <c r="B5954" t="s">
        <v>49</v>
      </c>
      <c r="C5954">
        <v>687.96</v>
      </c>
      <c r="D5954" t="s">
        <v>288</v>
      </c>
      <c r="E5954">
        <v>2024</v>
      </c>
      <c r="F5954">
        <v>4</v>
      </c>
    </row>
    <row r="5955" spans="1:6" x14ac:dyDescent="0.55000000000000004">
      <c r="A5955" t="s">
        <v>162</v>
      </c>
      <c r="B5955" t="s">
        <v>50</v>
      </c>
      <c r="C5955">
        <v>17080.003700000001</v>
      </c>
      <c r="D5955" t="s">
        <v>288</v>
      </c>
      <c r="E5955">
        <v>2024</v>
      </c>
      <c r="F5955">
        <v>4</v>
      </c>
    </row>
    <row r="5956" spans="1:6" x14ac:dyDescent="0.55000000000000004">
      <c r="A5956" t="s">
        <v>162</v>
      </c>
      <c r="B5956" t="s">
        <v>51</v>
      </c>
      <c r="C5956">
        <v>2400</v>
      </c>
      <c r="D5956" t="s">
        <v>288</v>
      </c>
      <c r="E5956">
        <v>2024</v>
      </c>
      <c r="F5956">
        <v>4</v>
      </c>
    </row>
    <row r="5957" spans="1:6" x14ac:dyDescent="0.55000000000000004">
      <c r="A5957" t="s">
        <v>162</v>
      </c>
      <c r="B5957" t="s">
        <v>52</v>
      </c>
      <c r="C5957">
        <v>10.193</v>
      </c>
      <c r="D5957" t="s">
        <v>288</v>
      </c>
      <c r="E5957">
        <v>2024</v>
      </c>
      <c r="F5957">
        <v>4</v>
      </c>
    </row>
    <row r="5958" spans="1:6" x14ac:dyDescent="0.55000000000000004">
      <c r="A5958" t="s">
        <v>162</v>
      </c>
      <c r="B5958" t="s">
        <v>53</v>
      </c>
      <c r="C5958">
        <v>76400.009999999995</v>
      </c>
      <c r="D5958" t="s">
        <v>288</v>
      </c>
      <c r="E5958">
        <v>2024</v>
      </c>
      <c r="F5958">
        <v>4</v>
      </c>
    </row>
    <row r="5959" spans="1:6" x14ac:dyDescent="0.55000000000000004">
      <c r="A5959" t="s">
        <v>162</v>
      </c>
      <c r="B5959" t="s">
        <v>54</v>
      </c>
      <c r="C5959">
        <v>18160.2245</v>
      </c>
      <c r="D5959" t="s">
        <v>288</v>
      </c>
      <c r="E5959">
        <v>2024</v>
      </c>
      <c r="F5959">
        <v>4</v>
      </c>
    </row>
    <row r="5960" spans="1:6" x14ac:dyDescent="0.55000000000000004">
      <c r="A5960" t="s">
        <v>162</v>
      </c>
      <c r="B5960" t="s">
        <v>55</v>
      </c>
      <c r="C5960">
        <v>2580.6667000000002</v>
      </c>
      <c r="D5960" t="s">
        <v>288</v>
      </c>
      <c r="E5960">
        <v>2024</v>
      </c>
      <c r="F5960">
        <v>4</v>
      </c>
    </row>
    <row r="5961" spans="1:6" x14ac:dyDescent="0.55000000000000004">
      <c r="A5961" t="s">
        <v>162</v>
      </c>
      <c r="B5961" t="s">
        <v>56</v>
      </c>
      <c r="C5961">
        <v>9427.8534</v>
      </c>
      <c r="D5961" t="s">
        <v>288</v>
      </c>
      <c r="E5961">
        <v>2024</v>
      </c>
      <c r="F5961">
        <v>4</v>
      </c>
    </row>
    <row r="5962" spans="1:6" x14ac:dyDescent="0.55000000000000004">
      <c r="A5962" t="s">
        <v>162</v>
      </c>
      <c r="B5962" t="s">
        <v>57</v>
      </c>
      <c r="C5962">
        <v>294.44380000000001</v>
      </c>
      <c r="D5962" t="s">
        <v>288</v>
      </c>
      <c r="E5962">
        <v>2024</v>
      </c>
      <c r="F5962">
        <v>4</v>
      </c>
    </row>
    <row r="5963" spans="1:6" x14ac:dyDescent="0.55000000000000004">
      <c r="A5963" t="s">
        <v>162</v>
      </c>
      <c r="B5963" t="s">
        <v>58</v>
      </c>
      <c r="C5963">
        <v>390977</v>
      </c>
      <c r="D5963" t="s">
        <v>288</v>
      </c>
      <c r="E5963">
        <v>2024</v>
      </c>
      <c r="F5963">
        <v>4</v>
      </c>
    </row>
    <row r="5964" spans="1:6" x14ac:dyDescent="0.55000000000000004">
      <c r="A5964" t="s">
        <v>162</v>
      </c>
      <c r="B5964" t="s">
        <v>59</v>
      </c>
      <c r="C5964">
        <v>500</v>
      </c>
      <c r="D5964" t="s">
        <v>288</v>
      </c>
      <c r="E5964">
        <v>2024</v>
      </c>
      <c r="F5964">
        <v>4</v>
      </c>
    </row>
    <row r="5965" spans="1:6" x14ac:dyDescent="0.55000000000000004">
      <c r="A5965" t="s">
        <v>162</v>
      </c>
      <c r="B5965" t="s">
        <v>60</v>
      </c>
      <c r="C5965">
        <v>2485465.0471999999</v>
      </c>
      <c r="D5965" t="s">
        <v>288</v>
      </c>
      <c r="E5965">
        <v>2024</v>
      </c>
      <c r="F5965">
        <v>4</v>
      </c>
    </row>
    <row r="5966" spans="1:6" x14ac:dyDescent="0.55000000000000004">
      <c r="A5966" t="s">
        <v>162</v>
      </c>
      <c r="B5966" t="s">
        <v>61</v>
      </c>
      <c r="C5966">
        <v>2281.6333</v>
      </c>
      <c r="D5966" t="s">
        <v>288</v>
      </c>
      <c r="E5966">
        <v>2024</v>
      </c>
      <c r="F5966">
        <v>4</v>
      </c>
    </row>
    <row r="5967" spans="1:6" x14ac:dyDescent="0.55000000000000004">
      <c r="A5967" t="s">
        <v>162</v>
      </c>
      <c r="B5967" t="s">
        <v>62</v>
      </c>
      <c r="C5967">
        <v>9806.3492000000006</v>
      </c>
      <c r="D5967" t="s">
        <v>288</v>
      </c>
      <c r="E5967">
        <v>2024</v>
      </c>
      <c r="F5967">
        <v>4</v>
      </c>
    </row>
    <row r="5968" spans="1:6" x14ac:dyDescent="0.55000000000000004">
      <c r="A5968" t="s">
        <v>162</v>
      </c>
      <c r="B5968" t="s">
        <v>63</v>
      </c>
      <c r="C5968">
        <v>0</v>
      </c>
      <c r="D5968" t="s">
        <v>288</v>
      </c>
      <c r="E5968">
        <v>2024</v>
      </c>
      <c r="F5968">
        <v>4</v>
      </c>
    </row>
    <row r="5969" spans="1:6" x14ac:dyDescent="0.55000000000000004">
      <c r="A5969" t="s">
        <v>163</v>
      </c>
      <c r="B5969" t="s">
        <v>4</v>
      </c>
      <c r="C5969">
        <v>12355469.823000001</v>
      </c>
      <c r="D5969" t="s">
        <v>289</v>
      </c>
      <c r="E5969">
        <v>2024</v>
      </c>
      <c r="F5969">
        <v>5</v>
      </c>
    </row>
    <row r="5970" spans="1:6" x14ac:dyDescent="0.55000000000000004">
      <c r="A5970" t="s">
        <v>163</v>
      </c>
      <c r="B5970" t="s">
        <v>5</v>
      </c>
      <c r="C5970">
        <v>1079267.7117999999</v>
      </c>
      <c r="D5970" t="s">
        <v>289</v>
      </c>
      <c r="E5970">
        <v>2024</v>
      </c>
      <c r="F5970">
        <v>5</v>
      </c>
    </row>
    <row r="5971" spans="1:6" x14ac:dyDescent="0.55000000000000004">
      <c r="A5971" t="s">
        <v>163</v>
      </c>
      <c r="B5971" t="s">
        <v>6</v>
      </c>
      <c r="C5971">
        <v>2868969.9813999999</v>
      </c>
      <c r="D5971" t="s">
        <v>289</v>
      </c>
      <c r="E5971">
        <v>2024</v>
      </c>
      <c r="F5971">
        <v>5</v>
      </c>
    </row>
    <row r="5972" spans="1:6" x14ac:dyDescent="0.55000000000000004">
      <c r="A5972" t="s">
        <v>163</v>
      </c>
      <c r="B5972" t="s">
        <v>7</v>
      </c>
      <c r="C5972">
        <v>4025086.2974999999</v>
      </c>
      <c r="D5972" t="s">
        <v>289</v>
      </c>
      <c r="E5972">
        <v>2024</v>
      </c>
      <c r="F5972">
        <v>5</v>
      </c>
    </row>
    <row r="5973" spans="1:6" x14ac:dyDescent="0.55000000000000004">
      <c r="A5973" t="s">
        <v>163</v>
      </c>
      <c r="B5973" t="s">
        <v>8</v>
      </c>
      <c r="C5973">
        <v>4382145.8322999999</v>
      </c>
      <c r="D5973" t="s">
        <v>289</v>
      </c>
      <c r="E5973">
        <v>2024</v>
      </c>
      <c r="F5973">
        <v>5</v>
      </c>
    </row>
    <row r="5974" spans="1:6" x14ac:dyDescent="0.55000000000000004">
      <c r="A5974" t="s">
        <v>163</v>
      </c>
      <c r="B5974" t="s">
        <v>9</v>
      </c>
      <c r="C5974">
        <v>623.5</v>
      </c>
      <c r="D5974" t="s">
        <v>289</v>
      </c>
      <c r="E5974">
        <v>2024</v>
      </c>
      <c r="F5974">
        <v>5</v>
      </c>
    </row>
    <row r="5975" spans="1:6" x14ac:dyDescent="0.55000000000000004">
      <c r="A5975" t="s">
        <v>163</v>
      </c>
      <c r="B5975" t="s">
        <v>10</v>
      </c>
      <c r="C5975">
        <v>1205.8966</v>
      </c>
      <c r="D5975" t="s">
        <v>289</v>
      </c>
      <c r="E5975">
        <v>2024</v>
      </c>
      <c r="F5975">
        <v>5</v>
      </c>
    </row>
    <row r="5976" spans="1:6" x14ac:dyDescent="0.55000000000000004">
      <c r="A5976" t="s">
        <v>163</v>
      </c>
      <c r="B5976" t="s">
        <v>11</v>
      </c>
      <c r="C5976">
        <v>4446510.5935000004</v>
      </c>
      <c r="D5976" t="s">
        <v>289</v>
      </c>
      <c r="E5976">
        <v>2024</v>
      </c>
      <c r="F5976">
        <v>5</v>
      </c>
    </row>
    <row r="5977" spans="1:6" x14ac:dyDescent="0.55000000000000004">
      <c r="A5977" t="s">
        <v>163</v>
      </c>
      <c r="B5977" t="s">
        <v>12</v>
      </c>
      <c r="C5977">
        <v>21000</v>
      </c>
      <c r="D5977" t="s">
        <v>289</v>
      </c>
      <c r="E5977">
        <v>2024</v>
      </c>
      <c r="F5977">
        <v>5</v>
      </c>
    </row>
    <row r="5978" spans="1:6" x14ac:dyDescent="0.55000000000000004">
      <c r="A5978" t="s">
        <v>163</v>
      </c>
      <c r="B5978" t="s">
        <v>13</v>
      </c>
      <c r="C5978">
        <v>9025.8984</v>
      </c>
      <c r="D5978" t="s">
        <v>289</v>
      </c>
      <c r="E5978">
        <v>2024</v>
      </c>
      <c r="F5978">
        <v>5</v>
      </c>
    </row>
    <row r="5979" spans="1:6" x14ac:dyDescent="0.55000000000000004">
      <c r="A5979" t="s">
        <v>163</v>
      </c>
      <c r="B5979" t="s">
        <v>14</v>
      </c>
      <c r="C5979">
        <v>2600</v>
      </c>
      <c r="D5979" t="s">
        <v>289</v>
      </c>
      <c r="E5979">
        <v>2024</v>
      </c>
      <c r="F5979">
        <v>5</v>
      </c>
    </row>
    <row r="5980" spans="1:6" x14ac:dyDescent="0.55000000000000004">
      <c r="A5980" t="s">
        <v>163</v>
      </c>
      <c r="B5980" t="s">
        <v>15</v>
      </c>
      <c r="C5980">
        <v>944415.64839999995</v>
      </c>
      <c r="D5980" t="s">
        <v>289</v>
      </c>
      <c r="E5980">
        <v>2024</v>
      </c>
      <c r="F5980">
        <v>5</v>
      </c>
    </row>
    <row r="5981" spans="1:6" x14ac:dyDescent="0.55000000000000004">
      <c r="A5981" t="s">
        <v>163</v>
      </c>
      <c r="B5981" t="s">
        <v>16</v>
      </c>
      <c r="C5981">
        <v>0</v>
      </c>
      <c r="D5981" t="s">
        <v>289</v>
      </c>
      <c r="E5981">
        <v>2024</v>
      </c>
      <c r="F5981">
        <v>5</v>
      </c>
    </row>
    <row r="5982" spans="1:6" x14ac:dyDescent="0.55000000000000004">
      <c r="A5982" t="s">
        <v>163</v>
      </c>
      <c r="B5982" t="s">
        <v>17</v>
      </c>
      <c r="C5982">
        <v>141338.88130000001</v>
      </c>
      <c r="D5982" t="s">
        <v>289</v>
      </c>
      <c r="E5982">
        <v>2024</v>
      </c>
      <c r="F5982">
        <v>5</v>
      </c>
    </row>
    <row r="5983" spans="1:6" x14ac:dyDescent="0.55000000000000004">
      <c r="A5983" t="s">
        <v>163</v>
      </c>
      <c r="B5983" t="s">
        <v>18</v>
      </c>
      <c r="C5983">
        <v>214280.8995</v>
      </c>
      <c r="D5983" t="s">
        <v>289</v>
      </c>
      <c r="E5983">
        <v>2024</v>
      </c>
      <c r="F5983">
        <v>5</v>
      </c>
    </row>
    <row r="5984" spans="1:6" x14ac:dyDescent="0.55000000000000004">
      <c r="A5984" t="s">
        <v>163</v>
      </c>
      <c r="B5984" t="s">
        <v>19</v>
      </c>
      <c r="C5984">
        <v>2199.9998000000001</v>
      </c>
      <c r="D5984" t="s">
        <v>289</v>
      </c>
      <c r="E5984">
        <v>2024</v>
      </c>
      <c r="F5984">
        <v>5</v>
      </c>
    </row>
    <row r="5985" spans="1:6" x14ac:dyDescent="0.55000000000000004">
      <c r="A5985" t="s">
        <v>163</v>
      </c>
      <c r="B5985" t="s">
        <v>20</v>
      </c>
      <c r="C5985">
        <v>10500</v>
      </c>
      <c r="D5985" t="s">
        <v>289</v>
      </c>
      <c r="E5985">
        <v>2024</v>
      </c>
      <c r="F5985">
        <v>5</v>
      </c>
    </row>
    <row r="5986" spans="1:6" x14ac:dyDescent="0.55000000000000004">
      <c r="A5986" t="s">
        <v>163</v>
      </c>
      <c r="B5986" t="s">
        <v>21</v>
      </c>
      <c r="C5986">
        <v>9099.9982</v>
      </c>
      <c r="D5986" t="s">
        <v>289</v>
      </c>
      <c r="E5986">
        <v>2024</v>
      </c>
      <c r="F5986">
        <v>5</v>
      </c>
    </row>
    <row r="5987" spans="1:6" x14ac:dyDescent="0.55000000000000004">
      <c r="A5987" t="s">
        <v>163</v>
      </c>
      <c r="B5987" t="s">
        <v>22</v>
      </c>
      <c r="C5987">
        <v>52930.087599999999</v>
      </c>
      <c r="D5987" t="s">
        <v>289</v>
      </c>
      <c r="E5987">
        <v>2024</v>
      </c>
      <c r="F5987">
        <v>5</v>
      </c>
    </row>
    <row r="5988" spans="1:6" x14ac:dyDescent="0.55000000000000004">
      <c r="A5988" t="s">
        <v>163</v>
      </c>
      <c r="B5988" t="s">
        <v>23</v>
      </c>
      <c r="C5988">
        <v>46492.720200000003</v>
      </c>
      <c r="D5988" t="s">
        <v>289</v>
      </c>
      <c r="E5988">
        <v>2024</v>
      </c>
      <c r="F5988">
        <v>5</v>
      </c>
    </row>
    <row r="5989" spans="1:6" x14ac:dyDescent="0.55000000000000004">
      <c r="A5989" t="s">
        <v>163</v>
      </c>
      <c r="B5989" t="s">
        <v>25</v>
      </c>
      <c r="C5989">
        <v>690000</v>
      </c>
      <c r="D5989" t="s">
        <v>289</v>
      </c>
      <c r="E5989">
        <v>2024</v>
      </c>
      <c r="F5989">
        <v>5</v>
      </c>
    </row>
    <row r="5990" spans="1:6" x14ac:dyDescent="0.55000000000000004">
      <c r="A5990" t="s">
        <v>163</v>
      </c>
      <c r="B5990" t="s">
        <v>27</v>
      </c>
      <c r="C5990">
        <v>2481.0792999999999</v>
      </c>
      <c r="D5990" t="s">
        <v>289</v>
      </c>
      <c r="E5990">
        <v>2024</v>
      </c>
      <c r="F5990">
        <v>5</v>
      </c>
    </row>
    <row r="5991" spans="1:6" x14ac:dyDescent="0.55000000000000004">
      <c r="A5991" t="s">
        <v>163</v>
      </c>
      <c r="B5991" t="s">
        <v>28</v>
      </c>
      <c r="C5991">
        <v>479368.6</v>
      </c>
      <c r="D5991" t="s">
        <v>289</v>
      </c>
      <c r="E5991">
        <v>2024</v>
      </c>
      <c r="F5991">
        <v>5</v>
      </c>
    </row>
    <row r="5992" spans="1:6" x14ac:dyDescent="0.55000000000000004">
      <c r="A5992" t="s">
        <v>163</v>
      </c>
      <c r="B5992" t="s">
        <v>29</v>
      </c>
      <c r="C5992">
        <v>34384.500200000002</v>
      </c>
      <c r="D5992" t="s">
        <v>289</v>
      </c>
      <c r="E5992">
        <v>2024</v>
      </c>
      <c r="F5992">
        <v>5</v>
      </c>
    </row>
    <row r="5993" spans="1:6" x14ac:dyDescent="0.55000000000000004">
      <c r="A5993" t="s">
        <v>163</v>
      </c>
      <c r="B5993" t="s">
        <v>30</v>
      </c>
      <c r="C5993">
        <v>20.154499999999999</v>
      </c>
      <c r="D5993" t="s">
        <v>289</v>
      </c>
      <c r="E5993">
        <v>2024</v>
      </c>
      <c r="F5993">
        <v>5</v>
      </c>
    </row>
    <row r="5994" spans="1:6" x14ac:dyDescent="0.55000000000000004">
      <c r="A5994" t="s">
        <v>163</v>
      </c>
      <c r="B5994" t="s">
        <v>31</v>
      </c>
      <c r="C5994">
        <v>370</v>
      </c>
      <c r="D5994" t="s">
        <v>289</v>
      </c>
      <c r="E5994">
        <v>2024</v>
      </c>
      <c r="F5994">
        <v>5</v>
      </c>
    </row>
    <row r="5995" spans="1:6" x14ac:dyDescent="0.55000000000000004">
      <c r="A5995" t="s">
        <v>163</v>
      </c>
      <c r="B5995" t="s">
        <v>32</v>
      </c>
      <c r="C5995">
        <v>773566.34</v>
      </c>
      <c r="D5995" t="s">
        <v>289</v>
      </c>
      <c r="E5995">
        <v>2024</v>
      </c>
      <c r="F5995">
        <v>5</v>
      </c>
    </row>
    <row r="5996" spans="1:6" x14ac:dyDescent="0.55000000000000004">
      <c r="A5996" t="s">
        <v>163</v>
      </c>
      <c r="B5996" t="s">
        <v>33</v>
      </c>
      <c r="C5996">
        <v>780153.32499999995</v>
      </c>
      <c r="D5996" t="s">
        <v>289</v>
      </c>
      <c r="E5996">
        <v>2024</v>
      </c>
      <c r="F5996">
        <v>5</v>
      </c>
    </row>
    <row r="5997" spans="1:6" x14ac:dyDescent="0.55000000000000004">
      <c r="A5997" t="s">
        <v>163</v>
      </c>
      <c r="B5997" t="s">
        <v>34</v>
      </c>
      <c r="C5997">
        <v>444125.62400000001</v>
      </c>
      <c r="D5997" t="s">
        <v>289</v>
      </c>
      <c r="E5997">
        <v>2024</v>
      </c>
      <c r="F5997">
        <v>5</v>
      </c>
    </row>
    <row r="5998" spans="1:6" x14ac:dyDescent="0.55000000000000004">
      <c r="A5998" t="s">
        <v>163</v>
      </c>
      <c r="B5998" t="s">
        <v>35</v>
      </c>
      <c r="C5998">
        <v>1069.0291</v>
      </c>
      <c r="D5998" t="s">
        <v>289</v>
      </c>
      <c r="E5998">
        <v>2024</v>
      </c>
      <c r="F5998">
        <v>5</v>
      </c>
    </row>
    <row r="5999" spans="1:6" x14ac:dyDescent="0.55000000000000004">
      <c r="A5999" t="s">
        <v>163</v>
      </c>
      <c r="B5999" t="s">
        <v>36</v>
      </c>
      <c r="C5999">
        <v>81652.058399999994</v>
      </c>
      <c r="D5999" t="s">
        <v>289</v>
      </c>
      <c r="E5999">
        <v>2024</v>
      </c>
      <c r="F5999">
        <v>5</v>
      </c>
    </row>
    <row r="6000" spans="1:6" x14ac:dyDescent="0.55000000000000004">
      <c r="A6000" t="s">
        <v>163</v>
      </c>
      <c r="B6000" t="s">
        <v>37</v>
      </c>
      <c r="C6000">
        <v>87999.992400000003</v>
      </c>
      <c r="D6000" t="s">
        <v>289</v>
      </c>
      <c r="E6000">
        <v>2024</v>
      </c>
      <c r="F6000">
        <v>5</v>
      </c>
    </row>
    <row r="6001" spans="1:6" x14ac:dyDescent="0.55000000000000004">
      <c r="A6001" t="s">
        <v>163</v>
      </c>
      <c r="B6001" t="s">
        <v>39</v>
      </c>
      <c r="C6001">
        <v>5404.6563999999998</v>
      </c>
      <c r="D6001" t="s">
        <v>289</v>
      </c>
      <c r="E6001">
        <v>2024</v>
      </c>
      <c r="F6001">
        <v>5</v>
      </c>
    </row>
    <row r="6002" spans="1:6" x14ac:dyDescent="0.55000000000000004">
      <c r="A6002" t="s">
        <v>163</v>
      </c>
      <c r="B6002" t="s">
        <v>40</v>
      </c>
      <c r="C6002">
        <v>909.99829999999997</v>
      </c>
      <c r="D6002" t="s">
        <v>289</v>
      </c>
      <c r="E6002">
        <v>2024</v>
      </c>
      <c r="F6002">
        <v>5</v>
      </c>
    </row>
    <row r="6003" spans="1:6" x14ac:dyDescent="0.55000000000000004">
      <c r="A6003" t="s">
        <v>163</v>
      </c>
      <c r="B6003" t="s">
        <v>41</v>
      </c>
      <c r="C6003">
        <v>347800.00719999999</v>
      </c>
      <c r="D6003" t="s">
        <v>289</v>
      </c>
      <c r="E6003">
        <v>2024</v>
      </c>
      <c r="F6003">
        <v>5</v>
      </c>
    </row>
    <row r="6004" spans="1:6" x14ac:dyDescent="0.55000000000000004">
      <c r="A6004" t="s">
        <v>163</v>
      </c>
      <c r="B6004" t="s">
        <v>42</v>
      </c>
      <c r="C6004">
        <v>342.05329999999998</v>
      </c>
      <c r="D6004" t="s">
        <v>289</v>
      </c>
      <c r="E6004">
        <v>2024</v>
      </c>
      <c r="F6004">
        <v>5</v>
      </c>
    </row>
    <row r="6005" spans="1:6" x14ac:dyDescent="0.55000000000000004">
      <c r="A6005" t="s">
        <v>163</v>
      </c>
      <c r="B6005" t="s">
        <v>43</v>
      </c>
      <c r="C6005">
        <v>247700.0116</v>
      </c>
      <c r="D6005" t="s">
        <v>289</v>
      </c>
      <c r="E6005">
        <v>2024</v>
      </c>
      <c r="F6005">
        <v>5</v>
      </c>
    </row>
    <row r="6006" spans="1:6" x14ac:dyDescent="0.55000000000000004">
      <c r="A6006" t="s">
        <v>163</v>
      </c>
      <c r="B6006" t="s">
        <v>44</v>
      </c>
      <c r="C6006">
        <v>0</v>
      </c>
      <c r="D6006" t="s">
        <v>289</v>
      </c>
      <c r="E6006">
        <v>2024</v>
      </c>
      <c r="F6006">
        <v>5</v>
      </c>
    </row>
    <row r="6007" spans="1:6" x14ac:dyDescent="0.55000000000000004">
      <c r="A6007" t="s">
        <v>163</v>
      </c>
      <c r="B6007" t="s">
        <v>45</v>
      </c>
      <c r="C6007">
        <v>2675.0805</v>
      </c>
      <c r="D6007" t="s">
        <v>289</v>
      </c>
      <c r="E6007">
        <v>2024</v>
      </c>
      <c r="F6007">
        <v>5</v>
      </c>
    </row>
    <row r="6008" spans="1:6" x14ac:dyDescent="0.55000000000000004">
      <c r="A6008" t="s">
        <v>163</v>
      </c>
      <c r="B6008" t="s">
        <v>46</v>
      </c>
      <c r="C6008">
        <v>60615.3</v>
      </c>
      <c r="D6008" t="s">
        <v>289</v>
      </c>
      <c r="E6008">
        <v>2024</v>
      </c>
      <c r="F6008">
        <v>5</v>
      </c>
    </row>
    <row r="6009" spans="1:6" x14ac:dyDescent="0.55000000000000004">
      <c r="A6009" t="s">
        <v>163</v>
      </c>
      <c r="B6009" t="s">
        <v>47</v>
      </c>
      <c r="C6009">
        <v>0</v>
      </c>
      <c r="D6009" t="s">
        <v>289</v>
      </c>
      <c r="E6009">
        <v>2024</v>
      </c>
      <c r="F6009">
        <v>5</v>
      </c>
    </row>
    <row r="6010" spans="1:6" x14ac:dyDescent="0.55000000000000004">
      <c r="A6010" t="s">
        <v>163</v>
      </c>
      <c r="B6010" t="s">
        <v>48</v>
      </c>
      <c r="C6010">
        <v>128711.3404</v>
      </c>
      <c r="D6010" t="s">
        <v>289</v>
      </c>
      <c r="E6010">
        <v>2024</v>
      </c>
      <c r="F6010">
        <v>5</v>
      </c>
    </row>
    <row r="6011" spans="1:6" x14ac:dyDescent="0.55000000000000004">
      <c r="A6011" t="s">
        <v>163</v>
      </c>
      <c r="B6011" t="s">
        <v>49</v>
      </c>
      <c r="C6011">
        <v>57.117100000000001</v>
      </c>
      <c r="D6011" t="s">
        <v>289</v>
      </c>
      <c r="E6011">
        <v>2024</v>
      </c>
      <c r="F6011">
        <v>5</v>
      </c>
    </row>
    <row r="6012" spans="1:6" x14ac:dyDescent="0.55000000000000004">
      <c r="A6012" t="s">
        <v>163</v>
      </c>
      <c r="B6012" t="s">
        <v>50</v>
      </c>
      <c r="C6012">
        <v>16070</v>
      </c>
      <c r="D6012" t="s">
        <v>289</v>
      </c>
      <c r="E6012">
        <v>2024</v>
      </c>
      <c r="F6012">
        <v>5</v>
      </c>
    </row>
    <row r="6013" spans="1:6" x14ac:dyDescent="0.55000000000000004">
      <c r="A6013" t="s">
        <v>163</v>
      </c>
      <c r="B6013" t="s">
        <v>51</v>
      </c>
      <c r="C6013">
        <v>3000</v>
      </c>
      <c r="D6013" t="s">
        <v>289</v>
      </c>
      <c r="E6013">
        <v>2024</v>
      </c>
      <c r="F6013">
        <v>5</v>
      </c>
    </row>
    <row r="6014" spans="1:6" x14ac:dyDescent="0.55000000000000004">
      <c r="A6014" t="s">
        <v>163</v>
      </c>
      <c r="B6014" t="s">
        <v>52</v>
      </c>
      <c r="C6014">
        <v>24.279900000000001</v>
      </c>
      <c r="D6014" t="s">
        <v>289</v>
      </c>
      <c r="E6014">
        <v>2024</v>
      </c>
      <c r="F6014">
        <v>5</v>
      </c>
    </row>
    <row r="6015" spans="1:6" x14ac:dyDescent="0.55000000000000004">
      <c r="A6015" t="s">
        <v>163</v>
      </c>
      <c r="B6015" t="s">
        <v>53</v>
      </c>
      <c r="C6015">
        <v>77400.009999999995</v>
      </c>
      <c r="D6015" t="s">
        <v>289</v>
      </c>
      <c r="E6015">
        <v>2024</v>
      </c>
      <c r="F6015">
        <v>5</v>
      </c>
    </row>
    <row r="6016" spans="1:6" x14ac:dyDescent="0.55000000000000004">
      <c r="A6016" t="s">
        <v>163</v>
      </c>
      <c r="B6016" t="s">
        <v>54</v>
      </c>
      <c r="C6016">
        <v>21315.927899999999</v>
      </c>
      <c r="D6016" t="s">
        <v>289</v>
      </c>
      <c r="E6016">
        <v>2024</v>
      </c>
      <c r="F6016">
        <v>5</v>
      </c>
    </row>
    <row r="6017" spans="1:6" x14ac:dyDescent="0.55000000000000004">
      <c r="A6017" t="s">
        <v>163</v>
      </c>
      <c r="B6017" t="s">
        <v>55</v>
      </c>
      <c r="C6017">
        <v>2229.2833000000001</v>
      </c>
      <c r="D6017" t="s">
        <v>289</v>
      </c>
      <c r="E6017">
        <v>2024</v>
      </c>
      <c r="F6017">
        <v>5</v>
      </c>
    </row>
    <row r="6018" spans="1:6" x14ac:dyDescent="0.55000000000000004">
      <c r="A6018" t="s">
        <v>163</v>
      </c>
      <c r="B6018" t="s">
        <v>56</v>
      </c>
      <c r="C6018">
        <v>6556.46</v>
      </c>
      <c r="D6018" t="s">
        <v>289</v>
      </c>
      <c r="E6018">
        <v>2024</v>
      </c>
      <c r="F6018">
        <v>5</v>
      </c>
    </row>
    <row r="6019" spans="1:6" x14ac:dyDescent="0.55000000000000004">
      <c r="A6019" t="s">
        <v>163</v>
      </c>
      <c r="B6019" t="s">
        <v>57</v>
      </c>
      <c r="C6019">
        <v>647.05690000000004</v>
      </c>
      <c r="D6019" t="s">
        <v>289</v>
      </c>
      <c r="E6019">
        <v>2024</v>
      </c>
      <c r="F6019">
        <v>5</v>
      </c>
    </row>
    <row r="6020" spans="1:6" x14ac:dyDescent="0.55000000000000004">
      <c r="A6020" t="s">
        <v>163</v>
      </c>
      <c r="B6020" t="s">
        <v>58</v>
      </c>
      <c r="C6020">
        <v>553529</v>
      </c>
      <c r="D6020" t="s">
        <v>289</v>
      </c>
      <c r="E6020">
        <v>2024</v>
      </c>
      <c r="F6020">
        <v>5</v>
      </c>
    </row>
    <row r="6021" spans="1:6" x14ac:dyDescent="0.55000000000000004">
      <c r="A6021" t="s">
        <v>163</v>
      </c>
      <c r="B6021" t="s">
        <v>59</v>
      </c>
      <c r="C6021">
        <v>800</v>
      </c>
      <c r="D6021" t="s">
        <v>289</v>
      </c>
      <c r="E6021">
        <v>2024</v>
      </c>
      <c r="F6021">
        <v>5</v>
      </c>
    </row>
    <row r="6022" spans="1:6" x14ac:dyDescent="0.55000000000000004">
      <c r="A6022" t="s">
        <v>163</v>
      </c>
      <c r="B6022" t="s">
        <v>60</v>
      </c>
      <c r="C6022">
        <v>1585529.3130999999</v>
      </c>
      <c r="D6022" t="s">
        <v>289</v>
      </c>
      <c r="E6022">
        <v>2024</v>
      </c>
      <c r="F6022">
        <v>5</v>
      </c>
    </row>
    <row r="6023" spans="1:6" x14ac:dyDescent="0.55000000000000004">
      <c r="A6023" t="s">
        <v>163</v>
      </c>
      <c r="B6023" t="s">
        <v>61</v>
      </c>
      <c r="C6023">
        <v>3688.7437</v>
      </c>
      <c r="D6023" t="s">
        <v>289</v>
      </c>
      <c r="E6023">
        <v>2024</v>
      </c>
      <c r="F6023">
        <v>5</v>
      </c>
    </row>
    <row r="6024" spans="1:6" x14ac:dyDescent="0.55000000000000004">
      <c r="A6024" t="s">
        <v>163</v>
      </c>
      <c r="B6024" t="s">
        <v>62</v>
      </c>
      <c r="C6024">
        <v>13049.357</v>
      </c>
      <c r="D6024" t="s">
        <v>289</v>
      </c>
      <c r="E6024">
        <v>2024</v>
      </c>
      <c r="F6024">
        <v>5</v>
      </c>
    </row>
    <row r="6025" spans="1:6" x14ac:dyDescent="0.55000000000000004">
      <c r="A6025" t="s">
        <v>163</v>
      </c>
      <c r="B6025" t="s">
        <v>63</v>
      </c>
      <c r="C6025">
        <v>0</v>
      </c>
      <c r="D6025" t="s">
        <v>289</v>
      </c>
      <c r="E6025">
        <v>2024</v>
      </c>
      <c r="F6025">
        <v>5</v>
      </c>
    </row>
    <row r="6026" spans="1:6" x14ac:dyDescent="0.55000000000000004">
      <c r="A6026" t="s">
        <v>164</v>
      </c>
      <c r="B6026" t="s">
        <v>4</v>
      </c>
      <c r="C6026">
        <v>11018167.9636</v>
      </c>
      <c r="D6026" t="s">
        <v>290</v>
      </c>
      <c r="E6026">
        <v>2024</v>
      </c>
      <c r="F6026">
        <v>6</v>
      </c>
    </row>
    <row r="6027" spans="1:6" x14ac:dyDescent="0.55000000000000004">
      <c r="A6027" t="s">
        <v>164</v>
      </c>
      <c r="B6027" t="s">
        <v>5</v>
      </c>
      <c r="C6027">
        <v>1090174.7737</v>
      </c>
      <c r="D6027" t="s">
        <v>290</v>
      </c>
      <c r="E6027">
        <v>2024</v>
      </c>
      <c r="F6027">
        <v>6</v>
      </c>
    </row>
    <row r="6028" spans="1:6" x14ac:dyDescent="0.55000000000000004">
      <c r="A6028" t="s">
        <v>164</v>
      </c>
      <c r="B6028" t="s">
        <v>6</v>
      </c>
      <c r="C6028">
        <v>2612455.1203999999</v>
      </c>
      <c r="D6028" t="s">
        <v>290</v>
      </c>
      <c r="E6028">
        <v>2024</v>
      </c>
      <c r="F6028">
        <v>6</v>
      </c>
    </row>
    <row r="6029" spans="1:6" x14ac:dyDescent="0.55000000000000004">
      <c r="A6029" t="s">
        <v>164</v>
      </c>
      <c r="B6029" t="s">
        <v>7</v>
      </c>
      <c r="C6029">
        <v>3394857.1628999999</v>
      </c>
      <c r="D6029" t="s">
        <v>290</v>
      </c>
      <c r="E6029">
        <v>2024</v>
      </c>
      <c r="F6029">
        <v>6</v>
      </c>
    </row>
    <row r="6030" spans="1:6" x14ac:dyDescent="0.55000000000000004">
      <c r="A6030" t="s">
        <v>164</v>
      </c>
      <c r="B6030" t="s">
        <v>8</v>
      </c>
      <c r="C6030">
        <v>3920680.9065999999</v>
      </c>
      <c r="D6030" t="s">
        <v>290</v>
      </c>
      <c r="E6030">
        <v>2024</v>
      </c>
      <c r="F6030">
        <v>6</v>
      </c>
    </row>
    <row r="6031" spans="1:6" x14ac:dyDescent="0.55000000000000004">
      <c r="A6031" t="s">
        <v>164</v>
      </c>
      <c r="B6031" t="s">
        <v>9</v>
      </c>
      <c r="C6031">
        <v>1508.3713</v>
      </c>
      <c r="D6031" t="s">
        <v>290</v>
      </c>
      <c r="E6031">
        <v>2024</v>
      </c>
      <c r="F6031">
        <v>6</v>
      </c>
    </row>
    <row r="6032" spans="1:6" x14ac:dyDescent="0.55000000000000004">
      <c r="A6032" t="s">
        <v>164</v>
      </c>
      <c r="B6032" t="s">
        <v>10</v>
      </c>
      <c r="C6032">
        <v>1590.9504999999999</v>
      </c>
      <c r="D6032" t="s">
        <v>290</v>
      </c>
      <c r="E6032">
        <v>2024</v>
      </c>
      <c r="F6032">
        <v>6</v>
      </c>
    </row>
    <row r="6033" spans="1:6" x14ac:dyDescent="0.55000000000000004">
      <c r="A6033" t="s">
        <v>164</v>
      </c>
      <c r="B6033" t="s">
        <v>11</v>
      </c>
      <c r="C6033">
        <v>3770707.0170999998</v>
      </c>
      <c r="D6033" t="s">
        <v>290</v>
      </c>
      <c r="E6033">
        <v>2024</v>
      </c>
      <c r="F6033">
        <v>6</v>
      </c>
    </row>
    <row r="6034" spans="1:6" x14ac:dyDescent="0.55000000000000004">
      <c r="A6034" t="s">
        <v>164</v>
      </c>
      <c r="B6034" t="s">
        <v>12</v>
      </c>
      <c r="C6034">
        <v>18000</v>
      </c>
      <c r="D6034" t="s">
        <v>290</v>
      </c>
      <c r="E6034">
        <v>2024</v>
      </c>
      <c r="F6034">
        <v>6</v>
      </c>
    </row>
    <row r="6035" spans="1:6" x14ac:dyDescent="0.55000000000000004">
      <c r="A6035" t="s">
        <v>164</v>
      </c>
      <c r="B6035" t="s">
        <v>13</v>
      </c>
      <c r="C6035">
        <v>20723.7333</v>
      </c>
      <c r="D6035" t="s">
        <v>290</v>
      </c>
      <c r="E6035">
        <v>2024</v>
      </c>
      <c r="F6035">
        <v>6</v>
      </c>
    </row>
    <row r="6036" spans="1:6" x14ac:dyDescent="0.55000000000000004">
      <c r="A6036" t="s">
        <v>164</v>
      </c>
      <c r="B6036" t="s">
        <v>14</v>
      </c>
      <c r="C6036">
        <v>900</v>
      </c>
      <c r="D6036" t="s">
        <v>290</v>
      </c>
      <c r="E6036">
        <v>2024</v>
      </c>
      <c r="F6036">
        <v>6</v>
      </c>
    </row>
    <row r="6037" spans="1:6" x14ac:dyDescent="0.55000000000000004">
      <c r="A6037" t="s">
        <v>164</v>
      </c>
      <c r="B6037" t="s">
        <v>15</v>
      </c>
      <c r="C6037">
        <v>986947.23759999999</v>
      </c>
      <c r="D6037" t="s">
        <v>290</v>
      </c>
      <c r="E6037">
        <v>2024</v>
      </c>
      <c r="F6037">
        <v>6</v>
      </c>
    </row>
    <row r="6038" spans="1:6" x14ac:dyDescent="0.55000000000000004">
      <c r="A6038" t="s">
        <v>164</v>
      </c>
      <c r="B6038" t="s">
        <v>16</v>
      </c>
      <c r="C6038">
        <v>0</v>
      </c>
      <c r="D6038" t="s">
        <v>290</v>
      </c>
      <c r="E6038">
        <v>2024</v>
      </c>
      <c r="F6038">
        <v>6</v>
      </c>
    </row>
    <row r="6039" spans="1:6" x14ac:dyDescent="0.55000000000000004">
      <c r="A6039" t="s">
        <v>164</v>
      </c>
      <c r="B6039" t="s">
        <v>17</v>
      </c>
      <c r="C6039">
        <v>112842.3674</v>
      </c>
      <c r="D6039" t="s">
        <v>290</v>
      </c>
      <c r="E6039">
        <v>2024</v>
      </c>
      <c r="F6039">
        <v>6</v>
      </c>
    </row>
    <row r="6040" spans="1:6" x14ac:dyDescent="0.55000000000000004">
      <c r="A6040" t="s">
        <v>164</v>
      </c>
      <c r="B6040" t="s">
        <v>18</v>
      </c>
      <c r="C6040">
        <v>99041.499599999996</v>
      </c>
      <c r="D6040" t="s">
        <v>290</v>
      </c>
      <c r="E6040">
        <v>2024</v>
      </c>
      <c r="F6040">
        <v>6</v>
      </c>
    </row>
    <row r="6041" spans="1:6" x14ac:dyDescent="0.55000000000000004">
      <c r="A6041" t="s">
        <v>164</v>
      </c>
      <c r="B6041" t="s">
        <v>19</v>
      </c>
      <c r="C6041">
        <v>1399.9998000000001</v>
      </c>
      <c r="D6041" t="s">
        <v>290</v>
      </c>
      <c r="E6041">
        <v>2024</v>
      </c>
      <c r="F6041">
        <v>6</v>
      </c>
    </row>
    <row r="6042" spans="1:6" x14ac:dyDescent="0.55000000000000004">
      <c r="A6042" t="s">
        <v>164</v>
      </c>
      <c r="B6042" t="s">
        <v>20</v>
      </c>
      <c r="C6042">
        <v>15000</v>
      </c>
      <c r="D6042" t="s">
        <v>290</v>
      </c>
      <c r="E6042">
        <v>2024</v>
      </c>
      <c r="F6042">
        <v>6</v>
      </c>
    </row>
    <row r="6043" spans="1:6" x14ac:dyDescent="0.55000000000000004">
      <c r="A6043" t="s">
        <v>164</v>
      </c>
      <c r="B6043" t="s">
        <v>21</v>
      </c>
      <c r="C6043">
        <v>4800.0056999999997</v>
      </c>
      <c r="D6043" t="s">
        <v>290</v>
      </c>
      <c r="E6043">
        <v>2024</v>
      </c>
      <c r="F6043">
        <v>6</v>
      </c>
    </row>
    <row r="6044" spans="1:6" x14ac:dyDescent="0.55000000000000004">
      <c r="A6044" t="s">
        <v>164</v>
      </c>
      <c r="B6044" t="s">
        <v>22</v>
      </c>
      <c r="C6044">
        <v>50175.482000000004</v>
      </c>
      <c r="D6044" t="s">
        <v>290</v>
      </c>
      <c r="E6044">
        <v>2024</v>
      </c>
      <c r="F6044">
        <v>6</v>
      </c>
    </row>
    <row r="6045" spans="1:6" x14ac:dyDescent="0.55000000000000004">
      <c r="A6045" t="s">
        <v>164</v>
      </c>
      <c r="B6045" t="s">
        <v>23</v>
      </c>
      <c r="C6045">
        <v>64408.580699999999</v>
      </c>
      <c r="D6045" t="s">
        <v>290</v>
      </c>
      <c r="E6045">
        <v>2024</v>
      </c>
      <c r="F6045">
        <v>6</v>
      </c>
    </row>
    <row r="6046" spans="1:6" x14ac:dyDescent="0.55000000000000004">
      <c r="A6046" t="s">
        <v>164</v>
      </c>
      <c r="B6046" t="s">
        <v>25</v>
      </c>
      <c r="C6046">
        <v>720000</v>
      </c>
      <c r="D6046" t="s">
        <v>290</v>
      </c>
      <c r="E6046">
        <v>2024</v>
      </c>
      <c r="F6046">
        <v>6</v>
      </c>
    </row>
    <row r="6047" spans="1:6" x14ac:dyDescent="0.55000000000000004">
      <c r="A6047" t="s">
        <v>164</v>
      </c>
      <c r="B6047" t="s">
        <v>27</v>
      </c>
      <c r="C6047">
        <v>1461.2072000000001</v>
      </c>
      <c r="D6047" t="s">
        <v>290</v>
      </c>
      <c r="E6047">
        <v>2024</v>
      </c>
      <c r="F6047">
        <v>6</v>
      </c>
    </row>
    <row r="6048" spans="1:6" x14ac:dyDescent="0.55000000000000004">
      <c r="A6048" t="s">
        <v>164</v>
      </c>
      <c r="B6048" t="s">
        <v>28</v>
      </c>
      <c r="C6048">
        <v>412166.24579999998</v>
      </c>
      <c r="D6048" t="s">
        <v>290</v>
      </c>
      <c r="E6048">
        <v>2024</v>
      </c>
      <c r="F6048">
        <v>6</v>
      </c>
    </row>
    <row r="6049" spans="1:6" x14ac:dyDescent="0.55000000000000004">
      <c r="A6049" t="s">
        <v>164</v>
      </c>
      <c r="B6049" t="s">
        <v>29</v>
      </c>
      <c r="C6049">
        <v>5844.6668</v>
      </c>
      <c r="D6049" t="s">
        <v>290</v>
      </c>
      <c r="E6049">
        <v>2024</v>
      </c>
      <c r="F6049">
        <v>6</v>
      </c>
    </row>
    <row r="6050" spans="1:6" x14ac:dyDescent="0.55000000000000004">
      <c r="A6050" t="s">
        <v>164</v>
      </c>
      <c r="B6050" t="s">
        <v>30</v>
      </c>
      <c r="C6050">
        <v>85.431700000000006</v>
      </c>
      <c r="D6050" t="s">
        <v>290</v>
      </c>
      <c r="E6050">
        <v>2024</v>
      </c>
      <c r="F6050">
        <v>6</v>
      </c>
    </row>
    <row r="6051" spans="1:6" x14ac:dyDescent="0.55000000000000004">
      <c r="A6051" t="s">
        <v>164</v>
      </c>
      <c r="B6051" t="s">
        <v>31</v>
      </c>
      <c r="C6051">
        <v>160</v>
      </c>
      <c r="D6051" t="s">
        <v>290</v>
      </c>
      <c r="E6051">
        <v>2024</v>
      </c>
      <c r="F6051">
        <v>6</v>
      </c>
    </row>
    <row r="6052" spans="1:6" x14ac:dyDescent="0.55000000000000004">
      <c r="A6052" t="s">
        <v>164</v>
      </c>
      <c r="B6052" t="s">
        <v>32</v>
      </c>
      <c r="C6052">
        <v>546918.81999999995</v>
      </c>
      <c r="D6052" t="s">
        <v>290</v>
      </c>
      <c r="E6052">
        <v>2024</v>
      </c>
      <c r="F6052">
        <v>6</v>
      </c>
    </row>
    <row r="6053" spans="1:6" x14ac:dyDescent="0.55000000000000004">
      <c r="A6053" t="s">
        <v>164</v>
      </c>
      <c r="B6053" t="s">
        <v>33</v>
      </c>
      <c r="C6053">
        <v>653476.8652</v>
      </c>
      <c r="D6053" t="s">
        <v>290</v>
      </c>
      <c r="E6053">
        <v>2024</v>
      </c>
      <c r="F6053">
        <v>6</v>
      </c>
    </row>
    <row r="6054" spans="1:6" x14ac:dyDescent="0.55000000000000004">
      <c r="A6054" t="s">
        <v>164</v>
      </c>
      <c r="B6054" t="s">
        <v>34</v>
      </c>
      <c r="C6054">
        <v>395756.63439999998</v>
      </c>
      <c r="D6054" t="s">
        <v>290</v>
      </c>
      <c r="E6054">
        <v>2024</v>
      </c>
      <c r="F6054">
        <v>6</v>
      </c>
    </row>
    <row r="6055" spans="1:6" x14ac:dyDescent="0.55000000000000004">
      <c r="A6055" t="s">
        <v>164</v>
      </c>
      <c r="B6055" t="s">
        <v>35</v>
      </c>
      <c r="C6055">
        <v>1683.0685000000001</v>
      </c>
      <c r="D6055" t="s">
        <v>290</v>
      </c>
      <c r="E6055">
        <v>2024</v>
      </c>
      <c r="F6055">
        <v>6</v>
      </c>
    </row>
    <row r="6056" spans="1:6" x14ac:dyDescent="0.55000000000000004">
      <c r="A6056" t="s">
        <v>164</v>
      </c>
      <c r="B6056" t="s">
        <v>36</v>
      </c>
      <c r="C6056">
        <v>98150.876099999994</v>
      </c>
      <c r="D6056" t="s">
        <v>290</v>
      </c>
      <c r="E6056">
        <v>2024</v>
      </c>
      <c r="F6056">
        <v>6</v>
      </c>
    </row>
    <row r="6057" spans="1:6" x14ac:dyDescent="0.55000000000000004">
      <c r="A6057" t="s">
        <v>164</v>
      </c>
      <c r="B6057" t="s">
        <v>37</v>
      </c>
      <c r="C6057">
        <v>66699.996400000004</v>
      </c>
      <c r="D6057" t="s">
        <v>290</v>
      </c>
      <c r="E6057">
        <v>2024</v>
      </c>
      <c r="F6057">
        <v>6</v>
      </c>
    </row>
    <row r="6058" spans="1:6" x14ac:dyDescent="0.55000000000000004">
      <c r="A6058" t="s">
        <v>164</v>
      </c>
      <c r="B6058" t="s">
        <v>39</v>
      </c>
      <c r="C6058">
        <v>4804.0329000000002</v>
      </c>
      <c r="D6058" t="s">
        <v>290</v>
      </c>
      <c r="E6058">
        <v>2024</v>
      </c>
      <c r="F6058">
        <v>6</v>
      </c>
    </row>
    <row r="6059" spans="1:6" x14ac:dyDescent="0.55000000000000004">
      <c r="A6059" t="s">
        <v>164</v>
      </c>
      <c r="B6059" t="s">
        <v>40</v>
      </c>
      <c r="C6059">
        <v>669.99480000000005</v>
      </c>
      <c r="D6059" t="s">
        <v>290</v>
      </c>
      <c r="E6059">
        <v>2024</v>
      </c>
      <c r="F6059">
        <v>6</v>
      </c>
    </row>
    <row r="6060" spans="1:6" x14ac:dyDescent="0.55000000000000004">
      <c r="A6060" t="s">
        <v>164</v>
      </c>
      <c r="B6060" t="s">
        <v>41</v>
      </c>
      <c r="C6060">
        <v>307000.0086</v>
      </c>
      <c r="D6060" t="s">
        <v>290</v>
      </c>
      <c r="E6060">
        <v>2024</v>
      </c>
      <c r="F6060">
        <v>6</v>
      </c>
    </row>
    <row r="6061" spans="1:6" x14ac:dyDescent="0.55000000000000004">
      <c r="A6061" t="s">
        <v>164</v>
      </c>
      <c r="B6061" t="s">
        <v>42</v>
      </c>
      <c r="C6061">
        <v>409.23770000000002</v>
      </c>
      <c r="D6061" t="s">
        <v>290</v>
      </c>
      <c r="E6061">
        <v>2024</v>
      </c>
      <c r="F6061">
        <v>6</v>
      </c>
    </row>
    <row r="6062" spans="1:6" x14ac:dyDescent="0.55000000000000004">
      <c r="A6062" t="s">
        <v>164</v>
      </c>
      <c r="B6062" t="s">
        <v>43</v>
      </c>
      <c r="C6062">
        <v>237700</v>
      </c>
      <c r="D6062" t="s">
        <v>290</v>
      </c>
      <c r="E6062">
        <v>2024</v>
      </c>
      <c r="F6062">
        <v>6</v>
      </c>
    </row>
    <row r="6063" spans="1:6" x14ac:dyDescent="0.55000000000000004">
      <c r="A6063" t="s">
        <v>164</v>
      </c>
      <c r="B6063" t="s">
        <v>44</v>
      </c>
      <c r="C6063">
        <v>0</v>
      </c>
      <c r="D6063" t="s">
        <v>290</v>
      </c>
      <c r="E6063">
        <v>2024</v>
      </c>
      <c r="F6063">
        <v>6</v>
      </c>
    </row>
    <row r="6064" spans="1:6" x14ac:dyDescent="0.55000000000000004">
      <c r="A6064" t="s">
        <v>164</v>
      </c>
      <c r="B6064" t="s">
        <v>45</v>
      </c>
      <c r="C6064">
        <v>4303.5360000000001</v>
      </c>
      <c r="D6064" t="s">
        <v>290</v>
      </c>
      <c r="E6064">
        <v>2024</v>
      </c>
      <c r="F6064">
        <v>6</v>
      </c>
    </row>
    <row r="6065" spans="1:6" x14ac:dyDescent="0.55000000000000004">
      <c r="A6065" t="s">
        <v>164</v>
      </c>
      <c r="B6065" t="s">
        <v>46</v>
      </c>
      <c r="C6065">
        <v>73937.240000000005</v>
      </c>
      <c r="D6065" t="s">
        <v>290</v>
      </c>
      <c r="E6065">
        <v>2024</v>
      </c>
      <c r="F6065">
        <v>6</v>
      </c>
    </row>
    <row r="6066" spans="1:6" x14ac:dyDescent="0.55000000000000004">
      <c r="A6066" t="s">
        <v>164</v>
      </c>
      <c r="B6066" t="s">
        <v>47</v>
      </c>
      <c r="C6066">
        <v>0.41670000000000001</v>
      </c>
      <c r="D6066" t="s">
        <v>290</v>
      </c>
      <c r="E6066">
        <v>2024</v>
      </c>
      <c r="F6066">
        <v>6</v>
      </c>
    </row>
    <row r="6067" spans="1:6" x14ac:dyDescent="0.55000000000000004">
      <c r="A6067" t="s">
        <v>164</v>
      </c>
      <c r="B6067" t="s">
        <v>48</v>
      </c>
      <c r="C6067">
        <v>246284.3118</v>
      </c>
      <c r="D6067" t="s">
        <v>290</v>
      </c>
      <c r="E6067">
        <v>2024</v>
      </c>
      <c r="F6067">
        <v>6</v>
      </c>
    </row>
    <row r="6068" spans="1:6" x14ac:dyDescent="0.55000000000000004">
      <c r="A6068" t="s">
        <v>164</v>
      </c>
      <c r="B6068" t="s">
        <v>49</v>
      </c>
      <c r="C6068">
        <v>35.833399999999997</v>
      </c>
      <c r="D6068" t="s">
        <v>290</v>
      </c>
      <c r="E6068">
        <v>2024</v>
      </c>
      <c r="F6068">
        <v>6</v>
      </c>
    </row>
    <row r="6069" spans="1:6" x14ac:dyDescent="0.55000000000000004">
      <c r="A6069" t="s">
        <v>164</v>
      </c>
      <c r="B6069" t="s">
        <v>50</v>
      </c>
      <c r="C6069">
        <v>21090.000100000001</v>
      </c>
      <c r="D6069" t="s">
        <v>290</v>
      </c>
      <c r="E6069">
        <v>2024</v>
      </c>
      <c r="F6069">
        <v>6</v>
      </c>
    </row>
    <row r="6070" spans="1:6" x14ac:dyDescent="0.55000000000000004">
      <c r="A6070" t="s">
        <v>164</v>
      </c>
      <c r="B6070" t="s">
        <v>51</v>
      </c>
      <c r="C6070">
        <v>5000</v>
      </c>
      <c r="D6070" t="s">
        <v>290</v>
      </c>
      <c r="E6070">
        <v>2024</v>
      </c>
      <c r="F6070">
        <v>6</v>
      </c>
    </row>
    <row r="6071" spans="1:6" x14ac:dyDescent="0.55000000000000004">
      <c r="A6071" t="s">
        <v>164</v>
      </c>
      <c r="B6071" t="s">
        <v>52</v>
      </c>
      <c r="C6071">
        <v>12.917899999999999</v>
      </c>
      <c r="D6071" t="s">
        <v>290</v>
      </c>
      <c r="E6071">
        <v>2024</v>
      </c>
      <c r="F6071">
        <v>6</v>
      </c>
    </row>
    <row r="6072" spans="1:6" x14ac:dyDescent="0.55000000000000004">
      <c r="A6072" t="s">
        <v>164</v>
      </c>
      <c r="B6072" t="s">
        <v>53</v>
      </c>
      <c r="C6072">
        <v>20807.32</v>
      </c>
      <c r="D6072" t="s">
        <v>290</v>
      </c>
      <c r="E6072">
        <v>2024</v>
      </c>
      <c r="F6072">
        <v>6</v>
      </c>
    </row>
    <row r="6073" spans="1:6" x14ac:dyDescent="0.55000000000000004">
      <c r="A6073" t="s">
        <v>164</v>
      </c>
      <c r="B6073" t="s">
        <v>54</v>
      </c>
      <c r="C6073">
        <v>17727.418300000001</v>
      </c>
      <c r="D6073" t="s">
        <v>290</v>
      </c>
      <c r="E6073">
        <v>2024</v>
      </c>
      <c r="F6073">
        <v>6</v>
      </c>
    </row>
    <row r="6074" spans="1:6" x14ac:dyDescent="0.55000000000000004">
      <c r="A6074" t="s">
        <v>164</v>
      </c>
      <c r="B6074" t="s">
        <v>55</v>
      </c>
      <c r="C6074">
        <v>1181.2333000000001</v>
      </c>
      <c r="D6074" t="s">
        <v>290</v>
      </c>
      <c r="E6074">
        <v>2024</v>
      </c>
      <c r="F6074">
        <v>6</v>
      </c>
    </row>
    <row r="6075" spans="1:6" x14ac:dyDescent="0.55000000000000004">
      <c r="A6075" t="s">
        <v>164</v>
      </c>
      <c r="B6075" t="s">
        <v>56</v>
      </c>
      <c r="C6075">
        <v>3026.3733000000002</v>
      </c>
      <c r="D6075" t="s">
        <v>290</v>
      </c>
      <c r="E6075">
        <v>2024</v>
      </c>
      <c r="F6075">
        <v>6</v>
      </c>
    </row>
    <row r="6076" spans="1:6" x14ac:dyDescent="0.55000000000000004">
      <c r="A6076" t="s">
        <v>164</v>
      </c>
      <c r="B6076" t="s">
        <v>57</v>
      </c>
      <c r="C6076">
        <v>757.69619999999998</v>
      </c>
      <c r="D6076" t="s">
        <v>290</v>
      </c>
      <c r="E6076">
        <v>2024</v>
      </c>
      <c r="F6076">
        <v>6</v>
      </c>
    </row>
    <row r="6077" spans="1:6" x14ac:dyDescent="0.55000000000000004">
      <c r="A6077" t="s">
        <v>164</v>
      </c>
      <c r="B6077" t="s">
        <v>58</v>
      </c>
      <c r="C6077">
        <v>667288</v>
      </c>
      <c r="D6077" t="s">
        <v>290</v>
      </c>
      <c r="E6077">
        <v>2024</v>
      </c>
      <c r="F6077">
        <v>6</v>
      </c>
    </row>
    <row r="6078" spans="1:6" x14ac:dyDescent="0.55000000000000004">
      <c r="A6078" t="s">
        <v>164</v>
      </c>
      <c r="B6078" t="s">
        <v>59</v>
      </c>
      <c r="C6078">
        <v>1200</v>
      </c>
      <c r="D6078" t="s">
        <v>290</v>
      </c>
      <c r="E6078">
        <v>2024</v>
      </c>
      <c r="F6078">
        <v>6</v>
      </c>
    </row>
    <row r="6079" spans="1:6" x14ac:dyDescent="0.55000000000000004">
      <c r="A6079" t="s">
        <v>164</v>
      </c>
      <c r="B6079" t="s">
        <v>60</v>
      </c>
      <c r="C6079">
        <v>1349622.1945</v>
      </c>
      <c r="D6079" t="s">
        <v>290</v>
      </c>
      <c r="E6079">
        <v>2024</v>
      </c>
      <c r="F6079">
        <v>6</v>
      </c>
    </row>
    <row r="6080" spans="1:6" x14ac:dyDescent="0.55000000000000004">
      <c r="A6080" t="s">
        <v>164</v>
      </c>
      <c r="B6080" t="s">
        <v>61</v>
      </c>
      <c r="C6080">
        <v>3254.4666999999999</v>
      </c>
      <c r="D6080" t="s">
        <v>290</v>
      </c>
      <c r="E6080">
        <v>2024</v>
      </c>
      <c r="F6080">
        <v>6</v>
      </c>
    </row>
    <row r="6081" spans="1:6" x14ac:dyDescent="0.55000000000000004">
      <c r="A6081" t="s">
        <v>164</v>
      </c>
      <c r="B6081" t="s">
        <v>62</v>
      </c>
      <c r="C6081">
        <v>1606.6742999999999</v>
      </c>
      <c r="D6081" t="s">
        <v>290</v>
      </c>
      <c r="E6081">
        <v>2024</v>
      </c>
      <c r="F6081">
        <v>6</v>
      </c>
    </row>
    <row r="6082" spans="1:6" x14ac:dyDescent="0.55000000000000004">
      <c r="A6082" t="s">
        <v>164</v>
      </c>
      <c r="B6082" t="s">
        <v>63</v>
      </c>
      <c r="C6082">
        <v>0</v>
      </c>
      <c r="D6082" t="s">
        <v>290</v>
      </c>
      <c r="E6082">
        <v>2024</v>
      </c>
      <c r="F6082">
        <v>6</v>
      </c>
    </row>
    <row r="6083" spans="1:6" x14ac:dyDescent="0.55000000000000004">
      <c r="A6083" t="s">
        <v>165</v>
      </c>
      <c r="B6083" t="s">
        <v>4</v>
      </c>
      <c r="C6083">
        <v>11662271.2818</v>
      </c>
      <c r="D6083" t="s">
        <v>291</v>
      </c>
      <c r="E6083">
        <v>2024</v>
      </c>
      <c r="F6083">
        <v>7</v>
      </c>
    </row>
    <row r="6084" spans="1:6" x14ac:dyDescent="0.55000000000000004">
      <c r="A6084" t="s">
        <v>165</v>
      </c>
      <c r="B6084" t="s">
        <v>5</v>
      </c>
      <c r="C6084">
        <v>1155295.8282000001</v>
      </c>
      <c r="D6084" t="s">
        <v>291</v>
      </c>
      <c r="E6084">
        <v>2024</v>
      </c>
      <c r="F6084">
        <v>7</v>
      </c>
    </row>
    <row r="6085" spans="1:6" x14ac:dyDescent="0.55000000000000004">
      <c r="A6085" t="s">
        <v>165</v>
      </c>
      <c r="B6085" t="s">
        <v>6</v>
      </c>
      <c r="C6085">
        <v>2630104.0624000002</v>
      </c>
      <c r="D6085" t="s">
        <v>291</v>
      </c>
      <c r="E6085">
        <v>2024</v>
      </c>
      <c r="F6085">
        <v>7</v>
      </c>
    </row>
    <row r="6086" spans="1:6" x14ac:dyDescent="0.55000000000000004">
      <c r="A6086" t="s">
        <v>165</v>
      </c>
      <c r="B6086" t="s">
        <v>7</v>
      </c>
      <c r="C6086">
        <v>3599141.3665</v>
      </c>
      <c r="D6086" t="s">
        <v>291</v>
      </c>
      <c r="E6086">
        <v>2024</v>
      </c>
      <c r="F6086">
        <v>7</v>
      </c>
    </row>
    <row r="6087" spans="1:6" x14ac:dyDescent="0.55000000000000004">
      <c r="A6087" t="s">
        <v>165</v>
      </c>
      <c r="B6087" t="s">
        <v>8</v>
      </c>
      <c r="C6087">
        <v>4277730.0247</v>
      </c>
      <c r="D6087" t="s">
        <v>291</v>
      </c>
      <c r="E6087">
        <v>2024</v>
      </c>
      <c r="F6087">
        <v>7</v>
      </c>
    </row>
    <row r="6088" spans="1:6" x14ac:dyDescent="0.55000000000000004">
      <c r="A6088" t="s">
        <v>165</v>
      </c>
      <c r="B6088" t="s">
        <v>9</v>
      </c>
      <c r="C6088">
        <v>1123.443</v>
      </c>
      <c r="D6088" t="s">
        <v>291</v>
      </c>
      <c r="E6088">
        <v>2024</v>
      </c>
      <c r="F6088">
        <v>7</v>
      </c>
    </row>
    <row r="6089" spans="1:6" x14ac:dyDescent="0.55000000000000004">
      <c r="A6089" t="s">
        <v>165</v>
      </c>
      <c r="B6089" t="s">
        <v>10</v>
      </c>
      <c r="C6089">
        <v>2104.1228999999998</v>
      </c>
      <c r="D6089" t="s">
        <v>291</v>
      </c>
      <c r="E6089">
        <v>2024</v>
      </c>
      <c r="F6089">
        <v>7</v>
      </c>
    </row>
    <row r="6090" spans="1:6" x14ac:dyDescent="0.55000000000000004">
      <c r="A6090" t="s">
        <v>165</v>
      </c>
      <c r="B6090" t="s">
        <v>11</v>
      </c>
      <c r="C6090">
        <v>3881567.0380000002</v>
      </c>
      <c r="D6090" t="s">
        <v>291</v>
      </c>
      <c r="E6090">
        <v>2024</v>
      </c>
      <c r="F6090">
        <v>7</v>
      </c>
    </row>
    <row r="6091" spans="1:6" x14ac:dyDescent="0.55000000000000004">
      <c r="A6091" t="s">
        <v>165</v>
      </c>
      <c r="B6091" t="s">
        <v>12</v>
      </c>
      <c r="C6091">
        <v>14000</v>
      </c>
      <c r="D6091" t="s">
        <v>291</v>
      </c>
      <c r="E6091">
        <v>2024</v>
      </c>
      <c r="F6091">
        <v>7</v>
      </c>
    </row>
    <row r="6092" spans="1:6" x14ac:dyDescent="0.55000000000000004">
      <c r="A6092" t="s">
        <v>165</v>
      </c>
      <c r="B6092" t="s">
        <v>13</v>
      </c>
      <c r="C6092">
        <v>30188.5834</v>
      </c>
      <c r="D6092" t="s">
        <v>291</v>
      </c>
      <c r="E6092">
        <v>2024</v>
      </c>
      <c r="F6092">
        <v>7</v>
      </c>
    </row>
    <row r="6093" spans="1:6" x14ac:dyDescent="0.55000000000000004">
      <c r="A6093" t="s">
        <v>165</v>
      </c>
      <c r="B6093" t="s">
        <v>14</v>
      </c>
      <c r="C6093">
        <v>100</v>
      </c>
      <c r="D6093" t="s">
        <v>291</v>
      </c>
      <c r="E6093">
        <v>2024</v>
      </c>
      <c r="F6093">
        <v>7</v>
      </c>
    </row>
    <row r="6094" spans="1:6" x14ac:dyDescent="0.55000000000000004">
      <c r="A6094" t="s">
        <v>165</v>
      </c>
      <c r="B6094" t="s">
        <v>15</v>
      </c>
      <c r="C6094">
        <v>1030635.8739</v>
      </c>
      <c r="D6094" t="s">
        <v>291</v>
      </c>
      <c r="E6094">
        <v>2024</v>
      </c>
      <c r="F6094">
        <v>7</v>
      </c>
    </row>
    <row r="6095" spans="1:6" x14ac:dyDescent="0.55000000000000004">
      <c r="A6095" t="s">
        <v>165</v>
      </c>
      <c r="B6095" t="s">
        <v>16</v>
      </c>
      <c r="C6095">
        <v>0</v>
      </c>
      <c r="D6095" t="s">
        <v>291</v>
      </c>
      <c r="E6095">
        <v>2024</v>
      </c>
      <c r="F6095">
        <v>7</v>
      </c>
    </row>
    <row r="6096" spans="1:6" x14ac:dyDescent="0.55000000000000004">
      <c r="A6096" t="s">
        <v>165</v>
      </c>
      <c r="B6096" t="s">
        <v>17</v>
      </c>
      <c r="C6096">
        <v>107698.76579999999</v>
      </c>
      <c r="D6096" t="s">
        <v>291</v>
      </c>
      <c r="E6096">
        <v>2024</v>
      </c>
      <c r="F6096">
        <v>7</v>
      </c>
    </row>
    <row r="6097" spans="1:6" x14ac:dyDescent="0.55000000000000004">
      <c r="A6097" t="s">
        <v>165</v>
      </c>
      <c r="B6097" t="s">
        <v>18</v>
      </c>
      <c r="C6097">
        <v>128352.6991</v>
      </c>
      <c r="D6097" t="s">
        <v>291</v>
      </c>
      <c r="E6097">
        <v>2024</v>
      </c>
      <c r="F6097">
        <v>7</v>
      </c>
    </row>
    <row r="6098" spans="1:6" x14ac:dyDescent="0.55000000000000004">
      <c r="A6098" t="s">
        <v>165</v>
      </c>
      <c r="B6098" t="s">
        <v>19</v>
      </c>
      <c r="C6098">
        <v>500.00009999999997</v>
      </c>
      <c r="D6098" t="s">
        <v>291</v>
      </c>
      <c r="E6098">
        <v>2024</v>
      </c>
      <c r="F6098">
        <v>7</v>
      </c>
    </row>
    <row r="6099" spans="1:6" x14ac:dyDescent="0.55000000000000004">
      <c r="A6099" t="s">
        <v>165</v>
      </c>
      <c r="B6099" t="s">
        <v>20</v>
      </c>
      <c r="C6099">
        <v>16500</v>
      </c>
      <c r="D6099" t="s">
        <v>291</v>
      </c>
      <c r="E6099">
        <v>2024</v>
      </c>
      <c r="F6099">
        <v>7</v>
      </c>
    </row>
    <row r="6100" spans="1:6" x14ac:dyDescent="0.55000000000000004">
      <c r="A6100" t="s">
        <v>165</v>
      </c>
      <c r="B6100" t="s">
        <v>21</v>
      </c>
      <c r="C6100">
        <v>17000.003000000001</v>
      </c>
      <c r="D6100" t="s">
        <v>291</v>
      </c>
      <c r="E6100">
        <v>2024</v>
      </c>
      <c r="F6100">
        <v>7</v>
      </c>
    </row>
    <row r="6101" spans="1:6" x14ac:dyDescent="0.55000000000000004">
      <c r="A6101" t="s">
        <v>165</v>
      </c>
      <c r="B6101" t="s">
        <v>22</v>
      </c>
      <c r="C6101">
        <v>38800.103999999999</v>
      </c>
      <c r="D6101" t="s">
        <v>291</v>
      </c>
      <c r="E6101">
        <v>2024</v>
      </c>
      <c r="F6101">
        <v>7</v>
      </c>
    </row>
    <row r="6102" spans="1:6" x14ac:dyDescent="0.55000000000000004">
      <c r="A6102" t="s">
        <v>165</v>
      </c>
      <c r="B6102" t="s">
        <v>23</v>
      </c>
      <c r="C6102">
        <v>48565.617100000003</v>
      </c>
      <c r="D6102" t="s">
        <v>291</v>
      </c>
      <c r="E6102">
        <v>2024</v>
      </c>
      <c r="F6102">
        <v>7</v>
      </c>
    </row>
    <row r="6103" spans="1:6" x14ac:dyDescent="0.55000000000000004">
      <c r="A6103" t="s">
        <v>165</v>
      </c>
      <c r="B6103" t="s">
        <v>25</v>
      </c>
      <c r="C6103">
        <v>720000</v>
      </c>
      <c r="D6103" t="s">
        <v>291</v>
      </c>
      <c r="E6103">
        <v>2024</v>
      </c>
      <c r="F6103">
        <v>7</v>
      </c>
    </row>
    <row r="6104" spans="1:6" x14ac:dyDescent="0.55000000000000004">
      <c r="A6104" t="s">
        <v>165</v>
      </c>
      <c r="B6104" t="s">
        <v>27</v>
      </c>
      <c r="C6104">
        <v>1485.636</v>
      </c>
      <c r="D6104" t="s">
        <v>291</v>
      </c>
      <c r="E6104">
        <v>2024</v>
      </c>
      <c r="F6104">
        <v>7</v>
      </c>
    </row>
    <row r="6105" spans="1:6" x14ac:dyDescent="0.55000000000000004">
      <c r="A6105" t="s">
        <v>165</v>
      </c>
      <c r="B6105" t="s">
        <v>28</v>
      </c>
      <c r="C6105">
        <v>378357.0796</v>
      </c>
      <c r="D6105" t="s">
        <v>291</v>
      </c>
      <c r="E6105">
        <v>2024</v>
      </c>
      <c r="F6105">
        <v>7</v>
      </c>
    </row>
    <row r="6106" spans="1:6" x14ac:dyDescent="0.55000000000000004">
      <c r="A6106" t="s">
        <v>165</v>
      </c>
      <c r="B6106" t="s">
        <v>29</v>
      </c>
      <c r="C6106">
        <v>23433.1672</v>
      </c>
      <c r="D6106" t="s">
        <v>291</v>
      </c>
      <c r="E6106">
        <v>2024</v>
      </c>
      <c r="F6106">
        <v>7</v>
      </c>
    </row>
    <row r="6107" spans="1:6" x14ac:dyDescent="0.55000000000000004">
      <c r="A6107" t="s">
        <v>165</v>
      </c>
      <c r="B6107" t="s">
        <v>30</v>
      </c>
      <c r="C6107">
        <v>34.408900000000003</v>
      </c>
      <c r="D6107" t="s">
        <v>291</v>
      </c>
      <c r="E6107">
        <v>2024</v>
      </c>
      <c r="F6107">
        <v>7</v>
      </c>
    </row>
    <row r="6108" spans="1:6" x14ac:dyDescent="0.55000000000000004">
      <c r="A6108" t="s">
        <v>165</v>
      </c>
      <c r="B6108" t="s">
        <v>31</v>
      </c>
      <c r="C6108">
        <v>190</v>
      </c>
      <c r="D6108" t="s">
        <v>291</v>
      </c>
      <c r="E6108">
        <v>2024</v>
      </c>
      <c r="F6108">
        <v>7</v>
      </c>
    </row>
    <row r="6109" spans="1:6" x14ac:dyDescent="0.55000000000000004">
      <c r="A6109" t="s">
        <v>165</v>
      </c>
      <c r="B6109" t="s">
        <v>32</v>
      </c>
      <c r="C6109">
        <v>390567.23</v>
      </c>
      <c r="D6109" t="s">
        <v>291</v>
      </c>
      <c r="E6109">
        <v>2024</v>
      </c>
      <c r="F6109">
        <v>7</v>
      </c>
    </row>
    <row r="6110" spans="1:6" x14ac:dyDescent="0.55000000000000004">
      <c r="A6110" t="s">
        <v>165</v>
      </c>
      <c r="B6110" t="s">
        <v>33</v>
      </c>
      <c r="C6110">
        <v>458255.0846</v>
      </c>
      <c r="D6110" t="s">
        <v>291</v>
      </c>
      <c r="E6110">
        <v>2024</v>
      </c>
      <c r="F6110">
        <v>7</v>
      </c>
    </row>
    <row r="6111" spans="1:6" x14ac:dyDescent="0.55000000000000004">
      <c r="A6111" t="s">
        <v>165</v>
      </c>
      <c r="B6111" t="s">
        <v>34</v>
      </c>
      <c r="C6111">
        <v>793155.59459999995</v>
      </c>
      <c r="D6111" t="s">
        <v>291</v>
      </c>
      <c r="E6111">
        <v>2024</v>
      </c>
      <c r="F6111">
        <v>7</v>
      </c>
    </row>
    <row r="6112" spans="1:6" x14ac:dyDescent="0.55000000000000004">
      <c r="A6112" t="s">
        <v>165</v>
      </c>
      <c r="B6112" t="s">
        <v>35</v>
      </c>
      <c r="C6112">
        <v>944.78200000000004</v>
      </c>
      <c r="D6112" t="s">
        <v>291</v>
      </c>
      <c r="E6112">
        <v>2024</v>
      </c>
      <c r="F6112">
        <v>7</v>
      </c>
    </row>
    <row r="6113" spans="1:6" x14ac:dyDescent="0.55000000000000004">
      <c r="A6113" t="s">
        <v>165</v>
      </c>
      <c r="B6113" t="s">
        <v>36</v>
      </c>
      <c r="C6113">
        <v>118412.4243</v>
      </c>
      <c r="D6113" t="s">
        <v>291</v>
      </c>
      <c r="E6113">
        <v>2024</v>
      </c>
      <c r="F6113">
        <v>7</v>
      </c>
    </row>
    <row r="6114" spans="1:6" x14ac:dyDescent="0.55000000000000004">
      <c r="A6114" t="s">
        <v>165</v>
      </c>
      <c r="B6114" t="s">
        <v>37</v>
      </c>
      <c r="C6114">
        <v>45599.992100000003</v>
      </c>
      <c r="D6114" t="s">
        <v>291</v>
      </c>
      <c r="E6114">
        <v>2024</v>
      </c>
      <c r="F6114">
        <v>7</v>
      </c>
    </row>
    <row r="6115" spans="1:6" x14ac:dyDescent="0.55000000000000004">
      <c r="A6115" t="s">
        <v>165</v>
      </c>
      <c r="B6115" t="s">
        <v>39</v>
      </c>
      <c r="C6115">
        <v>8675.0691000000006</v>
      </c>
      <c r="D6115" t="s">
        <v>291</v>
      </c>
      <c r="E6115">
        <v>2024</v>
      </c>
      <c r="F6115">
        <v>7</v>
      </c>
    </row>
    <row r="6116" spans="1:6" x14ac:dyDescent="0.55000000000000004">
      <c r="A6116" t="s">
        <v>165</v>
      </c>
      <c r="B6116" t="s">
        <v>40</v>
      </c>
      <c r="C6116">
        <v>669.99480000000005</v>
      </c>
      <c r="D6116" t="s">
        <v>291</v>
      </c>
      <c r="E6116">
        <v>2024</v>
      </c>
      <c r="F6116">
        <v>7</v>
      </c>
    </row>
    <row r="6117" spans="1:6" x14ac:dyDescent="0.55000000000000004">
      <c r="A6117" t="s">
        <v>165</v>
      </c>
      <c r="B6117" t="s">
        <v>41</v>
      </c>
      <c r="C6117">
        <v>302999.995</v>
      </c>
      <c r="D6117" t="s">
        <v>291</v>
      </c>
      <c r="E6117">
        <v>2024</v>
      </c>
      <c r="F6117">
        <v>7</v>
      </c>
    </row>
    <row r="6118" spans="1:6" x14ac:dyDescent="0.55000000000000004">
      <c r="A6118" t="s">
        <v>165</v>
      </c>
      <c r="B6118" t="s">
        <v>42</v>
      </c>
      <c r="C6118">
        <v>183.255</v>
      </c>
      <c r="D6118" t="s">
        <v>291</v>
      </c>
      <c r="E6118">
        <v>2024</v>
      </c>
      <c r="F6118">
        <v>7</v>
      </c>
    </row>
    <row r="6119" spans="1:6" x14ac:dyDescent="0.55000000000000004">
      <c r="A6119" t="s">
        <v>165</v>
      </c>
      <c r="B6119" t="s">
        <v>43</v>
      </c>
      <c r="C6119">
        <v>268699.9976</v>
      </c>
      <c r="D6119" t="s">
        <v>291</v>
      </c>
      <c r="E6119">
        <v>2024</v>
      </c>
      <c r="F6119">
        <v>7</v>
      </c>
    </row>
    <row r="6120" spans="1:6" x14ac:dyDescent="0.55000000000000004">
      <c r="A6120" t="s">
        <v>165</v>
      </c>
      <c r="B6120" t="s">
        <v>44</v>
      </c>
      <c r="C6120">
        <v>0</v>
      </c>
      <c r="D6120" t="s">
        <v>291</v>
      </c>
      <c r="E6120">
        <v>2024</v>
      </c>
      <c r="F6120">
        <v>7</v>
      </c>
    </row>
    <row r="6121" spans="1:6" x14ac:dyDescent="0.55000000000000004">
      <c r="A6121" t="s">
        <v>165</v>
      </c>
      <c r="B6121" t="s">
        <v>45</v>
      </c>
      <c r="C6121">
        <v>3610.9140000000002</v>
      </c>
      <c r="D6121" t="s">
        <v>291</v>
      </c>
      <c r="E6121">
        <v>2024</v>
      </c>
      <c r="F6121">
        <v>7</v>
      </c>
    </row>
    <row r="6122" spans="1:6" x14ac:dyDescent="0.55000000000000004">
      <c r="A6122" t="s">
        <v>165</v>
      </c>
      <c r="B6122" t="s">
        <v>46</v>
      </c>
      <c r="C6122">
        <v>89294.371799999994</v>
      </c>
      <c r="D6122" t="s">
        <v>291</v>
      </c>
      <c r="E6122">
        <v>2024</v>
      </c>
      <c r="F6122">
        <v>7</v>
      </c>
    </row>
    <row r="6123" spans="1:6" x14ac:dyDescent="0.55000000000000004">
      <c r="A6123" t="s">
        <v>165</v>
      </c>
      <c r="B6123" t="s">
        <v>47</v>
      </c>
      <c r="C6123">
        <v>4.7117000000000004</v>
      </c>
      <c r="D6123" t="s">
        <v>291</v>
      </c>
      <c r="E6123">
        <v>2024</v>
      </c>
      <c r="F6123">
        <v>7</v>
      </c>
    </row>
    <row r="6124" spans="1:6" x14ac:dyDescent="0.55000000000000004">
      <c r="A6124" t="s">
        <v>165</v>
      </c>
      <c r="B6124" t="s">
        <v>48</v>
      </c>
      <c r="C6124">
        <v>501784.0514</v>
      </c>
      <c r="D6124" t="s">
        <v>291</v>
      </c>
      <c r="E6124">
        <v>2024</v>
      </c>
      <c r="F6124">
        <v>7</v>
      </c>
    </row>
    <row r="6125" spans="1:6" x14ac:dyDescent="0.55000000000000004">
      <c r="A6125" t="s">
        <v>165</v>
      </c>
      <c r="B6125" t="s">
        <v>49</v>
      </c>
      <c r="C6125">
        <v>461.29199999999997</v>
      </c>
      <c r="D6125" t="s">
        <v>291</v>
      </c>
      <c r="E6125">
        <v>2024</v>
      </c>
      <c r="F6125">
        <v>7</v>
      </c>
    </row>
    <row r="6126" spans="1:6" x14ac:dyDescent="0.55000000000000004">
      <c r="A6126" t="s">
        <v>165</v>
      </c>
      <c r="B6126" t="s">
        <v>50</v>
      </c>
      <c r="C6126">
        <v>22099.995699999999</v>
      </c>
      <c r="D6126" t="s">
        <v>291</v>
      </c>
      <c r="E6126">
        <v>2024</v>
      </c>
      <c r="F6126">
        <v>7</v>
      </c>
    </row>
    <row r="6127" spans="1:6" x14ac:dyDescent="0.55000000000000004">
      <c r="A6127" t="s">
        <v>165</v>
      </c>
      <c r="B6127" t="s">
        <v>51</v>
      </c>
      <c r="C6127">
        <v>5000</v>
      </c>
      <c r="D6127" t="s">
        <v>291</v>
      </c>
      <c r="E6127">
        <v>2024</v>
      </c>
      <c r="F6127">
        <v>7</v>
      </c>
    </row>
    <row r="6128" spans="1:6" x14ac:dyDescent="0.55000000000000004">
      <c r="A6128" t="s">
        <v>165</v>
      </c>
      <c r="B6128" t="s">
        <v>52</v>
      </c>
      <c r="C6128">
        <v>54.188899999999997</v>
      </c>
      <c r="D6128" t="s">
        <v>291</v>
      </c>
      <c r="E6128">
        <v>2024</v>
      </c>
      <c r="F6128">
        <v>7</v>
      </c>
    </row>
    <row r="6129" spans="1:6" x14ac:dyDescent="0.55000000000000004">
      <c r="A6129" t="s">
        <v>165</v>
      </c>
      <c r="B6129" t="s">
        <v>53</v>
      </c>
      <c r="C6129">
        <v>26299.360000000001</v>
      </c>
      <c r="D6129" t="s">
        <v>291</v>
      </c>
      <c r="E6129">
        <v>2024</v>
      </c>
      <c r="F6129">
        <v>7</v>
      </c>
    </row>
    <row r="6130" spans="1:6" x14ac:dyDescent="0.55000000000000004">
      <c r="A6130" t="s">
        <v>165</v>
      </c>
      <c r="B6130" t="s">
        <v>54</v>
      </c>
      <c r="C6130">
        <v>17534.7431</v>
      </c>
      <c r="D6130" t="s">
        <v>291</v>
      </c>
      <c r="E6130">
        <v>2024</v>
      </c>
      <c r="F6130">
        <v>7</v>
      </c>
    </row>
    <row r="6131" spans="1:6" x14ac:dyDescent="0.55000000000000004">
      <c r="A6131" t="s">
        <v>165</v>
      </c>
      <c r="B6131" t="s">
        <v>55</v>
      </c>
      <c r="C6131">
        <v>3451.0167000000001</v>
      </c>
      <c r="D6131" t="s">
        <v>291</v>
      </c>
      <c r="E6131">
        <v>2024</v>
      </c>
      <c r="F6131">
        <v>7</v>
      </c>
    </row>
    <row r="6132" spans="1:6" x14ac:dyDescent="0.55000000000000004">
      <c r="A6132" t="s">
        <v>165</v>
      </c>
      <c r="B6132" t="s">
        <v>56</v>
      </c>
      <c r="C6132">
        <v>20625.919999999998</v>
      </c>
      <c r="D6132" t="s">
        <v>291</v>
      </c>
      <c r="E6132">
        <v>2024</v>
      </c>
      <c r="F6132">
        <v>7</v>
      </c>
    </row>
    <row r="6133" spans="1:6" x14ac:dyDescent="0.55000000000000004">
      <c r="A6133" t="s">
        <v>165</v>
      </c>
      <c r="B6133" t="s">
        <v>57</v>
      </c>
      <c r="C6133">
        <v>330.95710000000003</v>
      </c>
      <c r="D6133" t="s">
        <v>291</v>
      </c>
      <c r="E6133">
        <v>2024</v>
      </c>
      <c r="F6133">
        <v>7</v>
      </c>
    </row>
    <row r="6134" spans="1:6" x14ac:dyDescent="0.55000000000000004">
      <c r="A6134" t="s">
        <v>165</v>
      </c>
      <c r="B6134" t="s">
        <v>58</v>
      </c>
      <c r="C6134">
        <v>821593</v>
      </c>
      <c r="D6134" t="s">
        <v>291</v>
      </c>
      <c r="E6134">
        <v>2024</v>
      </c>
      <c r="F6134">
        <v>7</v>
      </c>
    </row>
    <row r="6135" spans="1:6" x14ac:dyDescent="0.55000000000000004">
      <c r="A6135" t="s">
        <v>165</v>
      </c>
      <c r="B6135" t="s">
        <v>59</v>
      </c>
      <c r="C6135">
        <v>1100</v>
      </c>
      <c r="D6135" t="s">
        <v>291</v>
      </c>
      <c r="E6135">
        <v>2024</v>
      </c>
      <c r="F6135">
        <v>7</v>
      </c>
    </row>
    <row r="6136" spans="1:6" x14ac:dyDescent="0.55000000000000004">
      <c r="A6136" t="s">
        <v>165</v>
      </c>
      <c r="B6136" t="s">
        <v>60</v>
      </c>
      <c r="C6136">
        <v>1316866.2205000001</v>
      </c>
      <c r="D6136" t="s">
        <v>291</v>
      </c>
      <c r="E6136">
        <v>2024</v>
      </c>
      <c r="F6136">
        <v>7</v>
      </c>
    </row>
    <row r="6137" spans="1:6" x14ac:dyDescent="0.55000000000000004">
      <c r="A6137" t="s">
        <v>165</v>
      </c>
      <c r="B6137" t="s">
        <v>61</v>
      </c>
      <c r="C6137">
        <v>3137.1880999999998</v>
      </c>
      <c r="D6137" t="s">
        <v>291</v>
      </c>
      <c r="E6137">
        <v>2024</v>
      </c>
      <c r="F6137">
        <v>7</v>
      </c>
    </row>
    <row r="6138" spans="1:6" x14ac:dyDescent="0.55000000000000004">
      <c r="A6138" t="s">
        <v>165</v>
      </c>
      <c r="B6138" t="s">
        <v>62</v>
      </c>
      <c r="C6138">
        <v>223.3897</v>
      </c>
      <c r="D6138" t="s">
        <v>291</v>
      </c>
      <c r="E6138">
        <v>2024</v>
      </c>
      <c r="F6138">
        <v>7</v>
      </c>
    </row>
    <row r="6139" spans="1:6" x14ac:dyDescent="0.55000000000000004">
      <c r="A6139" t="s">
        <v>165</v>
      </c>
      <c r="B6139" t="s">
        <v>63</v>
      </c>
      <c r="C6139">
        <v>0</v>
      </c>
      <c r="D6139" t="s">
        <v>291</v>
      </c>
      <c r="E6139">
        <v>2024</v>
      </c>
      <c r="F6139">
        <v>7</v>
      </c>
    </row>
    <row r="6140" spans="1:6" x14ac:dyDescent="0.55000000000000004">
      <c r="A6140" t="s">
        <v>166</v>
      </c>
      <c r="B6140" t="s">
        <v>4</v>
      </c>
      <c r="C6140">
        <v>11803468.9575</v>
      </c>
      <c r="D6140" t="s">
        <v>292</v>
      </c>
      <c r="E6140">
        <v>2024</v>
      </c>
      <c r="F6140">
        <v>8</v>
      </c>
    </row>
    <row r="6141" spans="1:6" x14ac:dyDescent="0.55000000000000004">
      <c r="A6141" t="s">
        <v>166</v>
      </c>
      <c r="B6141" t="s">
        <v>5</v>
      </c>
      <c r="C6141">
        <v>1142837.7507</v>
      </c>
      <c r="D6141" t="s">
        <v>292</v>
      </c>
      <c r="E6141">
        <v>2024</v>
      </c>
      <c r="F6141">
        <v>8</v>
      </c>
    </row>
    <row r="6142" spans="1:6" x14ac:dyDescent="0.55000000000000004">
      <c r="A6142" t="s">
        <v>166</v>
      </c>
      <c r="B6142" t="s">
        <v>6</v>
      </c>
      <c r="C6142">
        <v>2330875.9807000002</v>
      </c>
      <c r="D6142" t="s">
        <v>292</v>
      </c>
      <c r="E6142">
        <v>2024</v>
      </c>
      <c r="F6142">
        <v>8</v>
      </c>
    </row>
    <row r="6143" spans="1:6" x14ac:dyDescent="0.55000000000000004">
      <c r="A6143" t="s">
        <v>166</v>
      </c>
      <c r="B6143" t="s">
        <v>7</v>
      </c>
      <c r="C6143">
        <v>3804914.3215000001</v>
      </c>
      <c r="D6143" t="s">
        <v>292</v>
      </c>
      <c r="E6143">
        <v>2024</v>
      </c>
      <c r="F6143">
        <v>8</v>
      </c>
    </row>
    <row r="6144" spans="1:6" x14ac:dyDescent="0.55000000000000004">
      <c r="A6144" t="s">
        <v>166</v>
      </c>
      <c r="B6144" t="s">
        <v>8</v>
      </c>
      <c r="C6144">
        <v>4524840.9046</v>
      </c>
      <c r="D6144" t="s">
        <v>292</v>
      </c>
      <c r="E6144">
        <v>2024</v>
      </c>
      <c r="F6144">
        <v>8</v>
      </c>
    </row>
    <row r="6145" spans="1:6" x14ac:dyDescent="0.55000000000000004">
      <c r="A6145" t="s">
        <v>166</v>
      </c>
      <c r="B6145" t="s">
        <v>9</v>
      </c>
      <c r="C6145">
        <v>1430.0118</v>
      </c>
      <c r="D6145" t="s">
        <v>292</v>
      </c>
      <c r="E6145">
        <v>2024</v>
      </c>
      <c r="F6145">
        <v>8</v>
      </c>
    </row>
    <row r="6146" spans="1:6" x14ac:dyDescent="0.55000000000000004">
      <c r="A6146" t="s">
        <v>166</v>
      </c>
      <c r="B6146" t="s">
        <v>10</v>
      </c>
      <c r="C6146">
        <v>3430.3332999999998</v>
      </c>
      <c r="D6146" t="s">
        <v>292</v>
      </c>
      <c r="E6146">
        <v>2024</v>
      </c>
      <c r="F6146">
        <v>8</v>
      </c>
    </row>
    <row r="6147" spans="1:6" x14ac:dyDescent="0.55000000000000004">
      <c r="A6147" t="s">
        <v>166</v>
      </c>
      <c r="B6147" t="s">
        <v>11</v>
      </c>
      <c r="C6147">
        <v>4092677.6348000001</v>
      </c>
      <c r="D6147" t="s">
        <v>292</v>
      </c>
      <c r="E6147">
        <v>2024</v>
      </c>
      <c r="F6147">
        <v>8</v>
      </c>
    </row>
    <row r="6148" spans="1:6" x14ac:dyDescent="0.55000000000000004">
      <c r="A6148" t="s">
        <v>166</v>
      </c>
      <c r="B6148" t="s">
        <v>12</v>
      </c>
      <c r="C6148">
        <v>12000</v>
      </c>
      <c r="D6148" t="s">
        <v>292</v>
      </c>
      <c r="E6148">
        <v>2024</v>
      </c>
      <c r="F6148">
        <v>8</v>
      </c>
    </row>
    <row r="6149" spans="1:6" x14ac:dyDescent="0.55000000000000004">
      <c r="A6149" t="s">
        <v>166</v>
      </c>
      <c r="B6149" t="s">
        <v>13</v>
      </c>
      <c r="C6149">
        <v>34445.769800000002</v>
      </c>
      <c r="D6149" t="s">
        <v>292</v>
      </c>
      <c r="E6149">
        <v>2024</v>
      </c>
      <c r="F6149">
        <v>8</v>
      </c>
    </row>
    <row r="6150" spans="1:6" x14ac:dyDescent="0.55000000000000004">
      <c r="A6150" t="s">
        <v>166</v>
      </c>
      <c r="B6150" t="s">
        <v>14</v>
      </c>
      <c r="C6150">
        <v>400</v>
      </c>
      <c r="D6150" t="s">
        <v>292</v>
      </c>
      <c r="E6150">
        <v>2024</v>
      </c>
      <c r="F6150">
        <v>8</v>
      </c>
    </row>
    <row r="6151" spans="1:6" x14ac:dyDescent="0.55000000000000004">
      <c r="A6151" t="s">
        <v>166</v>
      </c>
      <c r="B6151" t="s">
        <v>15</v>
      </c>
      <c r="C6151">
        <v>1038753.2727</v>
      </c>
      <c r="D6151" t="s">
        <v>292</v>
      </c>
      <c r="E6151">
        <v>2024</v>
      </c>
      <c r="F6151">
        <v>8</v>
      </c>
    </row>
    <row r="6152" spans="1:6" x14ac:dyDescent="0.55000000000000004">
      <c r="A6152" t="s">
        <v>166</v>
      </c>
      <c r="B6152" t="s">
        <v>16</v>
      </c>
      <c r="C6152">
        <v>0</v>
      </c>
      <c r="D6152" t="s">
        <v>292</v>
      </c>
      <c r="E6152">
        <v>2024</v>
      </c>
      <c r="F6152">
        <v>8</v>
      </c>
    </row>
    <row r="6153" spans="1:6" x14ac:dyDescent="0.55000000000000004">
      <c r="A6153" t="s">
        <v>166</v>
      </c>
      <c r="B6153" t="s">
        <v>17</v>
      </c>
      <c r="C6153">
        <v>128646.09</v>
      </c>
      <c r="D6153" t="s">
        <v>292</v>
      </c>
      <c r="E6153">
        <v>2024</v>
      </c>
      <c r="F6153">
        <v>8</v>
      </c>
    </row>
    <row r="6154" spans="1:6" x14ac:dyDescent="0.55000000000000004">
      <c r="A6154" t="s">
        <v>166</v>
      </c>
      <c r="B6154" t="s">
        <v>18</v>
      </c>
      <c r="C6154">
        <v>117758.88340000001</v>
      </c>
      <c r="D6154" t="s">
        <v>292</v>
      </c>
      <c r="E6154">
        <v>2024</v>
      </c>
      <c r="F6154">
        <v>8</v>
      </c>
    </row>
    <row r="6155" spans="1:6" x14ac:dyDescent="0.55000000000000004">
      <c r="A6155" t="s">
        <v>166</v>
      </c>
      <c r="B6155" t="s">
        <v>19</v>
      </c>
      <c r="C6155">
        <v>239.99590000000001</v>
      </c>
      <c r="D6155" t="s">
        <v>292</v>
      </c>
      <c r="E6155">
        <v>2024</v>
      </c>
      <c r="F6155">
        <v>8</v>
      </c>
    </row>
    <row r="6156" spans="1:6" x14ac:dyDescent="0.55000000000000004">
      <c r="A6156" t="s">
        <v>166</v>
      </c>
      <c r="B6156" t="s">
        <v>20</v>
      </c>
      <c r="C6156">
        <v>15000</v>
      </c>
      <c r="D6156" t="s">
        <v>292</v>
      </c>
      <c r="E6156">
        <v>2024</v>
      </c>
      <c r="F6156">
        <v>8</v>
      </c>
    </row>
    <row r="6157" spans="1:6" x14ac:dyDescent="0.55000000000000004">
      <c r="A6157" t="s">
        <v>166</v>
      </c>
      <c r="B6157" t="s">
        <v>21</v>
      </c>
      <c r="C6157">
        <v>13800.000899999999</v>
      </c>
      <c r="D6157" t="s">
        <v>292</v>
      </c>
      <c r="E6157">
        <v>2024</v>
      </c>
      <c r="F6157">
        <v>8</v>
      </c>
    </row>
    <row r="6158" spans="1:6" x14ac:dyDescent="0.55000000000000004">
      <c r="A6158" t="s">
        <v>166</v>
      </c>
      <c r="B6158" t="s">
        <v>22</v>
      </c>
      <c r="C6158">
        <v>68969.274000000005</v>
      </c>
      <c r="D6158" t="s">
        <v>292</v>
      </c>
      <c r="E6158">
        <v>2024</v>
      </c>
      <c r="F6158">
        <v>8</v>
      </c>
    </row>
    <row r="6159" spans="1:6" x14ac:dyDescent="0.55000000000000004">
      <c r="A6159" t="s">
        <v>166</v>
      </c>
      <c r="B6159" t="s">
        <v>23</v>
      </c>
      <c r="C6159">
        <v>32600</v>
      </c>
      <c r="D6159" t="s">
        <v>292</v>
      </c>
      <c r="E6159">
        <v>2024</v>
      </c>
      <c r="F6159">
        <v>8</v>
      </c>
    </row>
    <row r="6160" spans="1:6" x14ac:dyDescent="0.55000000000000004">
      <c r="A6160" t="s">
        <v>166</v>
      </c>
      <c r="B6160" t="s">
        <v>25</v>
      </c>
      <c r="C6160">
        <v>600000</v>
      </c>
      <c r="D6160" t="s">
        <v>292</v>
      </c>
      <c r="E6160">
        <v>2024</v>
      </c>
      <c r="F6160">
        <v>8</v>
      </c>
    </row>
    <row r="6161" spans="1:6" x14ac:dyDescent="0.55000000000000004">
      <c r="A6161" t="s">
        <v>166</v>
      </c>
      <c r="B6161" t="s">
        <v>27</v>
      </c>
      <c r="C6161">
        <v>447.31950000000001</v>
      </c>
      <c r="D6161" t="s">
        <v>292</v>
      </c>
      <c r="E6161">
        <v>2024</v>
      </c>
      <c r="F6161">
        <v>8</v>
      </c>
    </row>
    <row r="6162" spans="1:6" x14ac:dyDescent="0.55000000000000004">
      <c r="A6162" t="s">
        <v>166</v>
      </c>
      <c r="B6162" t="s">
        <v>28</v>
      </c>
      <c r="C6162">
        <v>278761.24420000002</v>
      </c>
      <c r="D6162" t="s">
        <v>292</v>
      </c>
      <c r="E6162">
        <v>2024</v>
      </c>
      <c r="F6162">
        <v>8</v>
      </c>
    </row>
    <row r="6163" spans="1:6" x14ac:dyDescent="0.55000000000000004">
      <c r="A6163" t="s">
        <v>166</v>
      </c>
      <c r="B6163" t="s">
        <v>29</v>
      </c>
      <c r="C6163">
        <v>14180.0003</v>
      </c>
      <c r="D6163" t="s">
        <v>292</v>
      </c>
      <c r="E6163">
        <v>2024</v>
      </c>
      <c r="F6163">
        <v>8</v>
      </c>
    </row>
    <row r="6164" spans="1:6" x14ac:dyDescent="0.55000000000000004">
      <c r="A6164" t="s">
        <v>166</v>
      </c>
      <c r="B6164" t="s">
        <v>30</v>
      </c>
      <c r="C6164">
        <v>33.884</v>
      </c>
      <c r="D6164" t="s">
        <v>292</v>
      </c>
      <c r="E6164">
        <v>2024</v>
      </c>
      <c r="F6164">
        <v>8</v>
      </c>
    </row>
    <row r="6165" spans="1:6" x14ac:dyDescent="0.55000000000000004">
      <c r="A6165" t="s">
        <v>166</v>
      </c>
      <c r="B6165" t="s">
        <v>31</v>
      </c>
      <c r="C6165">
        <v>10</v>
      </c>
      <c r="D6165" t="s">
        <v>292</v>
      </c>
      <c r="E6165">
        <v>2024</v>
      </c>
      <c r="F6165">
        <v>8</v>
      </c>
    </row>
    <row r="6166" spans="1:6" x14ac:dyDescent="0.55000000000000004">
      <c r="A6166" t="s">
        <v>166</v>
      </c>
      <c r="B6166" t="s">
        <v>32</v>
      </c>
      <c r="C6166">
        <v>248441</v>
      </c>
      <c r="D6166" t="s">
        <v>292</v>
      </c>
      <c r="E6166">
        <v>2024</v>
      </c>
      <c r="F6166">
        <v>8</v>
      </c>
    </row>
    <row r="6167" spans="1:6" x14ac:dyDescent="0.55000000000000004">
      <c r="A6167" t="s">
        <v>166</v>
      </c>
      <c r="B6167" t="s">
        <v>33</v>
      </c>
      <c r="C6167">
        <v>574268.64069999999</v>
      </c>
      <c r="D6167" t="s">
        <v>292</v>
      </c>
      <c r="E6167">
        <v>2024</v>
      </c>
      <c r="F6167">
        <v>8</v>
      </c>
    </row>
    <row r="6168" spans="1:6" x14ac:dyDescent="0.55000000000000004">
      <c r="A6168" t="s">
        <v>166</v>
      </c>
      <c r="B6168" t="s">
        <v>34</v>
      </c>
      <c r="C6168">
        <v>889633.02359999996</v>
      </c>
      <c r="D6168" t="s">
        <v>292</v>
      </c>
      <c r="E6168">
        <v>2024</v>
      </c>
      <c r="F6168">
        <v>8</v>
      </c>
    </row>
    <row r="6169" spans="1:6" x14ac:dyDescent="0.55000000000000004">
      <c r="A6169" t="s">
        <v>166</v>
      </c>
      <c r="B6169" t="s">
        <v>35</v>
      </c>
      <c r="C6169">
        <v>1233.6964</v>
      </c>
      <c r="D6169" t="s">
        <v>292</v>
      </c>
      <c r="E6169">
        <v>2024</v>
      </c>
      <c r="F6169">
        <v>8</v>
      </c>
    </row>
    <row r="6170" spans="1:6" x14ac:dyDescent="0.55000000000000004">
      <c r="A6170" t="s">
        <v>166</v>
      </c>
      <c r="B6170" t="s">
        <v>36</v>
      </c>
      <c r="C6170">
        <v>96599.998000000007</v>
      </c>
      <c r="D6170" t="s">
        <v>292</v>
      </c>
      <c r="E6170">
        <v>2024</v>
      </c>
      <c r="F6170">
        <v>8</v>
      </c>
    </row>
    <row r="6171" spans="1:6" x14ac:dyDescent="0.55000000000000004">
      <c r="A6171" t="s">
        <v>166</v>
      </c>
      <c r="B6171" t="s">
        <v>37</v>
      </c>
      <c r="C6171">
        <v>57300.001100000001</v>
      </c>
      <c r="D6171" t="s">
        <v>292</v>
      </c>
      <c r="E6171">
        <v>2024</v>
      </c>
      <c r="F6171">
        <v>8</v>
      </c>
    </row>
    <row r="6172" spans="1:6" x14ac:dyDescent="0.55000000000000004">
      <c r="A6172" t="s">
        <v>166</v>
      </c>
      <c r="B6172" t="s">
        <v>39</v>
      </c>
      <c r="C6172">
        <v>25816.128499999999</v>
      </c>
      <c r="D6172" t="s">
        <v>292</v>
      </c>
      <c r="E6172">
        <v>2024</v>
      </c>
      <c r="F6172">
        <v>8</v>
      </c>
    </row>
    <row r="6173" spans="1:6" x14ac:dyDescent="0.55000000000000004">
      <c r="A6173" t="s">
        <v>166</v>
      </c>
      <c r="B6173" t="s">
        <v>40</v>
      </c>
      <c r="C6173">
        <v>449.99520000000001</v>
      </c>
      <c r="D6173" t="s">
        <v>292</v>
      </c>
      <c r="E6173">
        <v>2024</v>
      </c>
      <c r="F6173">
        <v>8</v>
      </c>
    </row>
    <row r="6174" spans="1:6" x14ac:dyDescent="0.55000000000000004">
      <c r="A6174" t="s">
        <v>166</v>
      </c>
      <c r="B6174" t="s">
        <v>41</v>
      </c>
      <c r="C6174">
        <v>272999.98369999998</v>
      </c>
      <c r="D6174" t="s">
        <v>292</v>
      </c>
      <c r="E6174">
        <v>2024</v>
      </c>
      <c r="F6174">
        <v>8</v>
      </c>
    </row>
    <row r="6175" spans="1:6" x14ac:dyDescent="0.55000000000000004">
      <c r="A6175" t="s">
        <v>166</v>
      </c>
      <c r="B6175" t="s">
        <v>42</v>
      </c>
      <c r="C6175">
        <v>138.03819999999999</v>
      </c>
      <c r="D6175" t="s">
        <v>292</v>
      </c>
      <c r="E6175">
        <v>2024</v>
      </c>
      <c r="F6175">
        <v>8</v>
      </c>
    </row>
    <row r="6176" spans="1:6" x14ac:dyDescent="0.55000000000000004">
      <c r="A6176" t="s">
        <v>166</v>
      </c>
      <c r="B6176" t="s">
        <v>43</v>
      </c>
      <c r="C6176">
        <v>196499.9963</v>
      </c>
      <c r="D6176" t="s">
        <v>292</v>
      </c>
      <c r="E6176">
        <v>2024</v>
      </c>
      <c r="F6176">
        <v>8</v>
      </c>
    </row>
    <row r="6177" spans="1:6" x14ac:dyDescent="0.55000000000000004">
      <c r="A6177" t="s">
        <v>166</v>
      </c>
      <c r="B6177" t="s">
        <v>44</v>
      </c>
      <c r="C6177">
        <v>0</v>
      </c>
      <c r="D6177" t="s">
        <v>292</v>
      </c>
      <c r="E6177">
        <v>2024</v>
      </c>
      <c r="F6177">
        <v>8</v>
      </c>
    </row>
    <row r="6178" spans="1:6" x14ac:dyDescent="0.55000000000000004">
      <c r="A6178" t="s">
        <v>166</v>
      </c>
      <c r="B6178" t="s">
        <v>45</v>
      </c>
      <c r="C6178">
        <v>2523.3739999999998</v>
      </c>
      <c r="D6178" t="s">
        <v>292</v>
      </c>
      <c r="E6178">
        <v>2024</v>
      </c>
      <c r="F6178">
        <v>8</v>
      </c>
    </row>
    <row r="6179" spans="1:6" x14ac:dyDescent="0.55000000000000004">
      <c r="A6179" t="s">
        <v>166</v>
      </c>
      <c r="B6179" t="s">
        <v>46</v>
      </c>
      <c r="C6179">
        <v>88405.33</v>
      </c>
      <c r="D6179" t="s">
        <v>292</v>
      </c>
      <c r="E6179">
        <v>2024</v>
      </c>
      <c r="F6179">
        <v>8</v>
      </c>
    </row>
    <row r="6180" spans="1:6" x14ac:dyDescent="0.55000000000000004">
      <c r="A6180" t="s">
        <v>166</v>
      </c>
      <c r="B6180" t="s">
        <v>47</v>
      </c>
      <c r="C6180">
        <v>0.72829999999999995</v>
      </c>
      <c r="D6180" t="s">
        <v>292</v>
      </c>
      <c r="E6180">
        <v>2024</v>
      </c>
      <c r="F6180">
        <v>8</v>
      </c>
    </row>
    <row r="6181" spans="1:6" x14ac:dyDescent="0.55000000000000004">
      <c r="A6181" t="s">
        <v>166</v>
      </c>
      <c r="B6181" t="s">
        <v>48</v>
      </c>
      <c r="C6181">
        <v>553109.55740000005</v>
      </c>
      <c r="D6181" t="s">
        <v>292</v>
      </c>
      <c r="E6181">
        <v>2024</v>
      </c>
      <c r="F6181">
        <v>8</v>
      </c>
    </row>
    <row r="6182" spans="1:6" x14ac:dyDescent="0.55000000000000004">
      <c r="A6182" t="s">
        <v>166</v>
      </c>
      <c r="B6182" t="s">
        <v>49</v>
      </c>
      <c r="C6182">
        <v>347.05779999999999</v>
      </c>
      <c r="D6182" t="s">
        <v>292</v>
      </c>
      <c r="E6182">
        <v>2024</v>
      </c>
      <c r="F6182">
        <v>8</v>
      </c>
    </row>
    <row r="6183" spans="1:6" x14ac:dyDescent="0.55000000000000004">
      <c r="A6183" t="s">
        <v>166</v>
      </c>
      <c r="B6183" t="s">
        <v>50</v>
      </c>
      <c r="C6183">
        <v>22099.995699999999</v>
      </c>
      <c r="D6183" t="s">
        <v>292</v>
      </c>
      <c r="E6183">
        <v>2024</v>
      </c>
      <c r="F6183">
        <v>8</v>
      </c>
    </row>
    <row r="6184" spans="1:6" x14ac:dyDescent="0.55000000000000004">
      <c r="A6184" t="s">
        <v>166</v>
      </c>
      <c r="B6184" t="s">
        <v>51</v>
      </c>
      <c r="C6184">
        <v>4000</v>
      </c>
      <c r="D6184" t="s">
        <v>292</v>
      </c>
      <c r="E6184">
        <v>2024</v>
      </c>
      <c r="F6184">
        <v>8</v>
      </c>
    </row>
    <row r="6185" spans="1:6" x14ac:dyDescent="0.55000000000000004">
      <c r="A6185" t="s">
        <v>166</v>
      </c>
      <c r="B6185" t="s">
        <v>52</v>
      </c>
      <c r="C6185">
        <v>107.48779999999999</v>
      </c>
      <c r="D6185" t="s">
        <v>292</v>
      </c>
      <c r="E6185">
        <v>2024</v>
      </c>
      <c r="F6185">
        <v>8</v>
      </c>
    </row>
    <row r="6186" spans="1:6" x14ac:dyDescent="0.55000000000000004">
      <c r="A6186" t="s">
        <v>166</v>
      </c>
      <c r="B6186" t="s">
        <v>53</v>
      </c>
      <c r="C6186">
        <v>38900.04</v>
      </c>
      <c r="D6186" t="s">
        <v>292</v>
      </c>
      <c r="E6186">
        <v>2024</v>
      </c>
      <c r="F6186">
        <v>8</v>
      </c>
    </row>
    <row r="6187" spans="1:6" x14ac:dyDescent="0.55000000000000004">
      <c r="A6187" t="s">
        <v>166</v>
      </c>
      <c r="B6187" t="s">
        <v>54</v>
      </c>
      <c r="C6187">
        <v>20049.444899999999</v>
      </c>
      <c r="D6187" t="s">
        <v>292</v>
      </c>
      <c r="E6187">
        <v>2024</v>
      </c>
      <c r="F6187">
        <v>8</v>
      </c>
    </row>
    <row r="6188" spans="1:6" x14ac:dyDescent="0.55000000000000004">
      <c r="A6188" t="s">
        <v>166</v>
      </c>
      <c r="B6188" t="s">
        <v>55</v>
      </c>
      <c r="C6188">
        <v>5105.3177999999998</v>
      </c>
      <c r="D6188" t="s">
        <v>292</v>
      </c>
      <c r="E6188">
        <v>2024</v>
      </c>
      <c r="F6188">
        <v>8</v>
      </c>
    </row>
    <row r="6189" spans="1:6" x14ac:dyDescent="0.55000000000000004">
      <c r="A6189" t="s">
        <v>166</v>
      </c>
      <c r="B6189" t="s">
        <v>56</v>
      </c>
      <c r="C6189">
        <v>3116.6667000000002</v>
      </c>
      <c r="D6189" t="s">
        <v>292</v>
      </c>
      <c r="E6189">
        <v>2024</v>
      </c>
      <c r="F6189">
        <v>8</v>
      </c>
    </row>
    <row r="6190" spans="1:6" x14ac:dyDescent="0.55000000000000004">
      <c r="A6190" t="s">
        <v>166</v>
      </c>
      <c r="B6190" t="s">
        <v>57</v>
      </c>
      <c r="C6190">
        <v>243.46250000000001</v>
      </c>
      <c r="D6190" t="s">
        <v>292</v>
      </c>
      <c r="E6190">
        <v>2024</v>
      </c>
      <c r="F6190">
        <v>8</v>
      </c>
    </row>
    <row r="6191" spans="1:6" x14ac:dyDescent="0.55000000000000004">
      <c r="A6191" t="s">
        <v>166</v>
      </c>
      <c r="B6191" t="s">
        <v>58</v>
      </c>
      <c r="C6191">
        <v>837915</v>
      </c>
      <c r="D6191" t="s">
        <v>292</v>
      </c>
      <c r="E6191">
        <v>2024</v>
      </c>
      <c r="F6191">
        <v>8</v>
      </c>
    </row>
    <row r="6192" spans="1:6" x14ac:dyDescent="0.55000000000000004">
      <c r="A6192" t="s">
        <v>166</v>
      </c>
      <c r="B6192" t="s">
        <v>59</v>
      </c>
      <c r="C6192">
        <v>15100</v>
      </c>
      <c r="D6192" t="s">
        <v>292</v>
      </c>
      <c r="E6192">
        <v>2024</v>
      </c>
      <c r="F6192">
        <v>8</v>
      </c>
    </row>
    <row r="6193" spans="1:6" x14ac:dyDescent="0.55000000000000004">
      <c r="A6193" t="s">
        <v>166</v>
      </c>
      <c r="B6193" t="s">
        <v>60</v>
      </c>
      <c r="C6193">
        <v>1389635.4749</v>
      </c>
      <c r="D6193" t="s">
        <v>292</v>
      </c>
      <c r="E6193">
        <v>2024</v>
      </c>
      <c r="F6193">
        <v>8</v>
      </c>
    </row>
    <row r="6194" spans="1:6" x14ac:dyDescent="0.55000000000000004">
      <c r="A6194" t="s">
        <v>166</v>
      </c>
      <c r="B6194" t="s">
        <v>61</v>
      </c>
      <c r="C6194">
        <v>4169.4116999999997</v>
      </c>
      <c r="D6194" t="s">
        <v>292</v>
      </c>
      <c r="E6194">
        <v>2024</v>
      </c>
      <c r="F6194">
        <v>8</v>
      </c>
    </row>
    <row r="6195" spans="1:6" x14ac:dyDescent="0.55000000000000004">
      <c r="A6195" t="s">
        <v>166</v>
      </c>
      <c r="B6195" t="s">
        <v>62</v>
      </c>
      <c r="C6195">
        <v>1546.3916999999999</v>
      </c>
      <c r="D6195" t="s">
        <v>292</v>
      </c>
      <c r="E6195">
        <v>2024</v>
      </c>
      <c r="F6195">
        <v>8</v>
      </c>
    </row>
    <row r="6196" spans="1:6" x14ac:dyDescent="0.55000000000000004">
      <c r="A6196" t="s">
        <v>166</v>
      </c>
      <c r="B6196" t="s">
        <v>63</v>
      </c>
      <c r="C6196">
        <v>130</v>
      </c>
      <c r="D6196" t="s">
        <v>292</v>
      </c>
      <c r="E6196">
        <v>2024</v>
      </c>
      <c r="F6196">
        <v>8</v>
      </c>
    </row>
    <row r="6197" spans="1:6" x14ac:dyDescent="0.55000000000000004">
      <c r="A6197" t="s">
        <v>167</v>
      </c>
      <c r="B6197" t="s">
        <v>4</v>
      </c>
      <c r="C6197">
        <v>11350700.894300001</v>
      </c>
      <c r="D6197" t="s">
        <v>293</v>
      </c>
      <c r="E6197">
        <v>2024</v>
      </c>
      <c r="F6197">
        <v>9</v>
      </c>
    </row>
    <row r="6198" spans="1:6" x14ac:dyDescent="0.55000000000000004">
      <c r="A6198" t="s">
        <v>167</v>
      </c>
      <c r="B6198" t="s">
        <v>5</v>
      </c>
      <c r="C6198">
        <v>1102058.2845999999</v>
      </c>
      <c r="D6198" t="s">
        <v>293</v>
      </c>
      <c r="E6198">
        <v>2024</v>
      </c>
      <c r="F6198">
        <v>9</v>
      </c>
    </row>
    <row r="6199" spans="1:6" x14ac:dyDescent="0.55000000000000004">
      <c r="A6199" t="s">
        <v>167</v>
      </c>
      <c r="B6199" t="s">
        <v>6</v>
      </c>
      <c r="C6199">
        <v>2139831.3094000001</v>
      </c>
      <c r="D6199" t="s">
        <v>293</v>
      </c>
      <c r="E6199">
        <v>2024</v>
      </c>
      <c r="F6199">
        <v>9</v>
      </c>
    </row>
    <row r="6200" spans="1:6" x14ac:dyDescent="0.55000000000000004">
      <c r="A6200" t="s">
        <v>167</v>
      </c>
      <c r="B6200" t="s">
        <v>7</v>
      </c>
      <c r="C6200">
        <v>4367186.8870999999</v>
      </c>
      <c r="D6200" t="s">
        <v>293</v>
      </c>
      <c r="E6200">
        <v>2024</v>
      </c>
      <c r="F6200">
        <v>9</v>
      </c>
    </row>
    <row r="6201" spans="1:6" x14ac:dyDescent="0.55000000000000004">
      <c r="A6201" t="s">
        <v>167</v>
      </c>
      <c r="B6201" t="s">
        <v>8</v>
      </c>
      <c r="C6201">
        <v>3741624.4131999998</v>
      </c>
      <c r="D6201" t="s">
        <v>293</v>
      </c>
      <c r="E6201">
        <v>2024</v>
      </c>
      <c r="F6201">
        <v>9</v>
      </c>
    </row>
    <row r="6202" spans="1:6" x14ac:dyDescent="0.55000000000000004">
      <c r="A6202" t="s">
        <v>167</v>
      </c>
      <c r="B6202" t="s">
        <v>9</v>
      </c>
      <c r="C6202">
        <v>3136.5</v>
      </c>
      <c r="D6202" t="s">
        <v>293</v>
      </c>
      <c r="E6202">
        <v>2024</v>
      </c>
      <c r="F6202">
        <v>9</v>
      </c>
    </row>
    <row r="6203" spans="1:6" x14ac:dyDescent="0.55000000000000004">
      <c r="A6203" t="s">
        <v>167</v>
      </c>
      <c r="B6203" t="s">
        <v>10</v>
      </c>
      <c r="C6203">
        <v>4786</v>
      </c>
      <c r="D6203" t="s">
        <v>293</v>
      </c>
      <c r="E6203">
        <v>2024</v>
      </c>
      <c r="F6203">
        <v>9</v>
      </c>
    </row>
    <row r="6204" spans="1:6" x14ac:dyDescent="0.55000000000000004">
      <c r="A6204" t="s">
        <v>167</v>
      </c>
      <c r="B6204" t="s">
        <v>11</v>
      </c>
      <c r="C6204">
        <v>4921683.9052999998</v>
      </c>
      <c r="D6204" t="s">
        <v>293</v>
      </c>
      <c r="E6204">
        <v>2024</v>
      </c>
      <c r="F6204">
        <v>9</v>
      </c>
    </row>
    <row r="6205" spans="1:6" x14ac:dyDescent="0.55000000000000004">
      <c r="A6205" t="s">
        <v>167</v>
      </c>
      <c r="B6205" t="s">
        <v>12</v>
      </c>
      <c r="C6205">
        <v>10000</v>
      </c>
      <c r="D6205" t="s">
        <v>293</v>
      </c>
      <c r="E6205">
        <v>2024</v>
      </c>
      <c r="F6205">
        <v>9</v>
      </c>
    </row>
    <row r="6206" spans="1:6" x14ac:dyDescent="0.55000000000000004">
      <c r="A6206" t="s">
        <v>167</v>
      </c>
      <c r="B6206" t="s">
        <v>13</v>
      </c>
      <c r="C6206">
        <v>22345.382600000001</v>
      </c>
      <c r="D6206" t="s">
        <v>293</v>
      </c>
      <c r="E6206">
        <v>2024</v>
      </c>
      <c r="F6206">
        <v>9</v>
      </c>
    </row>
    <row r="6207" spans="1:6" x14ac:dyDescent="0.55000000000000004">
      <c r="A6207" t="s">
        <v>167</v>
      </c>
      <c r="B6207" t="s">
        <v>14</v>
      </c>
      <c r="C6207">
        <v>300</v>
      </c>
      <c r="D6207" t="s">
        <v>293</v>
      </c>
      <c r="E6207">
        <v>2024</v>
      </c>
      <c r="F6207">
        <v>9</v>
      </c>
    </row>
    <row r="6208" spans="1:6" x14ac:dyDescent="0.55000000000000004">
      <c r="A6208" t="s">
        <v>167</v>
      </c>
      <c r="B6208" t="s">
        <v>15</v>
      </c>
      <c r="C6208">
        <v>1005350.1623</v>
      </c>
      <c r="D6208" t="s">
        <v>293</v>
      </c>
      <c r="E6208">
        <v>2024</v>
      </c>
      <c r="F6208">
        <v>9</v>
      </c>
    </row>
    <row r="6209" spans="1:6" x14ac:dyDescent="0.55000000000000004">
      <c r="A6209" t="s">
        <v>167</v>
      </c>
      <c r="B6209" t="s">
        <v>16</v>
      </c>
      <c r="C6209">
        <v>0</v>
      </c>
      <c r="D6209" t="s">
        <v>293</v>
      </c>
      <c r="E6209">
        <v>2024</v>
      </c>
      <c r="F6209">
        <v>9</v>
      </c>
    </row>
    <row r="6210" spans="1:6" x14ac:dyDescent="0.55000000000000004">
      <c r="A6210" t="s">
        <v>167</v>
      </c>
      <c r="B6210" t="s">
        <v>17</v>
      </c>
      <c r="C6210">
        <v>95550.868499999997</v>
      </c>
      <c r="D6210" t="s">
        <v>293</v>
      </c>
      <c r="E6210">
        <v>2024</v>
      </c>
      <c r="F6210">
        <v>9</v>
      </c>
    </row>
    <row r="6211" spans="1:6" x14ac:dyDescent="0.55000000000000004">
      <c r="A6211" t="s">
        <v>167</v>
      </c>
      <c r="B6211" t="s">
        <v>18</v>
      </c>
      <c r="C6211">
        <v>82263.2503</v>
      </c>
      <c r="D6211" t="s">
        <v>293</v>
      </c>
      <c r="E6211">
        <v>2024</v>
      </c>
      <c r="F6211">
        <v>9</v>
      </c>
    </row>
    <row r="6212" spans="1:6" x14ac:dyDescent="0.55000000000000004">
      <c r="A6212" t="s">
        <v>167</v>
      </c>
      <c r="B6212" t="s">
        <v>19</v>
      </c>
      <c r="C6212">
        <v>200</v>
      </c>
      <c r="D6212" t="s">
        <v>293</v>
      </c>
      <c r="E6212">
        <v>2024</v>
      </c>
      <c r="F6212">
        <v>9</v>
      </c>
    </row>
    <row r="6213" spans="1:6" x14ac:dyDescent="0.55000000000000004">
      <c r="A6213" t="s">
        <v>167</v>
      </c>
      <c r="B6213" t="s">
        <v>20</v>
      </c>
      <c r="C6213">
        <v>14900</v>
      </c>
      <c r="D6213" t="s">
        <v>293</v>
      </c>
      <c r="E6213">
        <v>2024</v>
      </c>
      <c r="F6213">
        <v>9</v>
      </c>
    </row>
    <row r="6214" spans="1:6" x14ac:dyDescent="0.55000000000000004">
      <c r="A6214" t="s">
        <v>167</v>
      </c>
      <c r="B6214" t="s">
        <v>21</v>
      </c>
      <c r="C6214">
        <v>10079.998900000001</v>
      </c>
      <c r="D6214" t="s">
        <v>293</v>
      </c>
      <c r="E6214">
        <v>2024</v>
      </c>
      <c r="F6214">
        <v>9</v>
      </c>
    </row>
    <row r="6215" spans="1:6" x14ac:dyDescent="0.55000000000000004">
      <c r="A6215" t="s">
        <v>167</v>
      </c>
      <c r="B6215" t="s">
        <v>22</v>
      </c>
      <c r="C6215">
        <v>50821.896000000001</v>
      </c>
      <c r="D6215" t="s">
        <v>293</v>
      </c>
      <c r="E6215">
        <v>2024</v>
      </c>
      <c r="F6215">
        <v>9</v>
      </c>
    </row>
    <row r="6216" spans="1:6" x14ac:dyDescent="0.55000000000000004">
      <c r="A6216" t="s">
        <v>167</v>
      </c>
      <c r="B6216" t="s">
        <v>23</v>
      </c>
      <c r="C6216">
        <v>39600</v>
      </c>
      <c r="D6216" t="s">
        <v>293</v>
      </c>
      <c r="E6216">
        <v>2024</v>
      </c>
      <c r="F6216">
        <v>9</v>
      </c>
    </row>
    <row r="6217" spans="1:6" x14ac:dyDescent="0.55000000000000004">
      <c r="A6217" t="s">
        <v>167</v>
      </c>
      <c r="B6217" t="s">
        <v>25</v>
      </c>
      <c r="C6217">
        <v>540000</v>
      </c>
      <c r="D6217" t="s">
        <v>293</v>
      </c>
      <c r="E6217">
        <v>2024</v>
      </c>
      <c r="F6217">
        <v>9</v>
      </c>
    </row>
    <row r="6218" spans="1:6" x14ac:dyDescent="0.55000000000000004">
      <c r="A6218" t="s">
        <v>167</v>
      </c>
      <c r="B6218" t="s">
        <v>27</v>
      </c>
      <c r="C6218">
        <v>1957.8841</v>
      </c>
      <c r="D6218" t="s">
        <v>293</v>
      </c>
      <c r="E6218">
        <v>2024</v>
      </c>
      <c r="F6218">
        <v>9</v>
      </c>
    </row>
    <row r="6219" spans="1:6" x14ac:dyDescent="0.55000000000000004">
      <c r="A6219" t="s">
        <v>167</v>
      </c>
      <c r="B6219" t="s">
        <v>28</v>
      </c>
      <c r="C6219">
        <v>200684.45759999999</v>
      </c>
      <c r="D6219" t="s">
        <v>293</v>
      </c>
      <c r="E6219">
        <v>2024</v>
      </c>
      <c r="F6219">
        <v>9</v>
      </c>
    </row>
    <row r="6220" spans="1:6" x14ac:dyDescent="0.55000000000000004">
      <c r="A6220" t="s">
        <v>167</v>
      </c>
      <c r="B6220" t="s">
        <v>29</v>
      </c>
      <c r="C6220">
        <v>986.66669999999999</v>
      </c>
      <c r="D6220" t="s">
        <v>293</v>
      </c>
      <c r="E6220">
        <v>2024</v>
      </c>
      <c r="F6220">
        <v>9</v>
      </c>
    </row>
    <row r="6221" spans="1:6" x14ac:dyDescent="0.55000000000000004">
      <c r="A6221" t="s">
        <v>167</v>
      </c>
      <c r="B6221" t="s">
        <v>30</v>
      </c>
      <c r="C6221">
        <v>305.07749999999999</v>
      </c>
      <c r="D6221" t="s">
        <v>293</v>
      </c>
      <c r="E6221">
        <v>2024</v>
      </c>
      <c r="F6221">
        <v>9</v>
      </c>
    </row>
    <row r="6222" spans="1:6" x14ac:dyDescent="0.55000000000000004">
      <c r="A6222" t="s">
        <v>167</v>
      </c>
      <c r="B6222" t="s">
        <v>31</v>
      </c>
      <c r="C6222">
        <v>350</v>
      </c>
      <c r="D6222" t="s">
        <v>293</v>
      </c>
      <c r="E6222">
        <v>2024</v>
      </c>
      <c r="F6222">
        <v>9</v>
      </c>
    </row>
    <row r="6223" spans="1:6" x14ac:dyDescent="0.55000000000000004">
      <c r="A6223" t="s">
        <v>167</v>
      </c>
      <c r="B6223" t="s">
        <v>32</v>
      </c>
      <c r="C6223">
        <v>230321.03</v>
      </c>
      <c r="D6223" t="s">
        <v>293</v>
      </c>
      <c r="E6223">
        <v>2024</v>
      </c>
      <c r="F6223">
        <v>9</v>
      </c>
    </row>
    <row r="6224" spans="1:6" x14ac:dyDescent="0.55000000000000004">
      <c r="A6224" t="s">
        <v>167</v>
      </c>
      <c r="B6224" t="s">
        <v>33</v>
      </c>
      <c r="C6224">
        <v>555950.70070000004</v>
      </c>
      <c r="D6224" t="s">
        <v>293</v>
      </c>
      <c r="E6224">
        <v>2024</v>
      </c>
      <c r="F6224">
        <v>9</v>
      </c>
    </row>
    <row r="6225" spans="1:6" x14ac:dyDescent="0.55000000000000004">
      <c r="A6225" t="s">
        <v>167</v>
      </c>
      <c r="B6225" t="s">
        <v>34</v>
      </c>
      <c r="C6225">
        <v>653528.79240000003</v>
      </c>
      <c r="D6225" t="s">
        <v>293</v>
      </c>
      <c r="E6225">
        <v>2024</v>
      </c>
      <c r="F6225">
        <v>9</v>
      </c>
    </row>
    <row r="6226" spans="1:6" x14ac:dyDescent="0.55000000000000004">
      <c r="A6226" t="s">
        <v>167</v>
      </c>
      <c r="B6226" t="s">
        <v>35</v>
      </c>
      <c r="C6226">
        <v>488.0068</v>
      </c>
      <c r="D6226" t="s">
        <v>293</v>
      </c>
      <c r="E6226">
        <v>2024</v>
      </c>
      <c r="F6226">
        <v>9</v>
      </c>
    </row>
    <row r="6227" spans="1:6" x14ac:dyDescent="0.55000000000000004">
      <c r="A6227" t="s">
        <v>167</v>
      </c>
      <c r="B6227" t="s">
        <v>36</v>
      </c>
      <c r="C6227">
        <v>87500.002299999993</v>
      </c>
      <c r="D6227" t="s">
        <v>293</v>
      </c>
      <c r="E6227">
        <v>2024</v>
      </c>
      <c r="F6227">
        <v>9</v>
      </c>
    </row>
    <row r="6228" spans="1:6" x14ac:dyDescent="0.55000000000000004">
      <c r="A6228" t="s">
        <v>167</v>
      </c>
      <c r="B6228" t="s">
        <v>37</v>
      </c>
      <c r="C6228">
        <v>49799.995699999999</v>
      </c>
      <c r="D6228" t="s">
        <v>293</v>
      </c>
      <c r="E6228">
        <v>2024</v>
      </c>
      <c r="F6228">
        <v>9</v>
      </c>
    </row>
    <row r="6229" spans="1:6" x14ac:dyDescent="0.55000000000000004">
      <c r="A6229" t="s">
        <v>167</v>
      </c>
      <c r="B6229" t="s">
        <v>39</v>
      </c>
      <c r="C6229">
        <v>34842.392099999997</v>
      </c>
      <c r="D6229" t="s">
        <v>293</v>
      </c>
      <c r="E6229">
        <v>2024</v>
      </c>
      <c r="F6229">
        <v>9</v>
      </c>
    </row>
    <row r="6230" spans="1:6" x14ac:dyDescent="0.55000000000000004">
      <c r="A6230" t="s">
        <v>167</v>
      </c>
      <c r="B6230" t="s">
        <v>40</v>
      </c>
      <c r="C6230">
        <v>900.00229999999999</v>
      </c>
      <c r="D6230" t="s">
        <v>293</v>
      </c>
      <c r="E6230">
        <v>2024</v>
      </c>
      <c r="F6230">
        <v>9</v>
      </c>
    </row>
    <row r="6231" spans="1:6" x14ac:dyDescent="0.55000000000000004">
      <c r="A6231" t="s">
        <v>167</v>
      </c>
      <c r="B6231" t="s">
        <v>41</v>
      </c>
      <c r="C6231">
        <v>230000.00959999999</v>
      </c>
      <c r="D6231" t="s">
        <v>293</v>
      </c>
      <c r="E6231">
        <v>2024</v>
      </c>
      <c r="F6231">
        <v>9</v>
      </c>
    </row>
    <row r="6232" spans="1:6" x14ac:dyDescent="0.55000000000000004">
      <c r="A6232" t="s">
        <v>167</v>
      </c>
      <c r="B6232" t="s">
        <v>42</v>
      </c>
      <c r="C6232">
        <v>58.354999999999997</v>
      </c>
      <c r="D6232" t="s">
        <v>293</v>
      </c>
      <c r="E6232">
        <v>2024</v>
      </c>
      <c r="F6232">
        <v>9</v>
      </c>
    </row>
    <row r="6233" spans="1:6" x14ac:dyDescent="0.55000000000000004">
      <c r="A6233" t="s">
        <v>167</v>
      </c>
      <c r="B6233" t="s">
        <v>43</v>
      </c>
      <c r="C6233">
        <v>113300.00900000001</v>
      </c>
      <c r="D6233" t="s">
        <v>293</v>
      </c>
      <c r="E6233">
        <v>2024</v>
      </c>
      <c r="F6233">
        <v>9</v>
      </c>
    </row>
    <row r="6234" spans="1:6" x14ac:dyDescent="0.55000000000000004">
      <c r="A6234" t="s">
        <v>167</v>
      </c>
      <c r="B6234" t="s">
        <v>44</v>
      </c>
      <c r="C6234">
        <v>0</v>
      </c>
      <c r="D6234" t="s">
        <v>293</v>
      </c>
      <c r="E6234">
        <v>2024</v>
      </c>
      <c r="F6234">
        <v>9</v>
      </c>
    </row>
    <row r="6235" spans="1:6" x14ac:dyDescent="0.55000000000000004">
      <c r="A6235" t="s">
        <v>167</v>
      </c>
      <c r="B6235" t="s">
        <v>45</v>
      </c>
      <c r="C6235">
        <v>3796.1224999999999</v>
      </c>
      <c r="D6235" t="s">
        <v>293</v>
      </c>
      <c r="E6235">
        <v>2024</v>
      </c>
      <c r="F6235">
        <v>9</v>
      </c>
    </row>
    <row r="6236" spans="1:6" x14ac:dyDescent="0.55000000000000004">
      <c r="A6236" t="s">
        <v>167</v>
      </c>
      <c r="B6236" t="s">
        <v>46</v>
      </c>
      <c r="C6236">
        <v>104799.41</v>
      </c>
      <c r="D6236" t="s">
        <v>293</v>
      </c>
      <c r="E6236">
        <v>2024</v>
      </c>
      <c r="F6236">
        <v>9</v>
      </c>
    </row>
    <row r="6237" spans="1:6" x14ac:dyDescent="0.55000000000000004">
      <c r="A6237" t="s">
        <v>167</v>
      </c>
      <c r="B6237" t="s">
        <v>47</v>
      </c>
      <c r="C6237">
        <v>0.33329999999999999</v>
      </c>
      <c r="D6237" t="s">
        <v>293</v>
      </c>
      <c r="E6237">
        <v>2024</v>
      </c>
      <c r="F6237">
        <v>9</v>
      </c>
    </row>
    <row r="6238" spans="1:6" x14ac:dyDescent="0.55000000000000004">
      <c r="A6238" t="s">
        <v>167</v>
      </c>
      <c r="B6238" t="s">
        <v>48</v>
      </c>
      <c r="C6238">
        <v>627939.17590000003</v>
      </c>
      <c r="D6238" t="s">
        <v>293</v>
      </c>
      <c r="E6238">
        <v>2024</v>
      </c>
      <c r="F6238">
        <v>9</v>
      </c>
    </row>
    <row r="6239" spans="1:6" x14ac:dyDescent="0.55000000000000004">
      <c r="A6239" t="s">
        <v>167</v>
      </c>
      <c r="B6239" t="s">
        <v>49</v>
      </c>
      <c r="C6239">
        <v>5</v>
      </c>
      <c r="D6239" t="s">
        <v>293</v>
      </c>
      <c r="E6239">
        <v>2024</v>
      </c>
      <c r="F6239">
        <v>9</v>
      </c>
    </row>
    <row r="6240" spans="1:6" x14ac:dyDescent="0.55000000000000004">
      <c r="A6240" t="s">
        <v>167</v>
      </c>
      <c r="B6240" t="s">
        <v>50</v>
      </c>
      <c r="C6240">
        <v>22099.995699999999</v>
      </c>
      <c r="D6240" t="s">
        <v>293</v>
      </c>
      <c r="E6240">
        <v>2024</v>
      </c>
      <c r="F6240">
        <v>9</v>
      </c>
    </row>
    <row r="6241" spans="1:6" x14ac:dyDescent="0.55000000000000004">
      <c r="A6241" t="s">
        <v>167</v>
      </c>
      <c r="B6241" t="s">
        <v>51</v>
      </c>
      <c r="C6241">
        <v>7500</v>
      </c>
      <c r="D6241" t="s">
        <v>293</v>
      </c>
      <c r="E6241">
        <v>2024</v>
      </c>
      <c r="F6241">
        <v>9</v>
      </c>
    </row>
    <row r="6242" spans="1:6" x14ac:dyDescent="0.55000000000000004">
      <c r="A6242" t="s">
        <v>167</v>
      </c>
      <c r="B6242" t="s">
        <v>52</v>
      </c>
      <c r="C6242">
        <v>15.2965</v>
      </c>
      <c r="D6242" t="s">
        <v>293</v>
      </c>
      <c r="E6242">
        <v>2024</v>
      </c>
      <c r="F6242">
        <v>9</v>
      </c>
    </row>
    <row r="6243" spans="1:6" x14ac:dyDescent="0.55000000000000004">
      <c r="A6243" t="s">
        <v>167</v>
      </c>
      <c r="B6243" t="s">
        <v>53</v>
      </c>
      <c r="C6243">
        <v>48479.12</v>
      </c>
      <c r="D6243" t="s">
        <v>293</v>
      </c>
      <c r="E6243">
        <v>2024</v>
      </c>
      <c r="F6243">
        <v>9</v>
      </c>
    </row>
    <row r="6244" spans="1:6" x14ac:dyDescent="0.55000000000000004">
      <c r="A6244" t="s">
        <v>167</v>
      </c>
      <c r="B6244" t="s">
        <v>54</v>
      </c>
      <c r="C6244">
        <v>18638.284100000001</v>
      </c>
      <c r="D6244" t="s">
        <v>293</v>
      </c>
      <c r="E6244">
        <v>2024</v>
      </c>
      <c r="F6244">
        <v>9</v>
      </c>
    </row>
    <row r="6245" spans="1:6" x14ac:dyDescent="0.55000000000000004">
      <c r="A6245" t="s">
        <v>167</v>
      </c>
      <c r="B6245" t="s">
        <v>55</v>
      </c>
      <c r="C6245">
        <v>6728</v>
      </c>
      <c r="D6245" t="s">
        <v>293</v>
      </c>
      <c r="E6245">
        <v>2024</v>
      </c>
      <c r="F6245">
        <v>9</v>
      </c>
    </row>
    <row r="6246" spans="1:6" x14ac:dyDescent="0.55000000000000004">
      <c r="A6246" t="s">
        <v>167</v>
      </c>
      <c r="B6246" t="s">
        <v>56</v>
      </c>
      <c r="C6246">
        <v>4346.9032999999999</v>
      </c>
      <c r="D6246" t="s">
        <v>293</v>
      </c>
      <c r="E6246">
        <v>2024</v>
      </c>
      <c r="F6246">
        <v>9</v>
      </c>
    </row>
    <row r="6247" spans="1:6" x14ac:dyDescent="0.55000000000000004">
      <c r="A6247" t="s">
        <v>167</v>
      </c>
      <c r="B6247" t="s">
        <v>57</v>
      </c>
      <c r="C6247">
        <v>730.14480000000003</v>
      </c>
      <c r="D6247" t="s">
        <v>293</v>
      </c>
      <c r="E6247">
        <v>2024</v>
      </c>
      <c r="F6247">
        <v>9</v>
      </c>
    </row>
    <row r="6248" spans="1:6" x14ac:dyDescent="0.55000000000000004">
      <c r="A6248" t="s">
        <v>167</v>
      </c>
      <c r="B6248" t="s">
        <v>58</v>
      </c>
      <c r="C6248">
        <v>556419</v>
      </c>
      <c r="D6248" t="s">
        <v>293</v>
      </c>
      <c r="E6248">
        <v>2024</v>
      </c>
      <c r="F6248">
        <v>9</v>
      </c>
    </row>
    <row r="6249" spans="1:6" x14ac:dyDescent="0.55000000000000004">
      <c r="A6249" t="s">
        <v>167</v>
      </c>
      <c r="B6249" t="s">
        <v>59</v>
      </c>
      <c r="C6249">
        <v>10200</v>
      </c>
      <c r="D6249" t="s">
        <v>293</v>
      </c>
      <c r="E6249">
        <v>2024</v>
      </c>
      <c r="F6249">
        <v>9</v>
      </c>
    </row>
    <row r="6250" spans="1:6" x14ac:dyDescent="0.55000000000000004">
      <c r="A6250" t="s">
        <v>167</v>
      </c>
      <c r="B6250" t="s">
        <v>60</v>
      </c>
      <c r="C6250">
        <v>964273.40009999997</v>
      </c>
      <c r="D6250" t="s">
        <v>293</v>
      </c>
      <c r="E6250">
        <v>2024</v>
      </c>
      <c r="F6250">
        <v>9</v>
      </c>
    </row>
    <row r="6251" spans="1:6" x14ac:dyDescent="0.55000000000000004">
      <c r="A6251" t="s">
        <v>167</v>
      </c>
      <c r="B6251" t="s">
        <v>61</v>
      </c>
      <c r="C6251">
        <v>3820.4052000000001</v>
      </c>
      <c r="D6251" t="s">
        <v>293</v>
      </c>
      <c r="E6251">
        <v>2024</v>
      </c>
      <c r="F6251">
        <v>9</v>
      </c>
    </row>
    <row r="6252" spans="1:6" x14ac:dyDescent="0.55000000000000004">
      <c r="A6252" t="s">
        <v>167</v>
      </c>
      <c r="B6252" t="s">
        <v>62</v>
      </c>
      <c r="C6252">
        <v>8918.9572000000007</v>
      </c>
      <c r="D6252" t="s">
        <v>293</v>
      </c>
      <c r="E6252">
        <v>2024</v>
      </c>
      <c r="F6252">
        <v>9</v>
      </c>
    </row>
    <row r="6253" spans="1:6" x14ac:dyDescent="0.55000000000000004">
      <c r="A6253" t="s">
        <v>167</v>
      </c>
      <c r="B6253" t="s">
        <v>63</v>
      </c>
      <c r="C6253">
        <v>0</v>
      </c>
      <c r="D6253" t="s">
        <v>293</v>
      </c>
      <c r="E6253">
        <v>2024</v>
      </c>
      <c r="F6253">
        <v>9</v>
      </c>
    </row>
    <row r="6254" spans="1:6" x14ac:dyDescent="0.55000000000000004">
      <c r="A6254" t="s">
        <v>168</v>
      </c>
      <c r="B6254" t="s">
        <v>4</v>
      </c>
      <c r="C6254">
        <v>11114504.3113</v>
      </c>
      <c r="D6254" t="s">
        <v>294</v>
      </c>
      <c r="E6254">
        <v>2024</v>
      </c>
      <c r="F6254">
        <v>10</v>
      </c>
    </row>
    <row r="6255" spans="1:6" x14ac:dyDescent="0.55000000000000004">
      <c r="A6255" t="s">
        <v>168</v>
      </c>
      <c r="B6255" t="s">
        <v>5</v>
      </c>
      <c r="C6255">
        <v>1140317.4946000001</v>
      </c>
      <c r="D6255" t="s">
        <v>294</v>
      </c>
      <c r="E6255">
        <v>2024</v>
      </c>
      <c r="F6255">
        <v>10</v>
      </c>
    </row>
    <row r="6256" spans="1:6" x14ac:dyDescent="0.55000000000000004">
      <c r="A6256" t="s">
        <v>168</v>
      </c>
      <c r="B6256" t="s">
        <v>6</v>
      </c>
      <c r="C6256">
        <v>1583682.3736</v>
      </c>
      <c r="D6256" t="s">
        <v>294</v>
      </c>
      <c r="E6256">
        <v>2024</v>
      </c>
      <c r="F6256">
        <v>10</v>
      </c>
    </row>
    <row r="6257" spans="1:6" x14ac:dyDescent="0.55000000000000004">
      <c r="A6257" t="s">
        <v>168</v>
      </c>
      <c r="B6257" t="s">
        <v>7</v>
      </c>
      <c r="C6257">
        <v>4724077.5270999996</v>
      </c>
      <c r="D6257" t="s">
        <v>294</v>
      </c>
      <c r="E6257">
        <v>2024</v>
      </c>
      <c r="F6257">
        <v>10</v>
      </c>
    </row>
    <row r="6258" spans="1:6" x14ac:dyDescent="0.55000000000000004">
      <c r="A6258" t="s">
        <v>168</v>
      </c>
      <c r="B6258" t="s">
        <v>8</v>
      </c>
      <c r="C6258">
        <v>3666426.9160000002</v>
      </c>
      <c r="D6258" t="s">
        <v>294</v>
      </c>
      <c r="E6258">
        <v>2024</v>
      </c>
      <c r="F6258">
        <v>10</v>
      </c>
    </row>
    <row r="6259" spans="1:6" x14ac:dyDescent="0.55000000000000004">
      <c r="A6259" t="s">
        <v>168</v>
      </c>
      <c r="B6259" t="s">
        <v>9</v>
      </c>
      <c r="C6259">
        <v>1889.0700999999999</v>
      </c>
      <c r="D6259" t="s">
        <v>294</v>
      </c>
      <c r="E6259">
        <v>2024</v>
      </c>
      <c r="F6259">
        <v>10</v>
      </c>
    </row>
    <row r="6260" spans="1:6" x14ac:dyDescent="0.55000000000000004">
      <c r="A6260" t="s">
        <v>168</v>
      </c>
      <c r="B6260" t="s">
        <v>10</v>
      </c>
      <c r="C6260">
        <v>3746.3332999999998</v>
      </c>
      <c r="D6260" t="s">
        <v>294</v>
      </c>
      <c r="E6260">
        <v>2024</v>
      </c>
      <c r="F6260">
        <v>10</v>
      </c>
    </row>
    <row r="6261" spans="1:6" x14ac:dyDescent="0.55000000000000004">
      <c r="A6261" t="s">
        <v>168</v>
      </c>
      <c r="B6261" t="s">
        <v>11</v>
      </c>
      <c r="C6261">
        <v>5112274.1502</v>
      </c>
      <c r="D6261" t="s">
        <v>294</v>
      </c>
      <c r="E6261">
        <v>2024</v>
      </c>
      <c r="F6261">
        <v>10</v>
      </c>
    </row>
    <row r="6262" spans="1:6" x14ac:dyDescent="0.55000000000000004">
      <c r="A6262" t="s">
        <v>168</v>
      </c>
      <c r="B6262" t="s">
        <v>12</v>
      </c>
      <c r="C6262">
        <v>8000</v>
      </c>
      <c r="D6262" t="s">
        <v>294</v>
      </c>
      <c r="E6262">
        <v>2024</v>
      </c>
      <c r="F6262">
        <v>10</v>
      </c>
    </row>
    <row r="6263" spans="1:6" x14ac:dyDescent="0.55000000000000004">
      <c r="A6263" t="s">
        <v>168</v>
      </c>
      <c r="B6263" t="s">
        <v>13</v>
      </c>
      <c r="C6263">
        <v>10352.433300000001</v>
      </c>
      <c r="D6263" t="s">
        <v>294</v>
      </c>
      <c r="E6263">
        <v>2024</v>
      </c>
      <c r="F6263">
        <v>10</v>
      </c>
    </row>
    <row r="6264" spans="1:6" x14ac:dyDescent="0.55000000000000004">
      <c r="A6264" t="s">
        <v>168</v>
      </c>
      <c r="B6264" t="s">
        <v>14</v>
      </c>
      <c r="C6264">
        <v>300</v>
      </c>
      <c r="D6264" t="s">
        <v>294</v>
      </c>
      <c r="E6264">
        <v>2024</v>
      </c>
      <c r="F6264">
        <v>10</v>
      </c>
    </row>
    <row r="6265" spans="1:6" x14ac:dyDescent="0.55000000000000004">
      <c r="A6265" t="s">
        <v>168</v>
      </c>
      <c r="B6265" t="s">
        <v>15</v>
      </c>
      <c r="C6265">
        <v>1051780.5156</v>
      </c>
      <c r="D6265" t="s">
        <v>294</v>
      </c>
      <c r="E6265">
        <v>2024</v>
      </c>
      <c r="F6265">
        <v>10</v>
      </c>
    </row>
    <row r="6266" spans="1:6" x14ac:dyDescent="0.55000000000000004">
      <c r="A6266" t="s">
        <v>168</v>
      </c>
      <c r="B6266" t="s">
        <v>16</v>
      </c>
      <c r="C6266">
        <v>0</v>
      </c>
      <c r="D6266" t="s">
        <v>294</v>
      </c>
      <c r="E6266">
        <v>2024</v>
      </c>
      <c r="F6266">
        <v>10</v>
      </c>
    </row>
    <row r="6267" spans="1:6" x14ac:dyDescent="0.55000000000000004">
      <c r="A6267" t="s">
        <v>168</v>
      </c>
      <c r="B6267" t="s">
        <v>17</v>
      </c>
      <c r="C6267">
        <v>40120.645799999998</v>
      </c>
      <c r="D6267" t="s">
        <v>294</v>
      </c>
      <c r="E6267">
        <v>2024</v>
      </c>
      <c r="F6267">
        <v>10</v>
      </c>
    </row>
    <row r="6268" spans="1:6" x14ac:dyDescent="0.55000000000000004">
      <c r="A6268" t="s">
        <v>168</v>
      </c>
      <c r="B6268" t="s">
        <v>18</v>
      </c>
      <c r="C6268">
        <v>31099.582299999998</v>
      </c>
      <c r="D6268" t="s">
        <v>294</v>
      </c>
      <c r="E6268">
        <v>2024</v>
      </c>
      <c r="F6268">
        <v>10</v>
      </c>
    </row>
    <row r="6269" spans="1:6" x14ac:dyDescent="0.55000000000000004">
      <c r="A6269" t="s">
        <v>168</v>
      </c>
      <c r="B6269" t="s">
        <v>19</v>
      </c>
      <c r="C6269">
        <v>229.9999</v>
      </c>
      <c r="D6269" t="s">
        <v>294</v>
      </c>
      <c r="E6269">
        <v>2024</v>
      </c>
      <c r="F6269">
        <v>10</v>
      </c>
    </row>
    <row r="6270" spans="1:6" x14ac:dyDescent="0.55000000000000004">
      <c r="A6270" t="s">
        <v>168</v>
      </c>
      <c r="B6270" t="s">
        <v>20</v>
      </c>
      <c r="C6270">
        <v>9000</v>
      </c>
      <c r="D6270" t="s">
        <v>294</v>
      </c>
      <c r="E6270">
        <v>2024</v>
      </c>
      <c r="F6270">
        <v>10</v>
      </c>
    </row>
    <row r="6271" spans="1:6" x14ac:dyDescent="0.55000000000000004">
      <c r="A6271" t="s">
        <v>168</v>
      </c>
      <c r="B6271" t="s">
        <v>21</v>
      </c>
      <c r="C6271">
        <v>15299.998299999999</v>
      </c>
      <c r="D6271" t="s">
        <v>294</v>
      </c>
      <c r="E6271">
        <v>2024</v>
      </c>
      <c r="F6271">
        <v>10</v>
      </c>
    </row>
    <row r="6272" spans="1:6" x14ac:dyDescent="0.55000000000000004">
      <c r="A6272" t="s">
        <v>168</v>
      </c>
      <c r="B6272" t="s">
        <v>22</v>
      </c>
      <c r="C6272">
        <v>37685.514000000003</v>
      </c>
      <c r="D6272" t="s">
        <v>294</v>
      </c>
      <c r="E6272">
        <v>2024</v>
      </c>
      <c r="F6272">
        <v>10</v>
      </c>
    </row>
    <row r="6273" spans="1:6" x14ac:dyDescent="0.55000000000000004">
      <c r="A6273" t="s">
        <v>168</v>
      </c>
      <c r="B6273" t="s">
        <v>23</v>
      </c>
      <c r="C6273">
        <v>23400</v>
      </c>
      <c r="D6273" t="s">
        <v>294</v>
      </c>
      <c r="E6273">
        <v>2024</v>
      </c>
      <c r="F6273">
        <v>10</v>
      </c>
    </row>
    <row r="6274" spans="1:6" x14ac:dyDescent="0.55000000000000004">
      <c r="A6274" t="s">
        <v>168</v>
      </c>
      <c r="B6274" t="s">
        <v>25</v>
      </c>
      <c r="C6274">
        <v>590000</v>
      </c>
      <c r="D6274" t="s">
        <v>294</v>
      </c>
      <c r="E6274">
        <v>2024</v>
      </c>
      <c r="F6274">
        <v>10</v>
      </c>
    </row>
    <row r="6275" spans="1:6" x14ac:dyDescent="0.55000000000000004">
      <c r="A6275" t="s">
        <v>168</v>
      </c>
      <c r="B6275" t="s">
        <v>27</v>
      </c>
      <c r="C6275">
        <v>444.08640000000003</v>
      </c>
      <c r="D6275" t="s">
        <v>294</v>
      </c>
      <c r="E6275">
        <v>2024</v>
      </c>
      <c r="F6275">
        <v>10</v>
      </c>
    </row>
    <row r="6276" spans="1:6" x14ac:dyDescent="0.55000000000000004">
      <c r="A6276" t="s">
        <v>168</v>
      </c>
      <c r="B6276" t="s">
        <v>28</v>
      </c>
      <c r="C6276">
        <v>108734.79889999999</v>
      </c>
      <c r="D6276" t="s">
        <v>294</v>
      </c>
      <c r="E6276">
        <v>2024</v>
      </c>
      <c r="F6276">
        <v>10</v>
      </c>
    </row>
    <row r="6277" spans="1:6" x14ac:dyDescent="0.55000000000000004">
      <c r="A6277" t="s">
        <v>168</v>
      </c>
      <c r="B6277" t="s">
        <v>29</v>
      </c>
      <c r="C6277">
        <v>0</v>
      </c>
      <c r="D6277" t="s">
        <v>294</v>
      </c>
      <c r="E6277">
        <v>2024</v>
      </c>
      <c r="F6277">
        <v>10</v>
      </c>
    </row>
    <row r="6278" spans="1:6" x14ac:dyDescent="0.55000000000000004">
      <c r="A6278" t="s">
        <v>168</v>
      </c>
      <c r="B6278" t="s">
        <v>30</v>
      </c>
      <c r="C6278">
        <v>21.761900000000001</v>
      </c>
      <c r="D6278" t="s">
        <v>294</v>
      </c>
      <c r="E6278">
        <v>2024</v>
      </c>
      <c r="F6278">
        <v>10</v>
      </c>
    </row>
    <row r="6279" spans="1:6" x14ac:dyDescent="0.55000000000000004">
      <c r="A6279" t="s">
        <v>168</v>
      </c>
      <c r="B6279" t="s">
        <v>31</v>
      </c>
      <c r="C6279">
        <v>330</v>
      </c>
      <c r="D6279" t="s">
        <v>294</v>
      </c>
      <c r="E6279">
        <v>2024</v>
      </c>
      <c r="F6279">
        <v>10</v>
      </c>
    </row>
    <row r="6280" spans="1:6" x14ac:dyDescent="0.55000000000000004">
      <c r="A6280" t="s">
        <v>168</v>
      </c>
      <c r="B6280" t="s">
        <v>32</v>
      </c>
      <c r="C6280">
        <v>17311.52</v>
      </c>
      <c r="D6280" t="s">
        <v>294</v>
      </c>
      <c r="E6280">
        <v>2024</v>
      </c>
      <c r="F6280">
        <v>10</v>
      </c>
    </row>
    <row r="6281" spans="1:6" x14ac:dyDescent="0.55000000000000004">
      <c r="A6281" t="s">
        <v>168</v>
      </c>
      <c r="B6281" t="s">
        <v>33</v>
      </c>
      <c r="C6281">
        <v>403720.98700000002</v>
      </c>
      <c r="D6281" t="s">
        <v>294</v>
      </c>
      <c r="E6281">
        <v>2024</v>
      </c>
      <c r="F6281">
        <v>10</v>
      </c>
    </row>
    <row r="6282" spans="1:6" x14ac:dyDescent="0.55000000000000004">
      <c r="A6282" t="s">
        <v>168</v>
      </c>
      <c r="B6282" t="s">
        <v>34</v>
      </c>
      <c r="C6282">
        <v>1052073.9354000001</v>
      </c>
      <c r="D6282" t="s">
        <v>294</v>
      </c>
      <c r="E6282">
        <v>2024</v>
      </c>
      <c r="F6282">
        <v>10</v>
      </c>
    </row>
    <row r="6283" spans="1:6" x14ac:dyDescent="0.55000000000000004">
      <c r="A6283" t="s">
        <v>168</v>
      </c>
      <c r="B6283" t="s">
        <v>35</v>
      </c>
      <c r="C6283">
        <v>1540.6796999999999</v>
      </c>
      <c r="D6283" t="s">
        <v>294</v>
      </c>
      <c r="E6283">
        <v>2024</v>
      </c>
      <c r="F6283">
        <v>10</v>
      </c>
    </row>
    <row r="6284" spans="1:6" x14ac:dyDescent="0.55000000000000004">
      <c r="A6284" t="s">
        <v>168</v>
      </c>
      <c r="B6284" t="s">
        <v>36</v>
      </c>
      <c r="C6284">
        <v>60299.999000000003</v>
      </c>
      <c r="D6284" t="s">
        <v>294</v>
      </c>
      <c r="E6284">
        <v>2024</v>
      </c>
      <c r="F6284">
        <v>10</v>
      </c>
    </row>
    <row r="6285" spans="1:6" x14ac:dyDescent="0.55000000000000004">
      <c r="A6285" t="s">
        <v>168</v>
      </c>
      <c r="B6285" t="s">
        <v>37</v>
      </c>
      <c r="C6285">
        <v>45599.992100000003</v>
      </c>
      <c r="D6285" t="s">
        <v>294</v>
      </c>
      <c r="E6285">
        <v>2024</v>
      </c>
      <c r="F6285">
        <v>10</v>
      </c>
    </row>
    <row r="6286" spans="1:6" x14ac:dyDescent="0.55000000000000004">
      <c r="A6286" t="s">
        <v>168</v>
      </c>
      <c r="B6286" t="s">
        <v>39</v>
      </c>
      <c r="C6286">
        <v>24268.601600000002</v>
      </c>
      <c r="D6286" t="s">
        <v>294</v>
      </c>
      <c r="E6286">
        <v>2024</v>
      </c>
      <c r="F6286">
        <v>10</v>
      </c>
    </row>
    <row r="6287" spans="1:6" x14ac:dyDescent="0.55000000000000004">
      <c r="A6287" t="s">
        <v>168</v>
      </c>
      <c r="B6287" t="s">
        <v>40</v>
      </c>
      <c r="C6287">
        <v>719.99860000000001</v>
      </c>
      <c r="D6287" t="s">
        <v>294</v>
      </c>
      <c r="E6287">
        <v>2024</v>
      </c>
      <c r="F6287">
        <v>10</v>
      </c>
    </row>
    <row r="6288" spans="1:6" x14ac:dyDescent="0.55000000000000004">
      <c r="A6288" t="s">
        <v>168</v>
      </c>
      <c r="B6288" t="s">
        <v>41</v>
      </c>
      <c r="C6288">
        <v>198449.9866</v>
      </c>
      <c r="D6288" t="s">
        <v>294</v>
      </c>
      <c r="E6288">
        <v>2024</v>
      </c>
      <c r="F6288">
        <v>10</v>
      </c>
    </row>
    <row r="6289" spans="1:6" x14ac:dyDescent="0.55000000000000004">
      <c r="A6289" t="s">
        <v>168</v>
      </c>
      <c r="B6289" t="s">
        <v>42</v>
      </c>
      <c r="C6289">
        <v>45.714199999999998</v>
      </c>
      <c r="D6289" t="s">
        <v>294</v>
      </c>
      <c r="E6289">
        <v>2024</v>
      </c>
      <c r="F6289">
        <v>10</v>
      </c>
    </row>
    <row r="6290" spans="1:6" x14ac:dyDescent="0.55000000000000004">
      <c r="A6290" t="s">
        <v>168</v>
      </c>
      <c r="B6290" t="s">
        <v>43</v>
      </c>
      <c r="C6290">
        <v>52200.001300000004</v>
      </c>
      <c r="D6290" t="s">
        <v>294</v>
      </c>
      <c r="E6290">
        <v>2024</v>
      </c>
      <c r="F6290">
        <v>10</v>
      </c>
    </row>
    <row r="6291" spans="1:6" x14ac:dyDescent="0.55000000000000004">
      <c r="A6291" t="s">
        <v>168</v>
      </c>
      <c r="B6291" t="s">
        <v>44</v>
      </c>
      <c r="C6291">
        <v>0</v>
      </c>
      <c r="D6291" t="s">
        <v>294</v>
      </c>
      <c r="E6291">
        <v>2024</v>
      </c>
      <c r="F6291">
        <v>10</v>
      </c>
    </row>
    <row r="6292" spans="1:6" x14ac:dyDescent="0.55000000000000004">
      <c r="A6292" t="s">
        <v>168</v>
      </c>
      <c r="B6292" t="s">
        <v>45</v>
      </c>
      <c r="C6292">
        <v>1461.0068000000001</v>
      </c>
      <c r="D6292" t="s">
        <v>294</v>
      </c>
      <c r="E6292">
        <v>2024</v>
      </c>
      <c r="F6292">
        <v>10</v>
      </c>
    </row>
    <row r="6293" spans="1:6" x14ac:dyDescent="0.55000000000000004">
      <c r="A6293" t="s">
        <v>168</v>
      </c>
      <c r="B6293" t="s">
        <v>46</v>
      </c>
      <c r="C6293">
        <v>60069.99</v>
      </c>
      <c r="D6293" t="s">
        <v>294</v>
      </c>
      <c r="E6293">
        <v>2024</v>
      </c>
      <c r="F6293">
        <v>10</v>
      </c>
    </row>
    <row r="6294" spans="1:6" x14ac:dyDescent="0.55000000000000004">
      <c r="A6294" t="s">
        <v>168</v>
      </c>
      <c r="B6294" t="s">
        <v>47</v>
      </c>
      <c r="C6294">
        <v>0</v>
      </c>
      <c r="D6294" t="s">
        <v>294</v>
      </c>
      <c r="E6294">
        <v>2024</v>
      </c>
      <c r="F6294">
        <v>10</v>
      </c>
    </row>
    <row r="6295" spans="1:6" x14ac:dyDescent="0.55000000000000004">
      <c r="A6295" t="s">
        <v>168</v>
      </c>
      <c r="B6295" t="s">
        <v>48</v>
      </c>
      <c r="C6295">
        <v>586523.06160000002</v>
      </c>
      <c r="D6295" t="s">
        <v>294</v>
      </c>
      <c r="E6295">
        <v>2024</v>
      </c>
      <c r="F6295">
        <v>10</v>
      </c>
    </row>
    <row r="6296" spans="1:6" x14ac:dyDescent="0.55000000000000004">
      <c r="A6296" t="s">
        <v>168</v>
      </c>
      <c r="B6296" t="s">
        <v>49</v>
      </c>
      <c r="C6296">
        <v>221.63399999999999</v>
      </c>
      <c r="D6296" t="s">
        <v>294</v>
      </c>
      <c r="E6296">
        <v>2024</v>
      </c>
      <c r="F6296">
        <v>10</v>
      </c>
    </row>
    <row r="6297" spans="1:6" x14ac:dyDescent="0.55000000000000004">
      <c r="A6297" t="s">
        <v>168</v>
      </c>
      <c r="B6297" t="s">
        <v>50</v>
      </c>
      <c r="C6297">
        <v>25099.995699999999</v>
      </c>
      <c r="D6297" t="s">
        <v>294</v>
      </c>
      <c r="E6297">
        <v>2024</v>
      </c>
      <c r="F6297">
        <v>10</v>
      </c>
    </row>
    <row r="6298" spans="1:6" x14ac:dyDescent="0.55000000000000004">
      <c r="A6298" t="s">
        <v>168</v>
      </c>
      <c r="B6298" t="s">
        <v>51</v>
      </c>
      <c r="C6298">
        <v>7000</v>
      </c>
      <c r="D6298" t="s">
        <v>294</v>
      </c>
      <c r="E6298">
        <v>2024</v>
      </c>
      <c r="F6298">
        <v>10</v>
      </c>
    </row>
    <row r="6299" spans="1:6" x14ac:dyDescent="0.55000000000000004">
      <c r="A6299" t="s">
        <v>168</v>
      </c>
      <c r="B6299" t="s">
        <v>52</v>
      </c>
      <c r="C6299">
        <v>15.5907</v>
      </c>
      <c r="D6299" t="s">
        <v>294</v>
      </c>
      <c r="E6299">
        <v>2024</v>
      </c>
      <c r="F6299">
        <v>10</v>
      </c>
    </row>
    <row r="6300" spans="1:6" x14ac:dyDescent="0.55000000000000004">
      <c r="A6300" t="s">
        <v>168</v>
      </c>
      <c r="B6300" t="s">
        <v>53</v>
      </c>
      <c r="C6300">
        <v>139621.89000000001</v>
      </c>
      <c r="D6300" t="s">
        <v>294</v>
      </c>
      <c r="E6300">
        <v>2024</v>
      </c>
      <c r="F6300">
        <v>10</v>
      </c>
    </row>
    <row r="6301" spans="1:6" x14ac:dyDescent="0.55000000000000004">
      <c r="A6301" t="s">
        <v>168</v>
      </c>
      <c r="B6301" t="s">
        <v>54</v>
      </c>
      <c r="C6301">
        <v>23141.001799999998</v>
      </c>
      <c r="D6301" t="s">
        <v>294</v>
      </c>
      <c r="E6301">
        <v>2024</v>
      </c>
      <c r="F6301">
        <v>10</v>
      </c>
    </row>
    <row r="6302" spans="1:6" x14ac:dyDescent="0.55000000000000004">
      <c r="A6302" t="s">
        <v>168</v>
      </c>
      <c r="B6302" t="s">
        <v>55</v>
      </c>
      <c r="C6302">
        <v>9819.2167000000009</v>
      </c>
      <c r="D6302" t="s">
        <v>294</v>
      </c>
      <c r="E6302">
        <v>2024</v>
      </c>
      <c r="F6302">
        <v>10</v>
      </c>
    </row>
    <row r="6303" spans="1:6" x14ac:dyDescent="0.55000000000000004">
      <c r="A6303" t="s">
        <v>168</v>
      </c>
      <c r="B6303" t="s">
        <v>56</v>
      </c>
      <c r="C6303">
        <v>2311.6466</v>
      </c>
      <c r="D6303" t="s">
        <v>294</v>
      </c>
      <c r="E6303">
        <v>2024</v>
      </c>
      <c r="F6303">
        <v>10</v>
      </c>
    </row>
    <row r="6304" spans="1:6" x14ac:dyDescent="0.55000000000000004">
      <c r="A6304" t="s">
        <v>168</v>
      </c>
      <c r="B6304" t="s">
        <v>57</v>
      </c>
      <c r="C6304">
        <v>503.84320000000002</v>
      </c>
      <c r="D6304" t="s">
        <v>294</v>
      </c>
      <c r="E6304">
        <v>2024</v>
      </c>
      <c r="F6304">
        <v>10</v>
      </c>
    </row>
    <row r="6305" spans="1:6" x14ac:dyDescent="0.55000000000000004">
      <c r="A6305" t="s">
        <v>168</v>
      </c>
      <c r="B6305" t="s">
        <v>58</v>
      </c>
      <c r="C6305">
        <v>496820</v>
      </c>
      <c r="D6305" t="s">
        <v>294</v>
      </c>
      <c r="E6305">
        <v>2024</v>
      </c>
      <c r="F6305">
        <v>10</v>
      </c>
    </row>
    <row r="6306" spans="1:6" x14ac:dyDescent="0.55000000000000004">
      <c r="A6306" t="s">
        <v>168</v>
      </c>
      <c r="B6306" t="s">
        <v>59</v>
      </c>
      <c r="C6306">
        <v>2300</v>
      </c>
      <c r="D6306" t="s">
        <v>294</v>
      </c>
      <c r="E6306">
        <v>2024</v>
      </c>
      <c r="F6306">
        <v>10</v>
      </c>
    </row>
    <row r="6307" spans="1:6" x14ac:dyDescent="0.55000000000000004">
      <c r="A6307" t="s">
        <v>168</v>
      </c>
      <c r="B6307" t="s">
        <v>60</v>
      </c>
      <c r="C6307">
        <v>843246.81409999996</v>
      </c>
      <c r="D6307" t="s">
        <v>294</v>
      </c>
      <c r="E6307">
        <v>2024</v>
      </c>
      <c r="F6307">
        <v>10</v>
      </c>
    </row>
    <row r="6308" spans="1:6" x14ac:dyDescent="0.55000000000000004">
      <c r="A6308" t="s">
        <v>168</v>
      </c>
      <c r="B6308" t="s">
        <v>61</v>
      </c>
      <c r="C6308">
        <v>3526.4013</v>
      </c>
      <c r="D6308" t="s">
        <v>294</v>
      </c>
      <c r="E6308">
        <v>2024</v>
      </c>
      <c r="F6308">
        <v>10</v>
      </c>
    </row>
    <row r="6309" spans="1:6" x14ac:dyDescent="0.55000000000000004">
      <c r="A6309" t="s">
        <v>168</v>
      </c>
      <c r="B6309" t="s">
        <v>62</v>
      </c>
      <c r="C6309">
        <v>11881.9133</v>
      </c>
      <c r="D6309" t="s">
        <v>294</v>
      </c>
      <c r="E6309">
        <v>2024</v>
      </c>
      <c r="F6309">
        <v>10</v>
      </c>
    </row>
    <row r="6310" spans="1:6" x14ac:dyDescent="0.55000000000000004">
      <c r="A6310" t="s">
        <v>168</v>
      </c>
      <c r="B6310" t="s">
        <v>63</v>
      </c>
      <c r="C6310">
        <v>0</v>
      </c>
      <c r="D6310" t="s">
        <v>294</v>
      </c>
      <c r="E6310">
        <v>2024</v>
      </c>
      <c r="F6310">
        <v>10</v>
      </c>
    </row>
    <row r="6311" spans="1:6" x14ac:dyDescent="0.55000000000000004">
      <c r="A6311" t="s">
        <v>169</v>
      </c>
      <c r="B6311" t="s">
        <v>4</v>
      </c>
      <c r="C6311">
        <v>10107272.3157</v>
      </c>
      <c r="D6311" t="s">
        <v>295</v>
      </c>
      <c r="E6311">
        <v>2024</v>
      </c>
      <c r="F6311">
        <v>11</v>
      </c>
    </row>
    <row r="6312" spans="1:6" x14ac:dyDescent="0.55000000000000004">
      <c r="A6312" t="s">
        <v>169</v>
      </c>
      <c r="B6312" t="s">
        <v>5</v>
      </c>
      <c r="C6312">
        <v>1350694.0142999999</v>
      </c>
      <c r="D6312" t="s">
        <v>295</v>
      </c>
      <c r="E6312">
        <v>2024</v>
      </c>
      <c r="F6312">
        <v>11</v>
      </c>
    </row>
    <row r="6313" spans="1:6" x14ac:dyDescent="0.55000000000000004">
      <c r="A6313" t="s">
        <v>169</v>
      </c>
      <c r="B6313" t="s">
        <v>6</v>
      </c>
      <c r="C6313">
        <v>1255989.9169000001</v>
      </c>
      <c r="D6313" t="s">
        <v>295</v>
      </c>
      <c r="E6313">
        <v>2024</v>
      </c>
      <c r="F6313">
        <v>11</v>
      </c>
    </row>
    <row r="6314" spans="1:6" x14ac:dyDescent="0.55000000000000004">
      <c r="A6314" t="s">
        <v>169</v>
      </c>
      <c r="B6314" t="s">
        <v>7</v>
      </c>
      <c r="C6314">
        <v>4114820.0891</v>
      </c>
      <c r="D6314" t="s">
        <v>295</v>
      </c>
      <c r="E6314">
        <v>2024</v>
      </c>
      <c r="F6314">
        <v>11</v>
      </c>
    </row>
    <row r="6315" spans="1:6" x14ac:dyDescent="0.55000000000000004">
      <c r="A6315" t="s">
        <v>169</v>
      </c>
      <c r="B6315" t="s">
        <v>8</v>
      </c>
      <c r="C6315">
        <v>3385768.2954000002</v>
      </c>
      <c r="D6315" t="s">
        <v>295</v>
      </c>
      <c r="E6315">
        <v>2024</v>
      </c>
      <c r="F6315">
        <v>11</v>
      </c>
    </row>
    <row r="6316" spans="1:6" x14ac:dyDescent="0.55000000000000004">
      <c r="A6316" t="s">
        <v>169</v>
      </c>
      <c r="B6316" t="s">
        <v>9</v>
      </c>
      <c r="C6316">
        <v>4257.6166999999996</v>
      </c>
      <c r="D6316" t="s">
        <v>295</v>
      </c>
      <c r="E6316">
        <v>2024</v>
      </c>
      <c r="F6316">
        <v>11</v>
      </c>
    </row>
    <row r="6317" spans="1:6" x14ac:dyDescent="0.55000000000000004">
      <c r="A6317" t="s">
        <v>169</v>
      </c>
      <c r="B6317" t="s">
        <v>10</v>
      </c>
      <c r="C6317">
        <v>3696.5</v>
      </c>
      <c r="D6317" t="s">
        <v>295</v>
      </c>
      <c r="E6317">
        <v>2024</v>
      </c>
      <c r="F6317">
        <v>11</v>
      </c>
    </row>
    <row r="6318" spans="1:6" x14ac:dyDescent="0.55000000000000004">
      <c r="A6318" t="s">
        <v>169</v>
      </c>
      <c r="B6318" t="s">
        <v>11</v>
      </c>
      <c r="C6318">
        <v>4323717.0991000002</v>
      </c>
      <c r="D6318" t="s">
        <v>295</v>
      </c>
      <c r="E6318">
        <v>2024</v>
      </c>
      <c r="F6318">
        <v>11</v>
      </c>
    </row>
    <row r="6319" spans="1:6" x14ac:dyDescent="0.55000000000000004">
      <c r="A6319" t="s">
        <v>169</v>
      </c>
      <c r="B6319" t="s">
        <v>12</v>
      </c>
      <c r="C6319">
        <v>8000</v>
      </c>
      <c r="D6319" t="s">
        <v>295</v>
      </c>
      <c r="E6319">
        <v>2024</v>
      </c>
      <c r="F6319">
        <v>11</v>
      </c>
    </row>
    <row r="6320" spans="1:6" x14ac:dyDescent="0.55000000000000004">
      <c r="A6320" t="s">
        <v>169</v>
      </c>
      <c r="B6320" t="s">
        <v>13</v>
      </c>
      <c r="C6320">
        <v>9936.6833999999999</v>
      </c>
      <c r="D6320" t="s">
        <v>295</v>
      </c>
      <c r="E6320">
        <v>2024</v>
      </c>
      <c r="F6320">
        <v>11</v>
      </c>
    </row>
    <row r="6321" spans="1:6" x14ac:dyDescent="0.55000000000000004">
      <c r="A6321" t="s">
        <v>169</v>
      </c>
      <c r="B6321" t="s">
        <v>14</v>
      </c>
      <c r="C6321">
        <v>500</v>
      </c>
      <c r="D6321" t="s">
        <v>295</v>
      </c>
      <c r="E6321">
        <v>2024</v>
      </c>
      <c r="F6321">
        <v>11</v>
      </c>
    </row>
    <row r="6322" spans="1:6" x14ac:dyDescent="0.55000000000000004">
      <c r="A6322" t="s">
        <v>169</v>
      </c>
      <c r="B6322" t="s">
        <v>15</v>
      </c>
      <c r="C6322">
        <v>1207177.9475</v>
      </c>
      <c r="D6322" t="s">
        <v>295</v>
      </c>
      <c r="E6322">
        <v>2024</v>
      </c>
      <c r="F6322">
        <v>11</v>
      </c>
    </row>
    <row r="6323" spans="1:6" x14ac:dyDescent="0.55000000000000004">
      <c r="A6323" t="s">
        <v>169</v>
      </c>
      <c r="B6323" t="s">
        <v>16</v>
      </c>
      <c r="C6323">
        <v>0</v>
      </c>
      <c r="D6323" t="s">
        <v>295</v>
      </c>
      <c r="E6323">
        <v>2024</v>
      </c>
      <c r="F6323">
        <v>11</v>
      </c>
    </row>
    <row r="6324" spans="1:6" x14ac:dyDescent="0.55000000000000004">
      <c r="A6324" t="s">
        <v>169</v>
      </c>
      <c r="B6324" t="s">
        <v>17</v>
      </c>
      <c r="C6324">
        <v>36570.438099999999</v>
      </c>
      <c r="D6324" t="s">
        <v>295</v>
      </c>
      <c r="E6324">
        <v>2024</v>
      </c>
      <c r="F6324">
        <v>11</v>
      </c>
    </row>
    <row r="6325" spans="1:6" x14ac:dyDescent="0.55000000000000004">
      <c r="A6325" t="s">
        <v>169</v>
      </c>
      <c r="B6325" t="s">
        <v>18</v>
      </c>
      <c r="C6325">
        <v>90700.250899999999</v>
      </c>
      <c r="D6325" t="s">
        <v>295</v>
      </c>
      <c r="E6325">
        <v>2024</v>
      </c>
      <c r="F6325">
        <v>11</v>
      </c>
    </row>
    <row r="6326" spans="1:6" x14ac:dyDescent="0.55000000000000004">
      <c r="A6326" t="s">
        <v>169</v>
      </c>
      <c r="B6326" t="s">
        <v>19</v>
      </c>
      <c r="C6326">
        <v>2039.9911999999999</v>
      </c>
      <c r="D6326" t="s">
        <v>295</v>
      </c>
      <c r="E6326">
        <v>2024</v>
      </c>
      <c r="F6326">
        <v>11</v>
      </c>
    </row>
    <row r="6327" spans="1:6" x14ac:dyDescent="0.55000000000000004">
      <c r="A6327" t="s">
        <v>169</v>
      </c>
      <c r="B6327" t="s">
        <v>20</v>
      </c>
      <c r="C6327">
        <v>11100</v>
      </c>
      <c r="D6327" t="s">
        <v>295</v>
      </c>
      <c r="E6327">
        <v>2024</v>
      </c>
      <c r="F6327">
        <v>11</v>
      </c>
    </row>
    <row r="6328" spans="1:6" x14ac:dyDescent="0.55000000000000004">
      <c r="A6328" t="s">
        <v>169</v>
      </c>
      <c r="B6328" t="s">
        <v>21</v>
      </c>
      <c r="C6328">
        <v>4800.0014000000001</v>
      </c>
      <c r="D6328" t="s">
        <v>295</v>
      </c>
      <c r="E6328">
        <v>2024</v>
      </c>
      <c r="F6328">
        <v>11</v>
      </c>
    </row>
    <row r="6329" spans="1:6" x14ac:dyDescent="0.55000000000000004">
      <c r="A6329" t="s">
        <v>169</v>
      </c>
      <c r="B6329" t="s">
        <v>22</v>
      </c>
      <c r="C6329">
        <v>45827.205999999998</v>
      </c>
      <c r="D6329" t="s">
        <v>295</v>
      </c>
      <c r="E6329">
        <v>2024</v>
      </c>
      <c r="F6329">
        <v>11</v>
      </c>
    </row>
    <row r="6330" spans="1:6" x14ac:dyDescent="0.55000000000000004">
      <c r="A6330" t="s">
        <v>169</v>
      </c>
      <c r="B6330" t="s">
        <v>23</v>
      </c>
      <c r="C6330">
        <v>15300</v>
      </c>
      <c r="D6330" t="s">
        <v>295</v>
      </c>
      <c r="E6330">
        <v>2024</v>
      </c>
      <c r="F6330">
        <v>11</v>
      </c>
    </row>
    <row r="6331" spans="1:6" x14ac:dyDescent="0.55000000000000004">
      <c r="A6331" t="s">
        <v>169</v>
      </c>
      <c r="B6331" t="s">
        <v>25</v>
      </c>
      <c r="C6331">
        <v>540000</v>
      </c>
      <c r="D6331" t="s">
        <v>295</v>
      </c>
      <c r="E6331">
        <v>2024</v>
      </c>
      <c r="F6331">
        <v>11</v>
      </c>
    </row>
    <row r="6332" spans="1:6" x14ac:dyDescent="0.55000000000000004">
      <c r="A6332" t="s">
        <v>169</v>
      </c>
      <c r="B6332" t="s">
        <v>27</v>
      </c>
      <c r="C6332">
        <v>1856.2808</v>
      </c>
      <c r="D6332" t="s">
        <v>295</v>
      </c>
      <c r="E6332">
        <v>2024</v>
      </c>
      <c r="F6332">
        <v>11</v>
      </c>
    </row>
    <row r="6333" spans="1:6" x14ac:dyDescent="0.55000000000000004">
      <c r="A6333" t="s">
        <v>169</v>
      </c>
      <c r="B6333" t="s">
        <v>28</v>
      </c>
      <c r="C6333">
        <v>50732.968500000003</v>
      </c>
      <c r="D6333" t="s">
        <v>295</v>
      </c>
      <c r="E6333">
        <v>2024</v>
      </c>
      <c r="F6333">
        <v>11</v>
      </c>
    </row>
    <row r="6334" spans="1:6" x14ac:dyDescent="0.55000000000000004">
      <c r="A6334" t="s">
        <v>169</v>
      </c>
      <c r="B6334" t="s">
        <v>29</v>
      </c>
      <c r="C6334">
        <v>1333.3333</v>
      </c>
      <c r="D6334" t="s">
        <v>295</v>
      </c>
      <c r="E6334">
        <v>2024</v>
      </c>
      <c r="F6334">
        <v>11</v>
      </c>
    </row>
    <row r="6335" spans="1:6" x14ac:dyDescent="0.55000000000000004">
      <c r="A6335" t="s">
        <v>169</v>
      </c>
      <c r="B6335" t="s">
        <v>30</v>
      </c>
      <c r="C6335">
        <v>202.60220000000001</v>
      </c>
      <c r="D6335" t="s">
        <v>295</v>
      </c>
      <c r="E6335">
        <v>2024</v>
      </c>
      <c r="F6335">
        <v>11</v>
      </c>
    </row>
    <row r="6336" spans="1:6" x14ac:dyDescent="0.55000000000000004">
      <c r="A6336" t="s">
        <v>169</v>
      </c>
      <c r="B6336" t="s">
        <v>31</v>
      </c>
      <c r="C6336">
        <v>40</v>
      </c>
      <c r="D6336" t="s">
        <v>295</v>
      </c>
      <c r="E6336">
        <v>2024</v>
      </c>
      <c r="F6336">
        <v>11</v>
      </c>
    </row>
    <row r="6337" spans="1:6" x14ac:dyDescent="0.55000000000000004">
      <c r="A6337" t="s">
        <v>169</v>
      </c>
      <c r="B6337" t="s">
        <v>32</v>
      </c>
      <c r="C6337">
        <v>28782.560000000001</v>
      </c>
      <c r="D6337" t="s">
        <v>295</v>
      </c>
      <c r="E6337">
        <v>2024</v>
      </c>
      <c r="F6337">
        <v>11</v>
      </c>
    </row>
    <row r="6338" spans="1:6" x14ac:dyDescent="0.55000000000000004">
      <c r="A6338" t="s">
        <v>169</v>
      </c>
      <c r="B6338" t="s">
        <v>33</v>
      </c>
      <c r="C6338">
        <v>374953.3382</v>
      </c>
      <c r="D6338" t="s">
        <v>295</v>
      </c>
      <c r="E6338">
        <v>2024</v>
      </c>
      <c r="F6338">
        <v>11</v>
      </c>
    </row>
    <row r="6339" spans="1:6" x14ac:dyDescent="0.55000000000000004">
      <c r="A6339" t="s">
        <v>169</v>
      </c>
      <c r="B6339" t="s">
        <v>34</v>
      </c>
      <c r="C6339">
        <v>772678.65079999994</v>
      </c>
      <c r="D6339" t="s">
        <v>295</v>
      </c>
      <c r="E6339">
        <v>2024</v>
      </c>
      <c r="F6339">
        <v>11</v>
      </c>
    </row>
    <row r="6340" spans="1:6" x14ac:dyDescent="0.55000000000000004">
      <c r="A6340" t="s">
        <v>169</v>
      </c>
      <c r="B6340" t="s">
        <v>35</v>
      </c>
      <c r="C6340">
        <v>466.73970000000003</v>
      </c>
      <c r="D6340" t="s">
        <v>295</v>
      </c>
      <c r="E6340">
        <v>2024</v>
      </c>
      <c r="F6340">
        <v>11</v>
      </c>
    </row>
    <row r="6341" spans="1:6" x14ac:dyDescent="0.55000000000000004">
      <c r="A6341" t="s">
        <v>169</v>
      </c>
      <c r="B6341" t="s">
        <v>36</v>
      </c>
      <c r="C6341">
        <v>73400.000100000005</v>
      </c>
      <c r="D6341" t="s">
        <v>295</v>
      </c>
      <c r="E6341">
        <v>2024</v>
      </c>
      <c r="F6341">
        <v>11</v>
      </c>
    </row>
    <row r="6342" spans="1:6" x14ac:dyDescent="0.55000000000000004">
      <c r="A6342" t="s">
        <v>169</v>
      </c>
      <c r="B6342" t="s">
        <v>37</v>
      </c>
      <c r="C6342">
        <v>41400.000399999997</v>
      </c>
      <c r="D6342" t="s">
        <v>295</v>
      </c>
      <c r="E6342">
        <v>2024</v>
      </c>
      <c r="F6342">
        <v>11</v>
      </c>
    </row>
    <row r="6343" spans="1:6" x14ac:dyDescent="0.55000000000000004">
      <c r="A6343" t="s">
        <v>169</v>
      </c>
      <c r="B6343" t="s">
        <v>39</v>
      </c>
      <c r="C6343">
        <v>17280.666700000002</v>
      </c>
      <c r="D6343" t="s">
        <v>295</v>
      </c>
      <c r="E6343">
        <v>2024</v>
      </c>
      <c r="F6343">
        <v>11</v>
      </c>
    </row>
    <row r="6344" spans="1:6" x14ac:dyDescent="0.55000000000000004">
      <c r="A6344" t="s">
        <v>169</v>
      </c>
      <c r="B6344" t="s">
        <v>40</v>
      </c>
      <c r="C6344">
        <v>550.00279999999998</v>
      </c>
      <c r="D6344" t="s">
        <v>295</v>
      </c>
      <c r="E6344">
        <v>2024</v>
      </c>
      <c r="F6344">
        <v>11</v>
      </c>
    </row>
    <row r="6345" spans="1:6" x14ac:dyDescent="0.55000000000000004">
      <c r="A6345" t="s">
        <v>169</v>
      </c>
      <c r="B6345" t="s">
        <v>41</v>
      </c>
      <c r="C6345">
        <v>226600.0031</v>
      </c>
      <c r="D6345" t="s">
        <v>295</v>
      </c>
      <c r="E6345">
        <v>2024</v>
      </c>
      <c r="F6345">
        <v>11</v>
      </c>
    </row>
    <row r="6346" spans="1:6" x14ac:dyDescent="0.55000000000000004">
      <c r="A6346" t="s">
        <v>169</v>
      </c>
      <c r="B6346" t="s">
        <v>42</v>
      </c>
      <c r="C6346">
        <v>68.932000000000002</v>
      </c>
      <c r="D6346" t="s">
        <v>295</v>
      </c>
      <c r="E6346">
        <v>2024</v>
      </c>
      <c r="F6346">
        <v>11</v>
      </c>
    </row>
    <row r="6347" spans="1:6" x14ac:dyDescent="0.55000000000000004">
      <c r="A6347" t="s">
        <v>169</v>
      </c>
      <c r="B6347" t="s">
        <v>43</v>
      </c>
      <c r="C6347">
        <v>19100.007699999998</v>
      </c>
      <c r="D6347" t="s">
        <v>295</v>
      </c>
      <c r="E6347">
        <v>2024</v>
      </c>
      <c r="F6347">
        <v>11</v>
      </c>
    </row>
    <row r="6348" spans="1:6" x14ac:dyDescent="0.55000000000000004">
      <c r="A6348" t="s">
        <v>169</v>
      </c>
      <c r="B6348" t="s">
        <v>44</v>
      </c>
      <c r="C6348">
        <v>0</v>
      </c>
      <c r="D6348" t="s">
        <v>295</v>
      </c>
      <c r="E6348">
        <v>2024</v>
      </c>
      <c r="F6348">
        <v>11</v>
      </c>
    </row>
    <row r="6349" spans="1:6" x14ac:dyDescent="0.55000000000000004">
      <c r="A6349" t="s">
        <v>169</v>
      </c>
      <c r="B6349" t="s">
        <v>45</v>
      </c>
      <c r="C6349">
        <v>1502.0782999999999</v>
      </c>
      <c r="D6349" t="s">
        <v>295</v>
      </c>
      <c r="E6349">
        <v>2024</v>
      </c>
      <c r="F6349">
        <v>11</v>
      </c>
    </row>
    <row r="6350" spans="1:6" x14ac:dyDescent="0.55000000000000004">
      <c r="A6350" t="s">
        <v>169</v>
      </c>
      <c r="B6350" t="s">
        <v>46</v>
      </c>
      <c r="C6350">
        <v>47178.631999999998</v>
      </c>
      <c r="D6350" t="s">
        <v>295</v>
      </c>
      <c r="E6350">
        <v>2024</v>
      </c>
      <c r="F6350">
        <v>11</v>
      </c>
    </row>
    <row r="6351" spans="1:6" x14ac:dyDescent="0.55000000000000004">
      <c r="A6351" t="s">
        <v>169</v>
      </c>
      <c r="B6351" t="s">
        <v>47</v>
      </c>
      <c r="C6351">
        <v>0.5</v>
      </c>
      <c r="D6351" t="s">
        <v>295</v>
      </c>
      <c r="E6351">
        <v>2024</v>
      </c>
      <c r="F6351">
        <v>11</v>
      </c>
    </row>
    <row r="6352" spans="1:6" x14ac:dyDescent="0.55000000000000004">
      <c r="A6352" t="s">
        <v>169</v>
      </c>
      <c r="B6352" t="s">
        <v>48</v>
      </c>
      <c r="C6352">
        <v>354697.76500000001</v>
      </c>
      <c r="D6352" t="s">
        <v>295</v>
      </c>
      <c r="E6352">
        <v>2024</v>
      </c>
      <c r="F6352">
        <v>11</v>
      </c>
    </row>
    <row r="6353" spans="1:6" x14ac:dyDescent="0.55000000000000004">
      <c r="A6353" t="s">
        <v>169</v>
      </c>
      <c r="B6353" t="s">
        <v>49</v>
      </c>
      <c r="C6353">
        <v>240.5</v>
      </c>
      <c r="D6353" t="s">
        <v>295</v>
      </c>
      <c r="E6353">
        <v>2024</v>
      </c>
      <c r="F6353">
        <v>11</v>
      </c>
    </row>
    <row r="6354" spans="1:6" x14ac:dyDescent="0.55000000000000004">
      <c r="A6354" t="s">
        <v>169</v>
      </c>
      <c r="B6354" t="s">
        <v>50</v>
      </c>
      <c r="C6354">
        <v>21099.995699999999</v>
      </c>
      <c r="D6354" t="s">
        <v>295</v>
      </c>
      <c r="E6354">
        <v>2024</v>
      </c>
      <c r="F6354">
        <v>11</v>
      </c>
    </row>
    <row r="6355" spans="1:6" x14ac:dyDescent="0.55000000000000004">
      <c r="A6355" t="s">
        <v>169</v>
      </c>
      <c r="B6355" t="s">
        <v>51</v>
      </c>
      <c r="C6355">
        <v>4000</v>
      </c>
      <c r="D6355" t="s">
        <v>295</v>
      </c>
      <c r="E6355">
        <v>2024</v>
      </c>
      <c r="F6355">
        <v>11</v>
      </c>
    </row>
    <row r="6356" spans="1:6" x14ac:dyDescent="0.55000000000000004">
      <c r="A6356" t="s">
        <v>169</v>
      </c>
      <c r="B6356" t="s">
        <v>52</v>
      </c>
      <c r="C6356">
        <v>22.223800000000001</v>
      </c>
      <c r="D6356" t="s">
        <v>295</v>
      </c>
      <c r="E6356">
        <v>2024</v>
      </c>
      <c r="F6356">
        <v>11</v>
      </c>
    </row>
    <row r="6357" spans="1:6" x14ac:dyDescent="0.55000000000000004">
      <c r="A6357" t="s">
        <v>169</v>
      </c>
      <c r="B6357" t="s">
        <v>53</v>
      </c>
      <c r="C6357">
        <v>114818.4017</v>
      </c>
      <c r="D6357" t="s">
        <v>295</v>
      </c>
      <c r="E6357">
        <v>2024</v>
      </c>
      <c r="F6357">
        <v>11</v>
      </c>
    </row>
    <row r="6358" spans="1:6" x14ac:dyDescent="0.55000000000000004">
      <c r="A6358" t="s">
        <v>169</v>
      </c>
      <c r="B6358" t="s">
        <v>54</v>
      </c>
      <c r="C6358">
        <v>21125.606299999999</v>
      </c>
      <c r="D6358" t="s">
        <v>295</v>
      </c>
      <c r="E6358">
        <v>2024</v>
      </c>
      <c r="F6358">
        <v>11</v>
      </c>
    </row>
    <row r="6359" spans="1:6" x14ac:dyDescent="0.55000000000000004">
      <c r="A6359" t="s">
        <v>169</v>
      </c>
      <c r="B6359" t="s">
        <v>55</v>
      </c>
      <c r="C6359">
        <v>7408.2332999999999</v>
      </c>
      <c r="D6359" t="s">
        <v>295</v>
      </c>
      <c r="E6359">
        <v>2024</v>
      </c>
      <c r="F6359">
        <v>11</v>
      </c>
    </row>
    <row r="6360" spans="1:6" x14ac:dyDescent="0.55000000000000004">
      <c r="A6360" t="s">
        <v>169</v>
      </c>
      <c r="B6360" t="s">
        <v>56</v>
      </c>
      <c r="C6360">
        <v>0</v>
      </c>
      <c r="D6360" t="s">
        <v>295</v>
      </c>
      <c r="E6360">
        <v>2024</v>
      </c>
      <c r="F6360">
        <v>11</v>
      </c>
    </row>
    <row r="6361" spans="1:6" x14ac:dyDescent="0.55000000000000004">
      <c r="A6361" t="s">
        <v>169</v>
      </c>
      <c r="B6361" t="s">
        <v>57</v>
      </c>
      <c r="C6361">
        <v>375.56060000000002</v>
      </c>
      <c r="D6361" t="s">
        <v>295</v>
      </c>
      <c r="E6361">
        <v>2024</v>
      </c>
      <c r="F6361">
        <v>11</v>
      </c>
    </row>
    <row r="6362" spans="1:6" x14ac:dyDescent="0.55000000000000004">
      <c r="A6362" t="s">
        <v>169</v>
      </c>
      <c r="B6362" t="s">
        <v>58</v>
      </c>
      <c r="C6362">
        <v>400536</v>
      </c>
      <c r="D6362" t="s">
        <v>295</v>
      </c>
      <c r="E6362">
        <v>2024</v>
      </c>
      <c r="F6362">
        <v>11</v>
      </c>
    </row>
    <row r="6363" spans="1:6" x14ac:dyDescent="0.55000000000000004">
      <c r="A6363" t="s">
        <v>169</v>
      </c>
      <c r="B6363" t="s">
        <v>59</v>
      </c>
      <c r="C6363">
        <v>10000</v>
      </c>
      <c r="D6363" t="s">
        <v>295</v>
      </c>
      <c r="E6363">
        <v>2024</v>
      </c>
      <c r="F6363">
        <v>11</v>
      </c>
    </row>
    <row r="6364" spans="1:6" x14ac:dyDescent="0.55000000000000004">
      <c r="A6364" t="s">
        <v>169</v>
      </c>
      <c r="B6364" t="s">
        <v>60</v>
      </c>
      <c r="C6364">
        <v>1199541.3740999999</v>
      </c>
      <c r="D6364" t="s">
        <v>295</v>
      </c>
      <c r="E6364">
        <v>2024</v>
      </c>
      <c r="F6364">
        <v>11</v>
      </c>
    </row>
    <row r="6365" spans="1:6" x14ac:dyDescent="0.55000000000000004">
      <c r="A6365" t="s">
        <v>169</v>
      </c>
      <c r="B6365" t="s">
        <v>61</v>
      </c>
      <c r="C6365">
        <v>3645.6759999999999</v>
      </c>
      <c r="D6365" t="s">
        <v>295</v>
      </c>
      <c r="E6365">
        <v>2024</v>
      </c>
      <c r="F6365">
        <v>11</v>
      </c>
    </row>
    <row r="6366" spans="1:6" x14ac:dyDescent="0.55000000000000004">
      <c r="A6366" t="s">
        <v>169</v>
      </c>
      <c r="B6366" t="s">
        <v>62</v>
      </c>
      <c r="C6366">
        <v>8009.9483</v>
      </c>
      <c r="D6366" t="s">
        <v>295</v>
      </c>
      <c r="E6366">
        <v>2024</v>
      </c>
      <c r="F6366">
        <v>11</v>
      </c>
    </row>
    <row r="6367" spans="1:6" x14ac:dyDescent="0.55000000000000004">
      <c r="A6367" t="s">
        <v>169</v>
      </c>
      <c r="B6367" t="s">
        <v>63</v>
      </c>
      <c r="C6367">
        <v>0</v>
      </c>
      <c r="D6367" t="s">
        <v>295</v>
      </c>
      <c r="E6367">
        <v>2024</v>
      </c>
      <c r="F6367">
        <v>11</v>
      </c>
    </row>
    <row r="6368" spans="1:6" x14ac:dyDescent="0.55000000000000004">
      <c r="A6368" t="s">
        <v>170</v>
      </c>
      <c r="B6368" t="s">
        <v>4</v>
      </c>
      <c r="C6368">
        <v>10828718.443</v>
      </c>
      <c r="D6368" t="s">
        <v>296</v>
      </c>
      <c r="E6368">
        <v>2024</v>
      </c>
      <c r="F6368">
        <v>12</v>
      </c>
    </row>
    <row r="6369" spans="1:6" x14ac:dyDescent="0.55000000000000004">
      <c r="A6369" t="s">
        <v>170</v>
      </c>
      <c r="B6369" t="s">
        <v>5</v>
      </c>
      <c r="C6369">
        <v>1454358.8535</v>
      </c>
      <c r="D6369" t="s">
        <v>296</v>
      </c>
      <c r="E6369">
        <v>2024</v>
      </c>
      <c r="F6369">
        <v>12</v>
      </c>
    </row>
    <row r="6370" spans="1:6" x14ac:dyDescent="0.55000000000000004">
      <c r="A6370" t="s">
        <v>170</v>
      </c>
      <c r="B6370" t="s">
        <v>6</v>
      </c>
      <c r="C6370">
        <v>1175901.9712</v>
      </c>
      <c r="D6370" t="s">
        <v>296</v>
      </c>
      <c r="E6370">
        <v>2024</v>
      </c>
      <c r="F6370">
        <v>12</v>
      </c>
    </row>
    <row r="6371" spans="1:6" x14ac:dyDescent="0.55000000000000004">
      <c r="A6371" t="s">
        <v>170</v>
      </c>
      <c r="B6371" t="s">
        <v>7</v>
      </c>
      <c r="C6371">
        <v>3688372.3002999998</v>
      </c>
      <c r="D6371" t="s">
        <v>296</v>
      </c>
      <c r="E6371">
        <v>2024</v>
      </c>
      <c r="F6371">
        <v>12</v>
      </c>
    </row>
    <row r="6372" spans="1:6" x14ac:dyDescent="0.55000000000000004">
      <c r="A6372" t="s">
        <v>170</v>
      </c>
      <c r="B6372" t="s">
        <v>8</v>
      </c>
      <c r="C6372">
        <v>4510085.318</v>
      </c>
      <c r="D6372" t="s">
        <v>296</v>
      </c>
      <c r="E6372">
        <v>2024</v>
      </c>
      <c r="F6372">
        <v>12</v>
      </c>
    </row>
    <row r="6373" spans="1:6" x14ac:dyDescent="0.55000000000000004">
      <c r="A6373" t="s">
        <v>170</v>
      </c>
      <c r="B6373" t="s">
        <v>9</v>
      </c>
      <c r="C6373">
        <v>5287.0866999999998</v>
      </c>
      <c r="D6373" t="s">
        <v>296</v>
      </c>
      <c r="E6373">
        <v>2024</v>
      </c>
      <c r="F6373">
        <v>12</v>
      </c>
    </row>
    <row r="6374" spans="1:6" x14ac:dyDescent="0.55000000000000004">
      <c r="A6374" t="s">
        <v>170</v>
      </c>
      <c r="B6374" t="s">
        <v>10</v>
      </c>
      <c r="C6374">
        <v>7853.0060000000003</v>
      </c>
      <c r="D6374" t="s">
        <v>296</v>
      </c>
      <c r="E6374">
        <v>2024</v>
      </c>
      <c r="F6374">
        <v>12</v>
      </c>
    </row>
    <row r="6375" spans="1:6" x14ac:dyDescent="0.55000000000000004">
      <c r="A6375" t="s">
        <v>170</v>
      </c>
      <c r="B6375" t="s">
        <v>11</v>
      </c>
      <c r="C6375">
        <v>3872441.9127000002</v>
      </c>
      <c r="D6375" t="s">
        <v>296</v>
      </c>
      <c r="E6375">
        <v>2024</v>
      </c>
      <c r="F6375">
        <v>12</v>
      </c>
    </row>
    <row r="6376" spans="1:6" x14ac:dyDescent="0.55000000000000004">
      <c r="A6376" t="s">
        <v>170</v>
      </c>
      <c r="B6376" t="s">
        <v>12</v>
      </c>
      <c r="C6376">
        <v>9000</v>
      </c>
      <c r="D6376" t="s">
        <v>296</v>
      </c>
      <c r="E6376">
        <v>2024</v>
      </c>
      <c r="F6376">
        <v>12</v>
      </c>
    </row>
    <row r="6377" spans="1:6" x14ac:dyDescent="0.55000000000000004">
      <c r="A6377" t="s">
        <v>170</v>
      </c>
      <c r="B6377" t="s">
        <v>13</v>
      </c>
      <c r="C6377">
        <v>11134.875899999999</v>
      </c>
      <c r="D6377" t="s">
        <v>296</v>
      </c>
      <c r="E6377">
        <v>2024</v>
      </c>
      <c r="F6377">
        <v>12</v>
      </c>
    </row>
    <row r="6378" spans="1:6" x14ac:dyDescent="0.55000000000000004">
      <c r="A6378" t="s">
        <v>170</v>
      </c>
      <c r="B6378" t="s">
        <v>14</v>
      </c>
      <c r="C6378">
        <v>700</v>
      </c>
      <c r="D6378" t="s">
        <v>296</v>
      </c>
      <c r="E6378">
        <v>2024</v>
      </c>
      <c r="F6378">
        <v>12</v>
      </c>
    </row>
    <row r="6379" spans="1:6" x14ac:dyDescent="0.55000000000000004">
      <c r="A6379" t="s">
        <v>170</v>
      </c>
      <c r="B6379" t="s">
        <v>15</v>
      </c>
      <c r="C6379">
        <v>1312383.9948</v>
      </c>
      <c r="D6379" t="s">
        <v>296</v>
      </c>
      <c r="E6379">
        <v>2024</v>
      </c>
      <c r="F6379">
        <v>12</v>
      </c>
    </row>
    <row r="6380" spans="1:6" x14ac:dyDescent="0.55000000000000004">
      <c r="A6380" t="s">
        <v>170</v>
      </c>
      <c r="B6380" t="s">
        <v>17</v>
      </c>
      <c r="C6380">
        <v>43309.434999999998</v>
      </c>
      <c r="D6380" t="s">
        <v>296</v>
      </c>
      <c r="E6380">
        <v>2024</v>
      </c>
      <c r="F6380">
        <v>12</v>
      </c>
    </row>
    <row r="6381" spans="1:6" x14ac:dyDescent="0.55000000000000004">
      <c r="A6381" t="s">
        <v>170</v>
      </c>
      <c r="B6381" t="s">
        <v>18</v>
      </c>
      <c r="C6381">
        <v>17714.866399999999</v>
      </c>
      <c r="D6381" t="s">
        <v>296</v>
      </c>
      <c r="E6381">
        <v>2024</v>
      </c>
      <c r="F6381">
        <v>12</v>
      </c>
    </row>
    <row r="6382" spans="1:6" x14ac:dyDescent="0.55000000000000004">
      <c r="A6382" t="s">
        <v>170</v>
      </c>
      <c r="B6382" t="s">
        <v>19</v>
      </c>
      <c r="C6382">
        <v>2379.9870999999998</v>
      </c>
      <c r="D6382" t="s">
        <v>296</v>
      </c>
      <c r="E6382">
        <v>2024</v>
      </c>
      <c r="F6382">
        <v>12</v>
      </c>
    </row>
    <row r="6383" spans="1:6" x14ac:dyDescent="0.55000000000000004">
      <c r="A6383" t="s">
        <v>170</v>
      </c>
      <c r="B6383" t="s">
        <v>20</v>
      </c>
      <c r="C6383">
        <v>8300</v>
      </c>
      <c r="D6383" t="s">
        <v>296</v>
      </c>
      <c r="E6383">
        <v>2024</v>
      </c>
      <c r="F6383">
        <v>12</v>
      </c>
    </row>
    <row r="6384" spans="1:6" x14ac:dyDescent="0.55000000000000004">
      <c r="A6384" t="s">
        <v>170</v>
      </c>
      <c r="B6384" t="s">
        <v>21</v>
      </c>
      <c r="C6384">
        <v>3099.9953999999998</v>
      </c>
      <c r="D6384" t="s">
        <v>296</v>
      </c>
      <c r="E6384">
        <v>2024</v>
      </c>
      <c r="F6384">
        <v>12</v>
      </c>
    </row>
    <row r="6385" spans="1:6" x14ac:dyDescent="0.55000000000000004">
      <c r="A6385" t="s">
        <v>170</v>
      </c>
      <c r="B6385" t="s">
        <v>22</v>
      </c>
      <c r="C6385">
        <v>52417.826000000001</v>
      </c>
      <c r="D6385" t="s">
        <v>296</v>
      </c>
      <c r="E6385">
        <v>2024</v>
      </c>
      <c r="F6385">
        <v>12</v>
      </c>
    </row>
    <row r="6386" spans="1:6" x14ac:dyDescent="0.55000000000000004">
      <c r="A6386" t="s">
        <v>170</v>
      </c>
      <c r="B6386" t="s">
        <v>23</v>
      </c>
      <c r="C6386">
        <v>13300</v>
      </c>
      <c r="D6386" t="s">
        <v>296</v>
      </c>
      <c r="E6386">
        <v>2024</v>
      </c>
      <c r="F6386">
        <v>12</v>
      </c>
    </row>
    <row r="6387" spans="1:6" x14ac:dyDescent="0.55000000000000004">
      <c r="A6387" t="s">
        <v>170</v>
      </c>
      <c r="B6387" t="s">
        <v>25</v>
      </c>
      <c r="C6387">
        <v>470000</v>
      </c>
      <c r="D6387" t="s">
        <v>296</v>
      </c>
      <c r="E6387">
        <v>2024</v>
      </c>
      <c r="F6387">
        <v>12</v>
      </c>
    </row>
    <row r="6388" spans="1:6" x14ac:dyDescent="0.55000000000000004">
      <c r="A6388" t="s">
        <v>170</v>
      </c>
      <c r="B6388" t="s">
        <v>27</v>
      </c>
      <c r="C6388">
        <v>370.49599999999998</v>
      </c>
      <c r="D6388" t="s">
        <v>296</v>
      </c>
      <c r="E6388">
        <v>2024</v>
      </c>
      <c r="F6388">
        <v>12</v>
      </c>
    </row>
    <row r="6389" spans="1:6" x14ac:dyDescent="0.55000000000000004">
      <c r="A6389" t="s">
        <v>170</v>
      </c>
      <c r="B6389" t="s">
        <v>28</v>
      </c>
      <c r="C6389">
        <v>86071.590400000001</v>
      </c>
      <c r="D6389" t="s">
        <v>296</v>
      </c>
      <c r="E6389">
        <v>2024</v>
      </c>
      <c r="F6389">
        <v>12</v>
      </c>
    </row>
    <row r="6390" spans="1:6" x14ac:dyDescent="0.55000000000000004">
      <c r="A6390" t="s">
        <v>170</v>
      </c>
      <c r="B6390" t="s">
        <v>29</v>
      </c>
      <c r="C6390">
        <v>4254.6666999999998</v>
      </c>
      <c r="D6390" t="s">
        <v>296</v>
      </c>
      <c r="E6390">
        <v>2024</v>
      </c>
      <c r="F6390">
        <v>12</v>
      </c>
    </row>
    <row r="6391" spans="1:6" x14ac:dyDescent="0.55000000000000004">
      <c r="A6391" t="s">
        <v>170</v>
      </c>
      <c r="B6391" t="s">
        <v>30</v>
      </c>
      <c r="C6391">
        <v>5.3705999999999996</v>
      </c>
      <c r="D6391" t="s">
        <v>296</v>
      </c>
      <c r="E6391">
        <v>2024</v>
      </c>
      <c r="F6391">
        <v>12</v>
      </c>
    </row>
    <row r="6392" spans="1:6" x14ac:dyDescent="0.55000000000000004">
      <c r="A6392" t="s">
        <v>170</v>
      </c>
      <c r="B6392" t="s">
        <v>31</v>
      </c>
      <c r="C6392">
        <v>30</v>
      </c>
      <c r="D6392" t="s">
        <v>296</v>
      </c>
      <c r="E6392">
        <v>2024</v>
      </c>
      <c r="F6392">
        <v>12</v>
      </c>
    </row>
    <row r="6393" spans="1:6" x14ac:dyDescent="0.55000000000000004">
      <c r="A6393" t="s">
        <v>170</v>
      </c>
      <c r="B6393" t="s">
        <v>32</v>
      </c>
      <c r="C6393">
        <v>86258.78</v>
      </c>
      <c r="D6393" t="s">
        <v>296</v>
      </c>
      <c r="E6393">
        <v>2024</v>
      </c>
      <c r="F6393">
        <v>12</v>
      </c>
    </row>
    <row r="6394" spans="1:6" x14ac:dyDescent="0.55000000000000004">
      <c r="A6394" t="s">
        <v>170</v>
      </c>
      <c r="B6394" t="s">
        <v>33</v>
      </c>
      <c r="C6394">
        <v>346664.29440000001</v>
      </c>
      <c r="D6394" t="s">
        <v>296</v>
      </c>
      <c r="E6394">
        <v>2024</v>
      </c>
      <c r="F6394">
        <v>12</v>
      </c>
    </row>
    <row r="6395" spans="1:6" x14ac:dyDescent="0.55000000000000004">
      <c r="A6395" t="s">
        <v>170</v>
      </c>
      <c r="B6395" t="s">
        <v>34</v>
      </c>
      <c r="C6395">
        <v>628108.82279999997</v>
      </c>
      <c r="D6395" t="s">
        <v>296</v>
      </c>
      <c r="E6395">
        <v>2024</v>
      </c>
      <c r="F6395">
        <v>12</v>
      </c>
    </row>
    <row r="6396" spans="1:6" x14ac:dyDescent="0.55000000000000004">
      <c r="A6396" t="s">
        <v>170</v>
      </c>
      <c r="B6396" t="s">
        <v>35</v>
      </c>
      <c r="C6396">
        <v>472.61250000000001</v>
      </c>
      <c r="D6396" t="s">
        <v>296</v>
      </c>
      <c r="E6396">
        <v>2024</v>
      </c>
      <c r="F6396">
        <v>12</v>
      </c>
    </row>
    <row r="6397" spans="1:6" x14ac:dyDescent="0.55000000000000004">
      <c r="A6397" t="s">
        <v>170</v>
      </c>
      <c r="B6397" t="s">
        <v>36</v>
      </c>
      <c r="C6397">
        <v>54299.999000000003</v>
      </c>
      <c r="D6397" t="s">
        <v>296</v>
      </c>
      <c r="E6397">
        <v>2024</v>
      </c>
      <c r="F6397">
        <v>12</v>
      </c>
    </row>
    <row r="6398" spans="1:6" x14ac:dyDescent="0.55000000000000004">
      <c r="A6398" t="s">
        <v>170</v>
      </c>
      <c r="B6398" t="s">
        <v>37</v>
      </c>
      <c r="C6398">
        <v>34000.004999999997</v>
      </c>
      <c r="D6398" t="s">
        <v>296</v>
      </c>
      <c r="E6398">
        <v>2024</v>
      </c>
      <c r="F6398">
        <v>12</v>
      </c>
    </row>
    <row r="6399" spans="1:6" x14ac:dyDescent="0.55000000000000004">
      <c r="A6399" t="s">
        <v>170</v>
      </c>
      <c r="B6399" t="s">
        <v>39</v>
      </c>
      <c r="C6399">
        <v>21885.584599999998</v>
      </c>
      <c r="D6399" t="s">
        <v>296</v>
      </c>
      <c r="E6399">
        <v>2024</v>
      </c>
      <c r="F6399">
        <v>12</v>
      </c>
    </row>
    <row r="6400" spans="1:6" x14ac:dyDescent="0.55000000000000004">
      <c r="A6400" t="s">
        <v>170</v>
      </c>
      <c r="B6400" t="s">
        <v>40</v>
      </c>
      <c r="C6400">
        <v>768.2</v>
      </c>
      <c r="D6400" t="s">
        <v>296</v>
      </c>
      <c r="E6400">
        <v>2024</v>
      </c>
      <c r="F6400">
        <v>12</v>
      </c>
    </row>
    <row r="6401" spans="1:6" x14ac:dyDescent="0.55000000000000004">
      <c r="A6401" t="s">
        <v>170</v>
      </c>
      <c r="B6401" t="s">
        <v>41</v>
      </c>
      <c r="C6401">
        <v>135500.01259999999</v>
      </c>
      <c r="D6401" t="s">
        <v>296</v>
      </c>
      <c r="E6401">
        <v>2024</v>
      </c>
      <c r="F6401">
        <v>12</v>
      </c>
    </row>
    <row r="6402" spans="1:6" x14ac:dyDescent="0.55000000000000004">
      <c r="A6402" t="s">
        <v>170</v>
      </c>
      <c r="B6402" t="s">
        <v>42</v>
      </c>
      <c r="C6402">
        <v>18.208300000000001</v>
      </c>
      <c r="D6402" t="s">
        <v>296</v>
      </c>
      <c r="E6402">
        <v>2024</v>
      </c>
      <c r="F6402">
        <v>12</v>
      </c>
    </row>
    <row r="6403" spans="1:6" x14ac:dyDescent="0.55000000000000004">
      <c r="A6403" t="s">
        <v>170</v>
      </c>
      <c r="B6403" t="s">
        <v>43</v>
      </c>
      <c r="C6403">
        <v>78300.009000000005</v>
      </c>
      <c r="D6403" t="s">
        <v>296</v>
      </c>
      <c r="E6403">
        <v>2024</v>
      </c>
      <c r="F6403">
        <v>12</v>
      </c>
    </row>
    <row r="6404" spans="1:6" x14ac:dyDescent="0.55000000000000004">
      <c r="A6404" t="s">
        <v>170</v>
      </c>
      <c r="B6404" t="s">
        <v>44</v>
      </c>
      <c r="C6404">
        <v>0</v>
      </c>
      <c r="D6404" t="s">
        <v>296</v>
      </c>
      <c r="E6404">
        <v>2024</v>
      </c>
      <c r="F6404">
        <v>12</v>
      </c>
    </row>
    <row r="6405" spans="1:6" x14ac:dyDescent="0.55000000000000004">
      <c r="A6405" t="s">
        <v>170</v>
      </c>
      <c r="B6405" t="s">
        <v>45</v>
      </c>
      <c r="C6405">
        <v>1361.9794999999999</v>
      </c>
      <c r="D6405" t="s">
        <v>296</v>
      </c>
      <c r="E6405">
        <v>2024</v>
      </c>
      <c r="F6405">
        <v>12</v>
      </c>
    </row>
    <row r="6406" spans="1:6" x14ac:dyDescent="0.55000000000000004">
      <c r="A6406" t="s">
        <v>170</v>
      </c>
      <c r="B6406" t="s">
        <v>46</v>
      </c>
      <c r="C6406">
        <v>39593.42</v>
      </c>
      <c r="D6406" t="s">
        <v>296</v>
      </c>
      <c r="E6406">
        <v>2024</v>
      </c>
      <c r="F6406">
        <v>12</v>
      </c>
    </row>
    <row r="6407" spans="1:6" x14ac:dyDescent="0.55000000000000004">
      <c r="A6407" t="s">
        <v>170</v>
      </c>
      <c r="B6407" t="s">
        <v>47</v>
      </c>
      <c r="C6407">
        <v>0</v>
      </c>
      <c r="D6407" t="s">
        <v>296</v>
      </c>
      <c r="E6407">
        <v>2024</v>
      </c>
      <c r="F6407">
        <v>12</v>
      </c>
    </row>
    <row r="6408" spans="1:6" x14ac:dyDescent="0.55000000000000004">
      <c r="A6408" t="s">
        <v>170</v>
      </c>
      <c r="B6408" t="s">
        <v>48</v>
      </c>
      <c r="C6408">
        <v>242220.22579999999</v>
      </c>
      <c r="D6408" t="s">
        <v>296</v>
      </c>
      <c r="E6408">
        <v>2024</v>
      </c>
      <c r="F6408">
        <v>12</v>
      </c>
    </row>
    <row r="6409" spans="1:6" x14ac:dyDescent="0.55000000000000004">
      <c r="A6409" t="s">
        <v>170</v>
      </c>
      <c r="B6409" t="s">
        <v>49</v>
      </c>
      <c r="C6409">
        <v>134.79</v>
      </c>
      <c r="D6409" t="s">
        <v>296</v>
      </c>
      <c r="E6409">
        <v>2024</v>
      </c>
      <c r="F6409">
        <v>12</v>
      </c>
    </row>
    <row r="6410" spans="1:6" x14ac:dyDescent="0.55000000000000004">
      <c r="A6410" t="s">
        <v>170</v>
      </c>
      <c r="B6410" t="s">
        <v>50</v>
      </c>
      <c r="C6410">
        <v>29100.000100000001</v>
      </c>
      <c r="D6410" t="s">
        <v>296</v>
      </c>
      <c r="E6410">
        <v>2024</v>
      </c>
      <c r="F6410">
        <v>12</v>
      </c>
    </row>
    <row r="6411" spans="1:6" x14ac:dyDescent="0.55000000000000004">
      <c r="A6411" t="s">
        <v>170</v>
      </c>
      <c r="B6411" t="s">
        <v>51</v>
      </c>
      <c r="C6411">
        <v>4000</v>
      </c>
      <c r="D6411" t="s">
        <v>296</v>
      </c>
      <c r="E6411">
        <v>2024</v>
      </c>
      <c r="F6411">
        <v>12</v>
      </c>
    </row>
    <row r="6412" spans="1:6" x14ac:dyDescent="0.55000000000000004">
      <c r="A6412" t="s">
        <v>170</v>
      </c>
      <c r="B6412" t="s">
        <v>52</v>
      </c>
      <c r="C6412">
        <v>27.67</v>
      </c>
      <c r="D6412" t="s">
        <v>296</v>
      </c>
      <c r="E6412">
        <v>2024</v>
      </c>
      <c r="F6412">
        <v>12</v>
      </c>
    </row>
    <row r="6413" spans="1:6" x14ac:dyDescent="0.55000000000000004">
      <c r="A6413" t="s">
        <v>170</v>
      </c>
      <c r="B6413" t="s">
        <v>53</v>
      </c>
      <c r="C6413">
        <v>100760.4097</v>
      </c>
      <c r="D6413" t="s">
        <v>296</v>
      </c>
      <c r="E6413">
        <v>2024</v>
      </c>
      <c r="F6413">
        <v>12</v>
      </c>
    </row>
    <row r="6414" spans="1:6" x14ac:dyDescent="0.55000000000000004">
      <c r="A6414" t="s">
        <v>170</v>
      </c>
      <c r="B6414" t="s">
        <v>54</v>
      </c>
      <c r="C6414">
        <v>19294.121800000001</v>
      </c>
      <c r="D6414" t="s">
        <v>296</v>
      </c>
      <c r="E6414">
        <v>2024</v>
      </c>
      <c r="F6414">
        <v>12</v>
      </c>
    </row>
    <row r="6415" spans="1:6" x14ac:dyDescent="0.55000000000000004">
      <c r="A6415" t="s">
        <v>170</v>
      </c>
      <c r="B6415" t="s">
        <v>55</v>
      </c>
      <c r="C6415">
        <v>7957.2833000000001</v>
      </c>
      <c r="D6415" t="s">
        <v>296</v>
      </c>
      <c r="E6415">
        <v>2024</v>
      </c>
      <c r="F6415">
        <v>12</v>
      </c>
    </row>
    <row r="6416" spans="1:6" x14ac:dyDescent="0.55000000000000004">
      <c r="A6416" t="s">
        <v>170</v>
      </c>
      <c r="B6416" t="s">
        <v>56</v>
      </c>
      <c r="C6416">
        <v>5234</v>
      </c>
      <c r="D6416" t="s">
        <v>296</v>
      </c>
      <c r="E6416">
        <v>2024</v>
      </c>
      <c r="F6416">
        <v>12</v>
      </c>
    </row>
    <row r="6417" spans="1:6" x14ac:dyDescent="0.55000000000000004">
      <c r="A6417" t="s">
        <v>170</v>
      </c>
      <c r="B6417" t="s">
        <v>57</v>
      </c>
      <c r="C6417">
        <v>700.05020000000002</v>
      </c>
      <c r="D6417" t="s">
        <v>296</v>
      </c>
      <c r="E6417">
        <v>2024</v>
      </c>
      <c r="F6417">
        <v>12</v>
      </c>
    </row>
    <row r="6418" spans="1:6" x14ac:dyDescent="0.55000000000000004">
      <c r="A6418" t="s">
        <v>170</v>
      </c>
      <c r="B6418" t="s">
        <v>58</v>
      </c>
      <c r="C6418">
        <v>413079</v>
      </c>
      <c r="D6418" t="s">
        <v>296</v>
      </c>
      <c r="E6418">
        <v>2024</v>
      </c>
      <c r="F6418">
        <v>12</v>
      </c>
    </row>
    <row r="6419" spans="1:6" x14ac:dyDescent="0.55000000000000004">
      <c r="A6419" t="s">
        <v>170</v>
      </c>
      <c r="B6419" t="s">
        <v>59</v>
      </c>
      <c r="C6419">
        <v>2600</v>
      </c>
      <c r="D6419" t="s">
        <v>296</v>
      </c>
      <c r="E6419">
        <v>2024</v>
      </c>
      <c r="F6419">
        <v>12</v>
      </c>
    </row>
    <row r="6420" spans="1:6" x14ac:dyDescent="0.55000000000000004">
      <c r="A6420" t="s">
        <v>170</v>
      </c>
      <c r="B6420" t="s">
        <v>60</v>
      </c>
      <c r="C6420">
        <v>2644234.3851000001</v>
      </c>
      <c r="D6420" t="s">
        <v>296</v>
      </c>
      <c r="E6420">
        <v>2024</v>
      </c>
      <c r="F6420">
        <v>12</v>
      </c>
    </row>
    <row r="6421" spans="1:6" x14ac:dyDescent="0.55000000000000004">
      <c r="A6421" t="s">
        <v>170</v>
      </c>
      <c r="B6421" t="s">
        <v>61</v>
      </c>
      <c r="C6421">
        <v>3092.3434000000002</v>
      </c>
      <c r="D6421" t="s">
        <v>296</v>
      </c>
      <c r="E6421">
        <v>2024</v>
      </c>
      <c r="F6421">
        <v>12</v>
      </c>
    </row>
    <row r="6422" spans="1:6" x14ac:dyDescent="0.55000000000000004">
      <c r="A6422" t="s">
        <v>170</v>
      </c>
      <c r="B6422" t="s">
        <v>62</v>
      </c>
      <c r="C6422">
        <v>8777.1262000000006</v>
      </c>
      <c r="D6422" t="s">
        <v>296</v>
      </c>
      <c r="E6422">
        <v>2024</v>
      </c>
      <c r="F6422">
        <v>12</v>
      </c>
    </row>
    <row r="6423" spans="1:6" x14ac:dyDescent="0.55000000000000004">
      <c r="A6423" t="s">
        <v>170</v>
      </c>
      <c r="B6423" t="s">
        <v>63</v>
      </c>
      <c r="C6423">
        <v>220</v>
      </c>
      <c r="D6423" t="s">
        <v>296</v>
      </c>
      <c r="E6423">
        <v>2024</v>
      </c>
      <c r="F6423">
        <v>12</v>
      </c>
    </row>
    <row r="6424" spans="1:6" x14ac:dyDescent="0.55000000000000004">
      <c r="A6424" t="s">
        <v>171</v>
      </c>
      <c r="B6424" t="s">
        <v>4</v>
      </c>
      <c r="C6424">
        <v>11095587.9669</v>
      </c>
      <c r="D6424" t="s">
        <v>297</v>
      </c>
      <c r="E6424">
        <v>2025</v>
      </c>
      <c r="F6424">
        <v>1</v>
      </c>
    </row>
    <row r="6425" spans="1:6" x14ac:dyDescent="0.55000000000000004">
      <c r="A6425" t="s">
        <v>171</v>
      </c>
      <c r="B6425" t="s">
        <v>5</v>
      </c>
      <c r="C6425">
        <v>1300453.4284999999</v>
      </c>
      <c r="D6425" t="s">
        <v>297</v>
      </c>
      <c r="E6425">
        <v>2025</v>
      </c>
      <c r="F6425">
        <v>1</v>
      </c>
    </row>
    <row r="6426" spans="1:6" x14ac:dyDescent="0.55000000000000004">
      <c r="A6426" t="s">
        <v>171</v>
      </c>
      <c r="B6426" t="s">
        <v>6</v>
      </c>
      <c r="C6426">
        <v>1712547.1621000001</v>
      </c>
      <c r="D6426" t="s">
        <v>297</v>
      </c>
      <c r="E6426">
        <v>2025</v>
      </c>
      <c r="F6426">
        <v>1</v>
      </c>
    </row>
    <row r="6427" spans="1:6" x14ac:dyDescent="0.55000000000000004">
      <c r="A6427" t="s">
        <v>171</v>
      </c>
      <c r="B6427" t="s">
        <v>7</v>
      </c>
      <c r="C6427">
        <v>3733408.392</v>
      </c>
      <c r="D6427" t="s">
        <v>297</v>
      </c>
      <c r="E6427">
        <v>2025</v>
      </c>
      <c r="F6427">
        <v>1</v>
      </c>
    </row>
    <row r="6428" spans="1:6" x14ac:dyDescent="0.55000000000000004">
      <c r="A6428" t="s">
        <v>171</v>
      </c>
      <c r="B6428" t="s">
        <v>8</v>
      </c>
      <c r="C6428">
        <v>4349178.9842999997</v>
      </c>
      <c r="D6428" t="s">
        <v>297</v>
      </c>
      <c r="E6428">
        <v>2025</v>
      </c>
      <c r="F6428">
        <v>1</v>
      </c>
    </row>
    <row r="6429" spans="1:6" x14ac:dyDescent="0.55000000000000004">
      <c r="A6429" t="s">
        <v>171</v>
      </c>
      <c r="B6429" t="s">
        <v>9</v>
      </c>
      <c r="C6429">
        <v>6031.8499000000002</v>
      </c>
      <c r="D6429" t="s">
        <v>297</v>
      </c>
      <c r="E6429">
        <v>2025</v>
      </c>
      <c r="F6429">
        <v>1</v>
      </c>
    </row>
    <row r="6430" spans="1:6" x14ac:dyDescent="0.55000000000000004">
      <c r="A6430" t="s">
        <v>171</v>
      </c>
      <c r="B6430" t="s">
        <v>10</v>
      </c>
      <c r="C6430">
        <v>5314.03</v>
      </c>
      <c r="D6430" t="s">
        <v>297</v>
      </c>
      <c r="E6430">
        <v>2025</v>
      </c>
      <c r="F6430">
        <v>1</v>
      </c>
    </row>
    <row r="6431" spans="1:6" x14ac:dyDescent="0.55000000000000004">
      <c r="A6431" t="s">
        <v>171</v>
      </c>
      <c r="B6431" t="s">
        <v>11</v>
      </c>
      <c r="C6431">
        <v>3770072.5644</v>
      </c>
      <c r="D6431" t="s">
        <v>297</v>
      </c>
      <c r="E6431">
        <v>2025</v>
      </c>
      <c r="F6431">
        <v>1</v>
      </c>
    </row>
    <row r="6432" spans="1:6" x14ac:dyDescent="0.55000000000000004">
      <c r="A6432" t="s">
        <v>171</v>
      </c>
      <c r="B6432" t="s">
        <v>12</v>
      </c>
      <c r="C6432">
        <v>13000</v>
      </c>
      <c r="D6432" t="s">
        <v>297</v>
      </c>
      <c r="E6432">
        <v>2025</v>
      </c>
      <c r="F6432">
        <v>1</v>
      </c>
    </row>
    <row r="6433" spans="1:6" x14ac:dyDescent="0.55000000000000004">
      <c r="A6433" t="s">
        <v>171</v>
      </c>
      <c r="B6433" t="s">
        <v>13</v>
      </c>
      <c r="C6433">
        <v>5995.8333000000002</v>
      </c>
      <c r="D6433" t="s">
        <v>297</v>
      </c>
      <c r="E6433">
        <v>2025</v>
      </c>
      <c r="F6433">
        <v>1</v>
      </c>
    </row>
    <row r="6434" spans="1:6" x14ac:dyDescent="0.55000000000000004">
      <c r="A6434" t="s">
        <v>171</v>
      </c>
      <c r="B6434" t="s">
        <v>14</v>
      </c>
      <c r="C6434">
        <v>900</v>
      </c>
      <c r="D6434" t="s">
        <v>297</v>
      </c>
      <c r="E6434">
        <v>2025</v>
      </c>
      <c r="F6434">
        <v>1</v>
      </c>
    </row>
    <row r="6435" spans="1:6" x14ac:dyDescent="0.55000000000000004">
      <c r="A6435" t="s">
        <v>171</v>
      </c>
      <c r="B6435" t="s">
        <v>15</v>
      </c>
      <c r="C6435">
        <v>1162988.9838</v>
      </c>
      <c r="D6435" t="s">
        <v>297</v>
      </c>
      <c r="E6435">
        <v>2025</v>
      </c>
      <c r="F6435">
        <v>1</v>
      </c>
    </row>
    <row r="6436" spans="1:6" x14ac:dyDescent="0.55000000000000004">
      <c r="A6436" t="s">
        <v>171</v>
      </c>
      <c r="B6436" t="s">
        <v>17</v>
      </c>
      <c r="C6436">
        <v>82037.7022</v>
      </c>
      <c r="D6436" t="s">
        <v>297</v>
      </c>
      <c r="E6436">
        <v>2025</v>
      </c>
      <c r="F6436">
        <v>1</v>
      </c>
    </row>
    <row r="6437" spans="1:6" x14ac:dyDescent="0.55000000000000004">
      <c r="A6437" t="s">
        <v>171</v>
      </c>
      <c r="B6437" t="s">
        <v>18</v>
      </c>
      <c r="C6437">
        <v>39500</v>
      </c>
      <c r="D6437" t="s">
        <v>297</v>
      </c>
      <c r="E6437">
        <v>2025</v>
      </c>
      <c r="F6437">
        <v>1</v>
      </c>
    </row>
    <row r="6438" spans="1:6" x14ac:dyDescent="0.55000000000000004">
      <c r="A6438" t="s">
        <v>171</v>
      </c>
      <c r="B6438" t="s">
        <v>19</v>
      </c>
      <c r="C6438">
        <v>2039.9911999999999</v>
      </c>
      <c r="D6438" t="s">
        <v>297</v>
      </c>
      <c r="E6438">
        <v>2025</v>
      </c>
      <c r="F6438">
        <v>1</v>
      </c>
    </row>
    <row r="6439" spans="1:6" x14ac:dyDescent="0.55000000000000004">
      <c r="A6439" t="s">
        <v>171</v>
      </c>
      <c r="B6439" t="s">
        <v>20</v>
      </c>
      <c r="C6439">
        <v>12400</v>
      </c>
      <c r="D6439" t="s">
        <v>297</v>
      </c>
      <c r="E6439">
        <v>2025</v>
      </c>
      <c r="F6439">
        <v>1</v>
      </c>
    </row>
    <row r="6440" spans="1:6" x14ac:dyDescent="0.55000000000000004">
      <c r="A6440" t="s">
        <v>171</v>
      </c>
      <c r="B6440" t="s">
        <v>21</v>
      </c>
      <c r="C6440">
        <v>1769.0154</v>
      </c>
      <c r="D6440" t="s">
        <v>297</v>
      </c>
      <c r="E6440">
        <v>2025</v>
      </c>
      <c r="F6440">
        <v>1</v>
      </c>
    </row>
    <row r="6441" spans="1:6" x14ac:dyDescent="0.55000000000000004">
      <c r="A6441" t="s">
        <v>171</v>
      </c>
      <c r="B6441" t="s">
        <v>22</v>
      </c>
      <c r="C6441">
        <v>19484.276000000002</v>
      </c>
      <c r="D6441" t="s">
        <v>297</v>
      </c>
      <c r="E6441">
        <v>2025</v>
      </c>
      <c r="F6441">
        <v>1</v>
      </c>
    </row>
    <row r="6442" spans="1:6" x14ac:dyDescent="0.55000000000000004">
      <c r="A6442" t="s">
        <v>171</v>
      </c>
      <c r="B6442" t="s">
        <v>23</v>
      </c>
      <c r="C6442">
        <v>20879.503199999999</v>
      </c>
      <c r="D6442" t="s">
        <v>297</v>
      </c>
      <c r="E6442">
        <v>2025</v>
      </c>
      <c r="F6442">
        <v>1</v>
      </c>
    </row>
    <row r="6443" spans="1:6" x14ac:dyDescent="0.55000000000000004">
      <c r="A6443" t="s">
        <v>171</v>
      </c>
      <c r="B6443" t="s">
        <v>25</v>
      </c>
      <c r="C6443">
        <v>220000</v>
      </c>
      <c r="D6443" t="s">
        <v>297</v>
      </c>
      <c r="E6443">
        <v>2025</v>
      </c>
      <c r="F6443">
        <v>1</v>
      </c>
    </row>
    <row r="6444" spans="1:6" x14ac:dyDescent="0.55000000000000004">
      <c r="A6444" t="s">
        <v>171</v>
      </c>
      <c r="B6444" t="s">
        <v>27</v>
      </c>
      <c r="C6444">
        <v>446.3897</v>
      </c>
      <c r="D6444" t="s">
        <v>297</v>
      </c>
      <c r="E6444">
        <v>2025</v>
      </c>
      <c r="F6444">
        <v>1</v>
      </c>
    </row>
    <row r="6445" spans="1:6" x14ac:dyDescent="0.55000000000000004">
      <c r="A6445" t="s">
        <v>171</v>
      </c>
      <c r="B6445" t="s">
        <v>28</v>
      </c>
      <c r="C6445">
        <v>248044.1869</v>
      </c>
      <c r="D6445" t="s">
        <v>297</v>
      </c>
      <c r="E6445">
        <v>2025</v>
      </c>
      <c r="F6445">
        <v>1</v>
      </c>
    </row>
    <row r="6446" spans="1:6" x14ac:dyDescent="0.55000000000000004">
      <c r="A6446" t="s">
        <v>171</v>
      </c>
      <c r="B6446" t="s">
        <v>29</v>
      </c>
      <c r="C6446">
        <v>18094.6669</v>
      </c>
      <c r="D6446" t="s">
        <v>297</v>
      </c>
      <c r="E6446">
        <v>2025</v>
      </c>
      <c r="F6446">
        <v>1</v>
      </c>
    </row>
    <row r="6447" spans="1:6" x14ac:dyDescent="0.55000000000000004">
      <c r="A6447" t="s">
        <v>171</v>
      </c>
      <c r="B6447" t="s">
        <v>30</v>
      </c>
      <c r="C6447">
        <v>3.5700000000000003E-2</v>
      </c>
      <c r="D6447" t="s">
        <v>297</v>
      </c>
      <c r="E6447">
        <v>2025</v>
      </c>
      <c r="F6447">
        <v>1</v>
      </c>
    </row>
    <row r="6448" spans="1:6" x14ac:dyDescent="0.55000000000000004">
      <c r="A6448" t="s">
        <v>171</v>
      </c>
      <c r="B6448" t="s">
        <v>31</v>
      </c>
      <c r="C6448">
        <v>20</v>
      </c>
      <c r="D6448" t="s">
        <v>297</v>
      </c>
      <c r="E6448">
        <v>2025</v>
      </c>
      <c r="F6448">
        <v>1</v>
      </c>
    </row>
    <row r="6449" spans="1:6" x14ac:dyDescent="0.55000000000000004">
      <c r="A6449" t="s">
        <v>171</v>
      </c>
      <c r="B6449" t="s">
        <v>32</v>
      </c>
      <c r="C6449">
        <v>366043.96</v>
      </c>
      <c r="D6449" t="s">
        <v>297</v>
      </c>
      <c r="E6449">
        <v>2025</v>
      </c>
      <c r="F6449">
        <v>1</v>
      </c>
    </row>
    <row r="6450" spans="1:6" x14ac:dyDescent="0.55000000000000004">
      <c r="A6450" t="s">
        <v>171</v>
      </c>
      <c r="B6450" t="s">
        <v>33</v>
      </c>
      <c r="C6450">
        <v>427635.6802</v>
      </c>
      <c r="D6450" t="s">
        <v>297</v>
      </c>
      <c r="E6450">
        <v>2025</v>
      </c>
      <c r="F6450">
        <v>1</v>
      </c>
    </row>
    <row r="6451" spans="1:6" x14ac:dyDescent="0.55000000000000004">
      <c r="A6451" t="s">
        <v>171</v>
      </c>
      <c r="B6451" t="s">
        <v>34</v>
      </c>
      <c r="C6451">
        <v>684560.13100000005</v>
      </c>
      <c r="D6451" t="s">
        <v>297</v>
      </c>
      <c r="E6451">
        <v>2025</v>
      </c>
      <c r="F6451">
        <v>1</v>
      </c>
    </row>
    <row r="6452" spans="1:6" x14ac:dyDescent="0.55000000000000004">
      <c r="A6452" t="s">
        <v>171</v>
      </c>
      <c r="B6452" t="s">
        <v>35</v>
      </c>
      <c r="C6452">
        <v>1198.0021999999999</v>
      </c>
      <c r="D6452" t="s">
        <v>297</v>
      </c>
      <c r="E6452">
        <v>2025</v>
      </c>
      <c r="F6452">
        <v>1</v>
      </c>
    </row>
    <row r="6453" spans="1:6" x14ac:dyDescent="0.55000000000000004">
      <c r="A6453" t="s">
        <v>171</v>
      </c>
      <c r="B6453" t="s">
        <v>36</v>
      </c>
      <c r="C6453">
        <v>67399.994699999996</v>
      </c>
      <c r="D6453" t="s">
        <v>297</v>
      </c>
      <c r="E6453">
        <v>2025</v>
      </c>
      <c r="F6453">
        <v>1</v>
      </c>
    </row>
    <row r="6454" spans="1:6" x14ac:dyDescent="0.55000000000000004">
      <c r="A6454" t="s">
        <v>171</v>
      </c>
      <c r="B6454" t="s">
        <v>37</v>
      </c>
      <c r="C6454">
        <v>40000.016600000003</v>
      </c>
      <c r="D6454" t="s">
        <v>297</v>
      </c>
      <c r="E6454">
        <v>2025</v>
      </c>
      <c r="F6454">
        <v>1</v>
      </c>
    </row>
    <row r="6455" spans="1:6" x14ac:dyDescent="0.55000000000000004">
      <c r="A6455" t="s">
        <v>171</v>
      </c>
      <c r="B6455" t="s">
        <v>39</v>
      </c>
      <c r="C6455">
        <v>21455.523000000001</v>
      </c>
      <c r="D6455" t="s">
        <v>297</v>
      </c>
      <c r="E6455">
        <v>2025</v>
      </c>
      <c r="F6455">
        <v>1</v>
      </c>
    </row>
    <row r="6456" spans="1:6" x14ac:dyDescent="0.55000000000000004">
      <c r="A6456" t="s">
        <v>171</v>
      </c>
      <c r="B6456" t="s">
        <v>40</v>
      </c>
      <c r="C6456">
        <v>600</v>
      </c>
      <c r="D6456" t="s">
        <v>297</v>
      </c>
      <c r="E6456">
        <v>2025</v>
      </c>
      <c r="F6456">
        <v>1</v>
      </c>
    </row>
    <row r="6457" spans="1:6" x14ac:dyDescent="0.55000000000000004">
      <c r="A6457" t="s">
        <v>171</v>
      </c>
      <c r="B6457" t="s">
        <v>41</v>
      </c>
      <c r="C6457">
        <v>217699.99739999999</v>
      </c>
      <c r="D6457" t="s">
        <v>297</v>
      </c>
      <c r="E6457">
        <v>2025</v>
      </c>
      <c r="F6457">
        <v>1</v>
      </c>
    </row>
    <row r="6458" spans="1:6" x14ac:dyDescent="0.55000000000000004">
      <c r="A6458" t="s">
        <v>171</v>
      </c>
      <c r="B6458" t="s">
        <v>42</v>
      </c>
      <c r="C6458">
        <v>16.171299999999999</v>
      </c>
      <c r="D6458" t="s">
        <v>297</v>
      </c>
      <c r="E6458">
        <v>2025</v>
      </c>
      <c r="F6458">
        <v>1</v>
      </c>
    </row>
    <row r="6459" spans="1:6" x14ac:dyDescent="0.55000000000000004">
      <c r="A6459" t="s">
        <v>171</v>
      </c>
      <c r="B6459" t="s">
        <v>43</v>
      </c>
      <c r="C6459">
        <v>165500.01029999999</v>
      </c>
      <c r="D6459" t="s">
        <v>297</v>
      </c>
      <c r="E6459">
        <v>2025</v>
      </c>
      <c r="F6459">
        <v>1</v>
      </c>
    </row>
    <row r="6460" spans="1:6" x14ac:dyDescent="0.55000000000000004">
      <c r="A6460" t="s">
        <v>171</v>
      </c>
      <c r="B6460" t="s">
        <v>44</v>
      </c>
      <c r="C6460">
        <v>0</v>
      </c>
      <c r="D6460" t="s">
        <v>297</v>
      </c>
      <c r="E6460">
        <v>2025</v>
      </c>
      <c r="F6460">
        <v>1</v>
      </c>
    </row>
    <row r="6461" spans="1:6" x14ac:dyDescent="0.55000000000000004">
      <c r="A6461" t="s">
        <v>171</v>
      </c>
      <c r="B6461" t="s">
        <v>45</v>
      </c>
      <c r="C6461">
        <v>1288.8087</v>
      </c>
      <c r="D6461" t="s">
        <v>297</v>
      </c>
      <c r="E6461">
        <v>2025</v>
      </c>
      <c r="F6461">
        <v>1</v>
      </c>
    </row>
    <row r="6462" spans="1:6" x14ac:dyDescent="0.55000000000000004">
      <c r="A6462" t="s">
        <v>171</v>
      </c>
      <c r="B6462" t="s">
        <v>46</v>
      </c>
      <c r="C6462">
        <v>36079.58</v>
      </c>
      <c r="D6462" t="s">
        <v>297</v>
      </c>
      <c r="E6462">
        <v>2025</v>
      </c>
      <c r="F6462">
        <v>1</v>
      </c>
    </row>
    <row r="6463" spans="1:6" x14ac:dyDescent="0.55000000000000004">
      <c r="A6463" t="s">
        <v>171</v>
      </c>
      <c r="B6463" t="s">
        <v>47</v>
      </c>
      <c r="C6463">
        <v>0</v>
      </c>
      <c r="D6463" t="s">
        <v>297</v>
      </c>
      <c r="E6463">
        <v>2025</v>
      </c>
      <c r="F6463">
        <v>1</v>
      </c>
    </row>
    <row r="6464" spans="1:6" x14ac:dyDescent="0.55000000000000004">
      <c r="A6464" t="s">
        <v>171</v>
      </c>
      <c r="B6464" t="s">
        <v>48</v>
      </c>
      <c r="C6464">
        <v>101987.833</v>
      </c>
      <c r="D6464" t="s">
        <v>297</v>
      </c>
      <c r="E6464">
        <v>2025</v>
      </c>
      <c r="F6464">
        <v>1</v>
      </c>
    </row>
    <row r="6465" spans="1:6" x14ac:dyDescent="0.55000000000000004">
      <c r="A6465" t="s">
        <v>171</v>
      </c>
      <c r="B6465" t="s">
        <v>49</v>
      </c>
      <c r="C6465">
        <v>147.08330000000001</v>
      </c>
      <c r="D6465" t="s">
        <v>297</v>
      </c>
      <c r="E6465">
        <v>2025</v>
      </c>
      <c r="F6465">
        <v>1</v>
      </c>
    </row>
    <row r="6466" spans="1:6" x14ac:dyDescent="0.55000000000000004">
      <c r="A6466" t="s">
        <v>171</v>
      </c>
      <c r="B6466" t="s">
        <v>50</v>
      </c>
      <c r="C6466">
        <v>22099.995699999999</v>
      </c>
      <c r="D6466" t="s">
        <v>297</v>
      </c>
      <c r="E6466">
        <v>2025</v>
      </c>
      <c r="F6466">
        <v>1</v>
      </c>
    </row>
    <row r="6467" spans="1:6" x14ac:dyDescent="0.55000000000000004">
      <c r="A6467" t="s">
        <v>171</v>
      </c>
      <c r="B6467" t="s">
        <v>51</v>
      </c>
      <c r="C6467">
        <v>1000</v>
      </c>
      <c r="D6467" t="s">
        <v>297</v>
      </c>
      <c r="E6467">
        <v>2025</v>
      </c>
      <c r="F6467">
        <v>1</v>
      </c>
    </row>
    <row r="6468" spans="1:6" x14ac:dyDescent="0.55000000000000004">
      <c r="A6468" t="s">
        <v>171</v>
      </c>
      <c r="B6468" t="s">
        <v>52</v>
      </c>
      <c r="C6468">
        <v>133.60720000000001</v>
      </c>
      <c r="D6468" t="s">
        <v>297</v>
      </c>
      <c r="E6468">
        <v>2025</v>
      </c>
      <c r="F6468">
        <v>1</v>
      </c>
    </row>
    <row r="6469" spans="1:6" x14ac:dyDescent="0.55000000000000004">
      <c r="A6469" t="s">
        <v>171</v>
      </c>
      <c r="B6469" t="s">
        <v>53</v>
      </c>
      <c r="C6469">
        <v>98334.833299999998</v>
      </c>
      <c r="D6469" t="s">
        <v>297</v>
      </c>
      <c r="E6469">
        <v>2025</v>
      </c>
      <c r="F6469">
        <v>1</v>
      </c>
    </row>
    <row r="6470" spans="1:6" x14ac:dyDescent="0.55000000000000004">
      <c r="A6470" t="s">
        <v>171</v>
      </c>
      <c r="B6470" t="s">
        <v>54</v>
      </c>
      <c r="C6470">
        <v>17904.6751</v>
      </c>
      <c r="D6470" t="s">
        <v>297</v>
      </c>
      <c r="E6470">
        <v>2025</v>
      </c>
      <c r="F6470">
        <v>1</v>
      </c>
    </row>
    <row r="6471" spans="1:6" x14ac:dyDescent="0.55000000000000004">
      <c r="A6471" t="s">
        <v>171</v>
      </c>
      <c r="B6471" t="s">
        <v>55</v>
      </c>
      <c r="C6471">
        <v>1539.1667</v>
      </c>
      <c r="D6471" t="s">
        <v>297</v>
      </c>
      <c r="E6471">
        <v>2025</v>
      </c>
      <c r="F6471">
        <v>1</v>
      </c>
    </row>
    <row r="6472" spans="1:6" x14ac:dyDescent="0.55000000000000004">
      <c r="A6472" t="s">
        <v>171</v>
      </c>
      <c r="B6472" t="s">
        <v>56</v>
      </c>
      <c r="C6472">
        <v>10666.6667</v>
      </c>
      <c r="D6472" t="s">
        <v>297</v>
      </c>
      <c r="E6472">
        <v>2025</v>
      </c>
      <c r="F6472">
        <v>1</v>
      </c>
    </row>
    <row r="6473" spans="1:6" x14ac:dyDescent="0.55000000000000004">
      <c r="A6473" t="s">
        <v>171</v>
      </c>
      <c r="B6473" t="s">
        <v>57</v>
      </c>
      <c r="C6473">
        <v>179.9999</v>
      </c>
      <c r="D6473" t="s">
        <v>297</v>
      </c>
      <c r="E6473">
        <v>2025</v>
      </c>
      <c r="F6473">
        <v>1</v>
      </c>
    </row>
    <row r="6474" spans="1:6" x14ac:dyDescent="0.55000000000000004">
      <c r="A6474" t="s">
        <v>171</v>
      </c>
      <c r="B6474" t="s">
        <v>58</v>
      </c>
      <c r="C6474">
        <v>550341</v>
      </c>
      <c r="D6474" t="s">
        <v>297</v>
      </c>
      <c r="E6474">
        <v>2025</v>
      </c>
      <c r="F6474">
        <v>1</v>
      </c>
    </row>
    <row r="6475" spans="1:6" x14ac:dyDescent="0.55000000000000004">
      <c r="A6475" t="s">
        <v>171</v>
      </c>
      <c r="B6475" t="s">
        <v>59</v>
      </c>
      <c r="C6475">
        <v>22400</v>
      </c>
      <c r="D6475" t="s">
        <v>297</v>
      </c>
      <c r="E6475">
        <v>2025</v>
      </c>
      <c r="F6475">
        <v>1</v>
      </c>
    </row>
    <row r="6476" spans="1:6" x14ac:dyDescent="0.55000000000000004">
      <c r="A6476" t="s">
        <v>171</v>
      </c>
      <c r="B6476" t="s">
        <v>60</v>
      </c>
      <c r="C6476">
        <v>2592310.2503999998</v>
      </c>
      <c r="D6476" t="s">
        <v>297</v>
      </c>
      <c r="E6476">
        <v>2025</v>
      </c>
      <c r="F6476">
        <v>1</v>
      </c>
    </row>
    <row r="6477" spans="1:6" x14ac:dyDescent="0.55000000000000004">
      <c r="A6477" t="s">
        <v>171</v>
      </c>
      <c r="B6477" t="s">
        <v>61</v>
      </c>
      <c r="C6477">
        <v>3899.9956999999999</v>
      </c>
      <c r="D6477" t="s">
        <v>297</v>
      </c>
      <c r="E6477">
        <v>2025</v>
      </c>
      <c r="F6477">
        <v>1</v>
      </c>
    </row>
    <row r="6478" spans="1:6" x14ac:dyDescent="0.55000000000000004">
      <c r="A6478" t="s">
        <v>171</v>
      </c>
      <c r="B6478" t="s">
        <v>62</v>
      </c>
      <c r="C6478">
        <v>12455.4799</v>
      </c>
      <c r="D6478" t="s">
        <v>297</v>
      </c>
      <c r="E6478">
        <v>2025</v>
      </c>
      <c r="F6478">
        <v>1</v>
      </c>
    </row>
    <row r="6479" spans="1:6" x14ac:dyDescent="0.55000000000000004">
      <c r="A6479" t="s">
        <v>171</v>
      </c>
      <c r="B6479" t="s">
        <v>63</v>
      </c>
      <c r="C6479">
        <v>1690.4760000000001</v>
      </c>
      <c r="D6479" t="s">
        <v>297</v>
      </c>
      <c r="E6479">
        <v>2025</v>
      </c>
      <c r="F6479">
        <v>1</v>
      </c>
    </row>
    <row r="6480" spans="1:6" x14ac:dyDescent="0.55000000000000004">
      <c r="A6480" t="s">
        <v>172</v>
      </c>
      <c r="B6480" t="s">
        <v>4</v>
      </c>
      <c r="C6480">
        <v>12152425.9659</v>
      </c>
      <c r="D6480" t="s">
        <v>298</v>
      </c>
      <c r="E6480">
        <v>2025</v>
      </c>
      <c r="F6480">
        <v>2</v>
      </c>
    </row>
    <row r="6481" spans="1:6" x14ac:dyDescent="0.55000000000000004">
      <c r="A6481" t="s">
        <v>172</v>
      </c>
      <c r="B6481" t="s">
        <v>5</v>
      </c>
      <c r="C6481">
        <v>1362092.5355</v>
      </c>
      <c r="D6481" t="s">
        <v>298</v>
      </c>
      <c r="E6481">
        <v>2025</v>
      </c>
      <c r="F6481">
        <v>2</v>
      </c>
    </row>
    <row r="6482" spans="1:6" x14ac:dyDescent="0.55000000000000004">
      <c r="A6482" t="s">
        <v>172</v>
      </c>
      <c r="B6482" t="s">
        <v>6</v>
      </c>
      <c r="C6482">
        <v>2189402.5858999998</v>
      </c>
      <c r="D6482" t="s">
        <v>298</v>
      </c>
      <c r="E6482">
        <v>2025</v>
      </c>
      <c r="F6482">
        <v>2</v>
      </c>
    </row>
    <row r="6483" spans="1:6" x14ac:dyDescent="0.55000000000000004">
      <c r="A6483" t="s">
        <v>172</v>
      </c>
      <c r="B6483" t="s">
        <v>7</v>
      </c>
      <c r="C6483">
        <v>3609738.3788000001</v>
      </c>
      <c r="D6483" t="s">
        <v>298</v>
      </c>
      <c r="E6483">
        <v>2025</v>
      </c>
      <c r="F6483">
        <v>2</v>
      </c>
    </row>
    <row r="6484" spans="1:6" x14ac:dyDescent="0.55000000000000004">
      <c r="A6484" t="s">
        <v>172</v>
      </c>
      <c r="B6484" t="s">
        <v>8</v>
      </c>
      <c r="C6484">
        <v>4991192.4656999996</v>
      </c>
      <c r="D6484" t="s">
        <v>298</v>
      </c>
      <c r="E6484">
        <v>2025</v>
      </c>
      <c r="F6484">
        <v>2</v>
      </c>
    </row>
    <row r="6485" spans="1:6" x14ac:dyDescent="0.55000000000000004">
      <c r="A6485" t="s">
        <v>172</v>
      </c>
      <c r="B6485" t="s">
        <v>9</v>
      </c>
      <c r="C6485">
        <v>1784.73</v>
      </c>
      <c r="D6485" t="s">
        <v>298</v>
      </c>
      <c r="E6485">
        <v>2025</v>
      </c>
      <c r="F6485">
        <v>2</v>
      </c>
    </row>
    <row r="6486" spans="1:6" x14ac:dyDescent="0.55000000000000004">
      <c r="A6486" t="s">
        <v>172</v>
      </c>
      <c r="B6486" t="s">
        <v>10</v>
      </c>
      <c r="C6486">
        <v>2565.2273</v>
      </c>
      <c r="D6486" t="s">
        <v>298</v>
      </c>
      <c r="E6486">
        <v>2025</v>
      </c>
      <c r="F6486">
        <v>2</v>
      </c>
    </row>
    <row r="6487" spans="1:6" x14ac:dyDescent="0.55000000000000004">
      <c r="A6487" t="s">
        <v>172</v>
      </c>
      <c r="B6487" t="s">
        <v>11</v>
      </c>
      <c r="C6487">
        <v>3317751.1784000001</v>
      </c>
      <c r="D6487" t="s">
        <v>298</v>
      </c>
      <c r="E6487">
        <v>2025</v>
      </c>
      <c r="F6487">
        <v>2</v>
      </c>
    </row>
    <row r="6488" spans="1:6" x14ac:dyDescent="0.55000000000000004">
      <c r="A6488" t="s">
        <v>172</v>
      </c>
      <c r="B6488" t="s">
        <v>12</v>
      </c>
      <c r="C6488">
        <v>13000</v>
      </c>
      <c r="D6488" t="s">
        <v>298</v>
      </c>
      <c r="E6488">
        <v>2025</v>
      </c>
      <c r="F6488">
        <v>2</v>
      </c>
    </row>
    <row r="6489" spans="1:6" x14ac:dyDescent="0.55000000000000004">
      <c r="A6489" t="s">
        <v>172</v>
      </c>
      <c r="B6489" t="s">
        <v>13</v>
      </c>
      <c r="C6489">
        <v>7491.5513000000001</v>
      </c>
      <c r="D6489" t="s">
        <v>298</v>
      </c>
      <c r="E6489">
        <v>2025</v>
      </c>
      <c r="F6489">
        <v>2</v>
      </c>
    </row>
    <row r="6490" spans="1:6" x14ac:dyDescent="0.55000000000000004">
      <c r="A6490" t="s">
        <v>172</v>
      </c>
      <c r="B6490" t="s">
        <v>14</v>
      </c>
      <c r="C6490">
        <v>500</v>
      </c>
      <c r="D6490" t="s">
        <v>298</v>
      </c>
      <c r="E6490">
        <v>2025</v>
      </c>
      <c r="F6490">
        <v>2</v>
      </c>
    </row>
    <row r="6491" spans="1:6" x14ac:dyDescent="0.55000000000000004">
      <c r="A6491" t="s">
        <v>172</v>
      </c>
      <c r="B6491" t="s">
        <v>15</v>
      </c>
      <c r="C6491">
        <v>1191192.5364999999</v>
      </c>
      <c r="D6491" t="s">
        <v>298</v>
      </c>
      <c r="E6491">
        <v>2025</v>
      </c>
      <c r="F6491">
        <v>2</v>
      </c>
    </row>
    <row r="6492" spans="1:6" x14ac:dyDescent="0.55000000000000004">
      <c r="A6492" t="s">
        <v>172</v>
      </c>
      <c r="B6492" t="s">
        <v>17</v>
      </c>
      <c r="C6492">
        <v>78744.268899999995</v>
      </c>
      <c r="D6492" t="s">
        <v>298</v>
      </c>
      <c r="E6492">
        <v>2025</v>
      </c>
      <c r="F6492">
        <v>2</v>
      </c>
    </row>
    <row r="6493" spans="1:6" x14ac:dyDescent="0.55000000000000004">
      <c r="A6493" t="s">
        <v>172</v>
      </c>
      <c r="B6493" t="s">
        <v>18</v>
      </c>
      <c r="C6493">
        <v>35833.333299999998</v>
      </c>
      <c r="D6493" t="s">
        <v>298</v>
      </c>
      <c r="E6493">
        <v>2025</v>
      </c>
      <c r="F6493">
        <v>2</v>
      </c>
    </row>
    <row r="6494" spans="1:6" x14ac:dyDescent="0.55000000000000004">
      <c r="A6494" t="s">
        <v>172</v>
      </c>
      <c r="B6494" t="s">
        <v>19</v>
      </c>
      <c r="C6494">
        <v>2719.9949000000001</v>
      </c>
      <c r="D6494" t="s">
        <v>298</v>
      </c>
      <c r="E6494">
        <v>2025</v>
      </c>
      <c r="F6494">
        <v>2</v>
      </c>
    </row>
    <row r="6495" spans="1:6" x14ac:dyDescent="0.55000000000000004">
      <c r="A6495" t="s">
        <v>172</v>
      </c>
      <c r="B6495" t="s">
        <v>20</v>
      </c>
      <c r="C6495">
        <v>12400</v>
      </c>
      <c r="D6495" t="s">
        <v>298</v>
      </c>
      <c r="E6495">
        <v>2025</v>
      </c>
      <c r="F6495">
        <v>2</v>
      </c>
    </row>
    <row r="6496" spans="1:6" x14ac:dyDescent="0.55000000000000004">
      <c r="A6496" t="s">
        <v>172</v>
      </c>
      <c r="B6496" t="s">
        <v>21</v>
      </c>
      <c r="C6496">
        <v>12198.1216</v>
      </c>
      <c r="D6496" t="s">
        <v>298</v>
      </c>
      <c r="E6496">
        <v>2025</v>
      </c>
      <c r="F6496">
        <v>2</v>
      </c>
    </row>
    <row r="6497" spans="1:6" x14ac:dyDescent="0.55000000000000004">
      <c r="A6497" t="s">
        <v>172</v>
      </c>
      <c r="B6497" t="s">
        <v>22</v>
      </c>
      <c r="C6497">
        <v>30606.848000000002</v>
      </c>
      <c r="D6497" t="s">
        <v>298</v>
      </c>
      <c r="E6497">
        <v>2025</v>
      </c>
      <c r="F6497">
        <v>2</v>
      </c>
    </row>
    <row r="6498" spans="1:6" x14ac:dyDescent="0.55000000000000004">
      <c r="A6498" t="s">
        <v>172</v>
      </c>
      <c r="B6498" t="s">
        <v>23</v>
      </c>
      <c r="C6498">
        <v>31779.360700000001</v>
      </c>
      <c r="D6498" t="s">
        <v>298</v>
      </c>
      <c r="E6498">
        <v>2025</v>
      </c>
      <c r="F6498">
        <v>2</v>
      </c>
    </row>
    <row r="6499" spans="1:6" x14ac:dyDescent="0.55000000000000004">
      <c r="A6499" t="s">
        <v>172</v>
      </c>
      <c r="B6499" t="s">
        <v>25</v>
      </c>
      <c r="C6499">
        <v>440000</v>
      </c>
      <c r="D6499" t="s">
        <v>298</v>
      </c>
      <c r="E6499">
        <v>2025</v>
      </c>
      <c r="F6499">
        <v>2</v>
      </c>
    </row>
    <row r="6500" spans="1:6" x14ac:dyDescent="0.55000000000000004">
      <c r="A6500" t="s">
        <v>172</v>
      </c>
      <c r="B6500" t="s">
        <v>27</v>
      </c>
      <c r="C6500">
        <v>585.19860000000006</v>
      </c>
      <c r="D6500" t="s">
        <v>298</v>
      </c>
      <c r="E6500">
        <v>2025</v>
      </c>
      <c r="F6500">
        <v>2</v>
      </c>
    </row>
    <row r="6501" spans="1:6" x14ac:dyDescent="0.55000000000000004">
      <c r="A6501" t="s">
        <v>172</v>
      </c>
      <c r="B6501" t="s">
        <v>28</v>
      </c>
      <c r="C6501">
        <v>293076.58240000001</v>
      </c>
      <c r="D6501" t="s">
        <v>298</v>
      </c>
      <c r="E6501">
        <v>2025</v>
      </c>
      <c r="F6501">
        <v>2</v>
      </c>
    </row>
    <row r="6502" spans="1:6" x14ac:dyDescent="0.55000000000000004">
      <c r="A6502" t="s">
        <v>172</v>
      </c>
      <c r="B6502" t="s">
        <v>29</v>
      </c>
      <c r="C6502">
        <v>5725</v>
      </c>
      <c r="D6502" t="s">
        <v>298</v>
      </c>
      <c r="E6502">
        <v>2025</v>
      </c>
      <c r="F6502">
        <v>2</v>
      </c>
    </row>
    <row r="6503" spans="1:6" x14ac:dyDescent="0.55000000000000004">
      <c r="A6503" t="s">
        <v>172</v>
      </c>
      <c r="B6503" t="s">
        <v>30</v>
      </c>
      <c r="C6503">
        <v>75.500699999999995</v>
      </c>
      <c r="D6503" t="s">
        <v>298</v>
      </c>
      <c r="E6503">
        <v>2025</v>
      </c>
      <c r="F6503">
        <v>2</v>
      </c>
    </row>
    <row r="6504" spans="1:6" x14ac:dyDescent="0.55000000000000004">
      <c r="A6504" t="s">
        <v>172</v>
      </c>
      <c r="B6504" t="s">
        <v>31</v>
      </c>
      <c r="C6504">
        <v>0</v>
      </c>
      <c r="D6504" t="s">
        <v>298</v>
      </c>
      <c r="E6504">
        <v>2025</v>
      </c>
      <c r="F6504">
        <v>2</v>
      </c>
    </row>
    <row r="6505" spans="1:6" x14ac:dyDescent="0.55000000000000004">
      <c r="A6505" t="s">
        <v>172</v>
      </c>
      <c r="B6505" t="s">
        <v>32</v>
      </c>
      <c r="C6505">
        <v>606124.19999999995</v>
      </c>
      <c r="D6505" t="s">
        <v>298</v>
      </c>
      <c r="E6505">
        <v>2025</v>
      </c>
      <c r="F6505">
        <v>2</v>
      </c>
    </row>
    <row r="6506" spans="1:6" x14ac:dyDescent="0.55000000000000004">
      <c r="A6506" t="s">
        <v>172</v>
      </c>
      <c r="B6506" t="s">
        <v>33</v>
      </c>
      <c r="C6506">
        <v>570340.28810000001</v>
      </c>
      <c r="D6506" t="s">
        <v>298</v>
      </c>
      <c r="E6506">
        <v>2025</v>
      </c>
      <c r="F6506">
        <v>2</v>
      </c>
    </row>
    <row r="6507" spans="1:6" x14ac:dyDescent="0.55000000000000004">
      <c r="A6507" t="s">
        <v>172</v>
      </c>
      <c r="B6507" t="s">
        <v>34</v>
      </c>
      <c r="C6507">
        <v>738368.8578</v>
      </c>
      <c r="D6507" t="s">
        <v>298</v>
      </c>
      <c r="E6507">
        <v>2025</v>
      </c>
      <c r="F6507">
        <v>2</v>
      </c>
    </row>
    <row r="6508" spans="1:6" x14ac:dyDescent="0.55000000000000004">
      <c r="A6508" t="s">
        <v>172</v>
      </c>
      <c r="B6508" t="s">
        <v>35</v>
      </c>
      <c r="C6508">
        <v>1181.8963000000001</v>
      </c>
      <c r="D6508" t="s">
        <v>298</v>
      </c>
      <c r="E6508">
        <v>2025</v>
      </c>
      <c r="F6508">
        <v>2</v>
      </c>
    </row>
    <row r="6509" spans="1:6" x14ac:dyDescent="0.55000000000000004">
      <c r="A6509" t="s">
        <v>172</v>
      </c>
      <c r="B6509" t="s">
        <v>36</v>
      </c>
      <c r="C6509">
        <v>102599.99800000001</v>
      </c>
      <c r="D6509" t="s">
        <v>298</v>
      </c>
      <c r="E6509">
        <v>2025</v>
      </c>
      <c r="F6509">
        <v>2</v>
      </c>
    </row>
    <row r="6510" spans="1:6" x14ac:dyDescent="0.55000000000000004">
      <c r="A6510" t="s">
        <v>172</v>
      </c>
      <c r="B6510" t="s">
        <v>37</v>
      </c>
      <c r="C6510">
        <v>52000.016600000003</v>
      </c>
      <c r="D6510" t="s">
        <v>298</v>
      </c>
      <c r="E6510">
        <v>2025</v>
      </c>
      <c r="F6510">
        <v>2</v>
      </c>
    </row>
    <row r="6511" spans="1:6" x14ac:dyDescent="0.55000000000000004">
      <c r="A6511" t="s">
        <v>172</v>
      </c>
      <c r="B6511" t="s">
        <v>39</v>
      </c>
      <c r="C6511">
        <v>22189.481100000001</v>
      </c>
      <c r="D6511" t="s">
        <v>298</v>
      </c>
      <c r="E6511">
        <v>2025</v>
      </c>
      <c r="F6511">
        <v>2</v>
      </c>
    </row>
    <row r="6512" spans="1:6" x14ac:dyDescent="0.55000000000000004">
      <c r="A6512" t="s">
        <v>172</v>
      </c>
      <c r="B6512" t="s">
        <v>40</v>
      </c>
      <c r="C6512">
        <v>1299.9828</v>
      </c>
      <c r="D6512" t="s">
        <v>298</v>
      </c>
      <c r="E6512">
        <v>2025</v>
      </c>
      <c r="F6512">
        <v>2</v>
      </c>
    </row>
    <row r="6513" spans="1:6" x14ac:dyDescent="0.55000000000000004">
      <c r="A6513" t="s">
        <v>172</v>
      </c>
      <c r="B6513" t="s">
        <v>41</v>
      </c>
      <c r="C6513">
        <v>290000.01459999999</v>
      </c>
      <c r="D6513" t="s">
        <v>298</v>
      </c>
      <c r="E6513">
        <v>2025</v>
      </c>
      <c r="F6513">
        <v>2</v>
      </c>
    </row>
    <row r="6514" spans="1:6" x14ac:dyDescent="0.55000000000000004">
      <c r="A6514" t="s">
        <v>172</v>
      </c>
      <c r="B6514" t="s">
        <v>42</v>
      </c>
      <c r="C6514">
        <v>31.000399999999999</v>
      </c>
      <c r="D6514" t="s">
        <v>298</v>
      </c>
      <c r="E6514">
        <v>2025</v>
      </c>
      <c r="F6514">
        <v>2</v>
      </c>
    </row>
    <row r="6515" spans="1:6" x14ac:dyDescent="0.55000000000000004">
      <c r="A6515" t="s">
        <v>172</v>
      </c>
      <c r="B6515" t="s">
        <v>43</v>
      </c>
      <c r="C6515">
        <v>207600.00399999999</v>
      </c>
      <c r="D6515" t="s">
        <v>298</v>
      </c>
      <c r="E6515">
        <v>2025</v>
      </c>
      <c r="F6515">
        <v>2</v>
      </c>
    </row>
    <row r="6516" spans="1:6" x14ac:dyDescent="0.55000000000000004">
      <c r="A6516" t="s">
        <v>172</v>
      </c>
      <c r="B6516" t="s">
        <v>44</v>
      </c>
      <c r="C6516">
        <v>0</v>
      </c>
      <c r="D6516" t="s">
        <v>298</v>
      </c>
      <c r="E6516">
        <v>2025</v>
      </c>
      <c r="F6516">
        <v>2</v>
      </c>
    </row>
    <row r="6517" spans="1:6" x14ac:dyDescent="0.55000000000000004">
      <c r="A6517" t="s">
        <v>172</v>
      </c>
      <c r="B6517" t="s">
        <v>45</v>
      </c>
      <c r="C6517">
        <v>985.97249999999997</v>
      </c>
      <c r="D6517" t="s">
        <v>298</v>
      </c>
      <c r="E6517">
        <v>2025</v>
      </c>
      <c r="F6517">
        <v>2</v>
      </c>
    </row>
    <row r="6518" spans="1:6" x14ac:dyDescent="0.55000000000000004">
      <c r="A6518" t="s">
        <v>172</v>
      </c>
      <c r="B6518" t="s">
        <v>46</v>
      </c>
      <c r="C6518">
        <v>30710.33</v>
      </c>
      <c r="D6518" t="s">
        <v>298</v>
      </c>
      <c r="E6518">
        <v>2025</v>
      </c>
      <c r="F6518">
        <v>2</v>
      </c>
    </row>
    <row r="6519" spans="1:6" x14ac:dyDescent="0.55000000000000004">
      <c r="A6519" t="s">
        <v>172</v>
      </c>
      <c r="B6519" t="s">
        <v>47</v>
      </c>
      <c r="C6519">
        <v>0.41670000000000001</v>
      </c>
      <c r="D6519" t="s">
        <v>298</v>
      </c>
      <c r="E6519">
        <v>2025</v>
      </c>
      <c r="F6519">
        <v>2</v>
      </c>
    </row>
    <row r="6520" spans="1:6" x14ac:dyDescent="0.55000000000000004">
      <c r="A6520" t="s">
        <v>172</v>
      </c>
      <c r="B6520" t="s">
        <v>48</v>
      </c>
      <c r="C6520">
        <v>66166.614799999996</v>
      </c>
      <c r="D6520" t="s">
        <v>298</v>
      </c>
      <c r="E6520">
        <v>2025</v>
      </c>
      <c r="F6520">
        <v>2</v>
      </c>
    </row>
    <row r="6521" spans="1:6" x14ac:dyDescent="0.55000000000000004">
      <c r="A6521" t="s">
        <v>172</v>
      </c>
      <c r="B6521" t="s">
        <v>49</v>
      </c>
      <c r="C6521">
        <v>44.707900000000002</v>
      </c>
      <c r="D6521" t="s">
        <v>298</v>
      </c>
      <c r="E6521">
        <v>2025</v>
      </c>
      <c r="F6521">
        <v>2</v>
      </c>
    </row>
    <row r="6522" spans="1:6" x14ac:dyDescent="0.55000000000000004">
      <c r="A6522" t="s">
        <v>172</v>
      </c>
      <c r="B6522" t="s">
        <v>50</v>
      </c>
      <c r="C6522">
        <v>28099.995699999999</v>
      </c>
      <c r="D6522" t="s">
        <v>298</v>
      </c>
      <c r="E6522">
        <v>2025</v>
      </c>
      <c r="F6522">
        <v>2</v>
      </c>
    </row>
    <row r="6523" spans="1:6" x14ac:dyDescent="0.55000000000000004">
      <c r="A6523" t="s">
        <v>172</v>
      </c>
      <c r="B6523" t="s">
        <v>51</v>
      </c>
      <c r="C6523">
        <v>500</v>
      </c>
      <c r="D6523" t="s">
        <v>298</v>
      </c>
      <c r="E6523">
        <v>2025</v>
      </c>
      <c r="F6523">
        <v>2</v>
      </c>
    </row>
    <row r="6524" spans="1:6" x14ac:dyDescent="0.55000000000000004">
      <c r="A6524" t="s">
        <v>172</v>
      </c>
      <c r="B6524" t="s">
        <v>52</v>
      </c>
      <c r="C6524">
        <v>22.653600000000001</v>
      </c>
      <c r="D6524" t="s">
        <v>298</v>
      </c>
      <c r="E6524">
        <v>2025</v>
      </c>
      <c r="F6524">
        <v>2</v>
      </c>
    </row>
    <row r="6525" spans="1:6" x14ac:dyDescent="0.55000000000000004">
      <c r="A6525" t="s">
        <v>172</v>
      </c>
      <c r="B6525" t="s">
        <v>53</v>
      </c>
      <c r="C6525">
        <v>99600.001999999993</v>
      </c>
      <c r="D6525" t="s">
        <v>298</v>
      </c>
      <c r="E6525">
        <v>2025</v>
      </c>
      <c r="F6525">
        <v>2</v>
      </c>
    </row>
    <row r="6526" spans="1:6" x14ac:dyDescent="0.55000000000000004">
      <c r="A6526" t="s">
        <v>172</v>
      </c>
      <c r="B6526" t="s">
        <v>54</v>
      </c>
      <c r="C6526">
        <v>18464.477200000001</v>
      </c>
      <c r="D6526" t="s">
        <v>298</v>
      </c>
      <c r="E6526">
        <v>2025</v>
      </c>
      <c r="F6526">
        <v>2</v>
      </c>
    </row>
    <row r="6527" spans="1:6" x14ac:dyDescent="0.55000000000000004">
      <c r="A6527" t="s">
        <v>172</v>
      </c>
      <c r="B6527" t="s">
        <v>55</v>
      </c>
      <c r="C6527">
        <v>4838</v>
      </c>
      <c r="D6527" t="s">
        <v>298</v>
      </c>
      <c r="E6527">
        <v>2025</v>
      </c>
      <c r="F6527">
        <v>2</v>
      </c>
    </row>
    <row r="6528" spans="1:6" x14ac:dyDescent="0.55000000000000004">
      <c r="A6528" t="s">
        <v>172</v>
      </c>
      <c r="B6528" t="s">
        <v>56</v>
      </c>
      <c r="C6528">
        <v>9855.9233000000004</v>
      </c>
      <c r="D6528" t="s">
        <v>298</v>
      </c>
      <c r="E6528">
        <v>2025</v>
      </c>
      <c r="F6528">
        <v>2</v>
      </c>
    </row>
    <row r="6529" spans="1:6" x14ac:dyDescent="0.55000000000000004">
      <c r="A6529" t="s">
        <v>172</v>
      </c>
      <c r="B6529" t="s">
        <v>57</v>
      </c>
      <c r="C6529">
        <v>120.0059</v>
      </c>
      <c r="D6529" t="s">
        <v>298</v>
      </c>
      <c r="E6529">
        <v>2025</v>
      </c>
      <c r="F6529">
        <v>2</v>
      </c>
    </row>
    <row r="6530" spans="1:6" x14ac:dyDescent="0.55000000000000004">
      <c r="A6530" t="s">
        <v>172</v>
      </c>
      <c r="B6530" t="s">
        <v>58</v>
      </c>
      <c r="C6530">
        <v>555756</v>
      </c>
      <c r="D6530" t="s">
        <v>298</v>
      </c>
      <c r="E6530">
        <v>2025</v>
      </c>
      <c r="F6530">
        <v>2</v>
      </c>
    </row>
    <row r="6531" spans="1:6" x14ac:dyDescent="0.55000000000000004">
      <c r="A6531" t="s">
        <v>172</v>
      </c>
      <c r="B6531" t="s">
        <v>59</v>
      </c>
      <c r="C6531">
        <v>6500</v>
      </c>
      <c r="D6531" t="s">
        <v>298</v>
      </c>
      <c r="E6531">
        <v>2025</v>
      </c>
      <c r="F6531">
        <v>2</v>
      </c>
    </row>
    <row r="6532" spans="1:6" x14ac:dyDescent="0.55000000000000004">
      <c r="A6532" t="s">
        <v>172</v>
      </c>
      <c r="B6532" t="s">
        <v>60</v>
      </c>
      <c r="C6532">
        <v>3244441.8673999999</v>
      </c>
      <c r="D6532" t="s">
        <v>298</v>
      </c>
      <c r="E6532">
        <v>2025</v>
      </c>
      <c r="F6532">
        <v>2</v>
      </c>
    </row>
    <row r="6533" spans="1:6" x14ac:dyDescent="0.55000000000000004">
      <c r="A6533" t="s">
        <v>172</v>
      </c>
      <c r="B6533" t="s">
        <v>61</v>
      </c>
      <c r="C6533">
        <v>4200.0033000000003</v>
      </c>
      <c r="D6533" t="s">
        <v>298</v>
      </c>
      <c r="E6533">
        <v>2025</v>
      </c>
      <c r="F6533">
        <v>2</v>
      </c>
    </row>
    <row r="6534" spans="1:6" x14ac:dyDescent="0.55000000000000004">
      <c r="A6534" t="s">
        <v>172</v>
      </c>
      <c r="B6534" t="s">
        <v>62</v>
      </c>
      <c r="C6534">
        <v>12352.6333</v>
      </c>
      <c r="D6534" t="s">
        <v>298</v>
      </c>
      <c r="E6534">
        <v>2025</v>
      </c>
      <c r="F6534">
        <v>2</v>
      </c>
    </row>
    <row r="6535" spans="1:6" x14ac:dyDescent="0.55000000000000004">
      <c r="A6535" t="s">
        <v>172</v>
      </c>
      <c r="B6535" t="s">
        <v>63</v>
      </c>
      <c r="C6535">
        <v>1.19</v>
      </c>
      <c r="D6535" t="s">
        <v>298</v>
      </c>
      <c r="E6535">
        <v>2025</v>
      </c>
      <c r="F6535">
        <v>2</v>
      </c>
    </row>
    <row r="6536" spans="1:6" x14ac:dyDescent="0.55000000000000004">
      <c r="A6536" t="s">
        <v>173</v>
      </c>
      <c r="B6536" t="s">
        <v>4</v>
      </c>
      <c r="C6536">
        <v>13374865.1546</v>
      </c>
      <c r="D6536" t="s">
        <v>299</v>
      </c>
      <c r="E6536">
        <v>2025</v>
      </c>
      <c r="F6536">
        <v>3</v>
      </c>
    </row>
    <row r="6537" spans="1:6" x14ac:dyDescent="0.55000000000000004">
      <c r="A6537" t="s">
        <v>173</v>
      </c>
      <c r="B6537" t="s">
        <v>5</v>
      </c>
      <c r="C6537">
        <v>1432240.5119</v>
      </c>
      <c r="D6537" t="s">
        <v>299</v>
      </c>
      <c r="E6537">
        <v>2025</v>
      </c>
      <c r="F6537">
        <v>3</v>
      </c>
    </row>
    <row r="6538" spans="1:6" x14ac:dyDescent="0.55000000000000004">
      <c r="A6538" t="s">
        <v>173</v>
      </c>
      <c r="B6538" t="s">
        <v>6</v>
      </c>
      <c r="C6538">
        <v>2899703.264</v>
      </c>
      <c r="D6538" t="s">
        <v>299</v>
      </c>
      <c r="E6538">
        <v>2025</v>
      </c>
      <c r="F6538">
        <v>3</v>
      </c>
    </row>
    <row r="6539" spans="1:6" x14ac:dyDescent="0.55000000000000004">
      <c r="A6539" t="s">
        <v>173</v>
      </c>
      <c r="B6539" t="s">
        <v>7</v>
      </c>
      <c r="C6539">
        <v>3569963.0943999998</v>
      </c>
      <c r="D6539" t="s">
        <v>299</v>
      </c>
      <c r="E6539">
        <v>2025</v>
      </c>
      <c r="F6539">
        <v>3</v>
      </c>
    </row>
    <row r="6540" spans="1:6" x14ac:dyDescent="0.55000000000000004">
      <c r="A6540" t="s">
        <v>173</v>
      </c>
      <c r="B6540" t="s">
        <v>8</v>
      </c>
      <c r="C6540">
        <v>5472958.2843000004</v>
      </c>
      <c r="D6540" t="s">
        <v>299</v>
      </c>
      <c r="E6540">
        <v>2025</v>
      </c>
      <c r="F6540">
        <v>3</v>
      </c>
    </row>
    <row r="6541" spans="1:6" x14ac:dyDescent="0.55000000000000004">
      <c r="A6541" t="s">
        <v>173</v>
      </c>
      <c r="B6541" t="s">
        <v>9</v>
      </c>
      <c r="C6541">
        <v>1502.8833</v>
      </c>
      <c r="D6541" t="s">
        <v>299</v>
      </c>
      <c r="E6541">
        <v>2025</v>
      </c>
      <c r="F6541">
        <v>3</v>
      </c>
    </row>
    <row r="6542" spans="1:6" x14ac:dyDescent="0.55000000000000004">
      <c r="A6542" t="s">
        <v>173</v>
      </c>
      <c r="B6542" t="s">
        <v>10</v>
      </c>
      <c r="C6542">
        <v>2101.2600000000002</v>
      </c>
      <c r="D6542" t="s">
        <v>299</v>
      </c>
      <c r="E6542">
        <v>2025</v>
      </c>
      <c r="F6542">
        <v>3</v>
      </c>
    </row>
    <row r="6543" spans="1:6" x14ac:dyDescent="0.55000000000000004">
      <c r="A6543" t="s">
        <v>173</v>
      </c>
      <c r="B6543" t="s">
        <v>11</v>
      </c>
      <c r="C6543">
        <v>3067521.2503</v>
      </c>
      <c r="D6543" t="s">
        <v>299</v>
      </c>
      <c r="E6543">
        <v>2025</v>
      </c>
      <c r="F6543">
        <v>3</v>
      </c>
    </row>
    <row r="6544" spans="1:6" x14ac:dyDescent="0.55000000000000004">
      <c r="A6544" t="s">
        <v>173</v>
      </c>
      <c r="B6544" t="s">
        <v>12</v>
      </c>
      <c r="C6544">
        <v>10000</v>
      </c>
      <c r="D6544" t="s">
        <v>299</v>
      </c>
      <c r="E6544">
        <v>2025</v>
      </c>
      <c r="F6544">
        <v>3</v>
      </c>
    </row>
    <row r="6545" spans="1:6" x14ac:dyDescent="0.55000000000000004">
      <c r="A6545" t="s">
        <v>173</v>
      </c>
      <c r="B6545" t="s">
        <v>13</v>
      </c>
      <c r="C6545">
        <v>10167.283299999999</v>
      </c>
      <c r="D6545" t="s">
        <v>299</v>
      </c>
      <c r="E6545">
        <v>2025</v>
      </c>
      <c r="F6545">
        <v>3</v>
      </c>
    </row>
    <row r="6546" spans="1:6" x14ac:dyDescent="0.55000000000000004">
      <c r="A6546" t="s">
        <v>173</v>
      </c>
      <c r="B6546" t="s">
        <v>14</v>
      </c>
      <c r="C6546">
        <v>1200</v>
      </c>
      <c r="D6546" t="s">
        <v>299</v>
      </c>
      <c r="E6546">
        <v>2025</v>
      </c>
      <c r="F6546">
        <v>3</v>
      </c>
    </row>
    <row r="6547" spans="1:6" x14ac:dyDescent="0.55000000000000004">
      <c r="A6547" t="s">
        <v>173</v>
      </c>
      <c r="B6547" t="s">
        <v>15</v>
      </c>
      <c r="C6547">
        <v>1258290.5033</v>
      </c>
      <c r="D6547" t="s">
        <v>299</v>
      </c>
      <c r="E6547">
        <v>2025</v>
      </c>
      <c r="F6547">
        <v>3</v>
      </c>
    </row>
    <row r="6548" spans="1:6" x14ac:dyDescent="0.55000000000000004">
      <c r="A6548" t="s">
        <v>173</v>
      </c>
      <c r="B6548" t="s">
        <v>17</v>
      </c>
      <c r="C6548">
        <v>128262.92019999999</v>
      </c>
      <c r="D6548" t="s">
        <v>299</v>
      </c>
      <c r="E6548">
        <v>2025</v>
      </c>
      <c r="F6548">
        <v>3</v>
      </c>
    </row>
    <row r="6549" spans="1:6" x14ac:dyDescent="0.55000000000000004">
      <c r="A6549" t="s">
        <v>173</v>
      </c>
      <c r="B6549" t="s">
        <v>18</v>
      </c>
      <c r="C6549">
        <v>35444.649700000002</v>
      </c>
      <c r="D6549" t="s">
        <v>299</v>
      </c>
      <c r="E6549">
        <v>2025</v>
      </c>
      <c r="F6549">
        <v>3</v>
      </c>
    </row>
    <row r="6550" spans="1:6" x14ac:dyDescent="0.55000000000000004">
      <c r="A6550" t="s">
        <v>173</v>
      </c>
      <c r="B6550" t="s">
        <v>19</v>
      </c>
      <c r="C6550">
        <v>1819.9912999999999</v>
      </c>
      <c r="D6550" t="s">
        <v>299</v>
      </c>
      <c r="E6550">
        <v>2025</v>
      </c>
      <c r="F6550">
        <v>3</v>
      </c>
    </row>
    <row r="6551" spans="1:6" x14ac:dyDescent="0.55000000000000004">
      <c r="A6551" t="s">
        <v>173</v>
      </c>
      <c r="B6551" t="s">
        <v>20</v>
      </c>
      <c r="C6551">
        <v>11300</v>
      </c>
      <c r="D6551" t="s">
        <v>299</v>
      </c>
      <c r="E6551">
        <v>2025</v>
      </c>
      <c r="F6551">
        <v>3</v>
      </c>
    </row>
    <row r="6552" spans="1:6" x14ac:dyDescent="0.55000000000000004">
      <c r="A6552" t="s">
        <v>173</v>
      </c>
      <c r="B6552" t="s">
        <v>21</v>
      </c>
      <c r="C6552">
        <v>7025.7449999999999</v>
      </c>
      <c r="D6552" t="s">
        <v>299</v>
      </c>
      <c r="E6552">
        <v>2025</v>
      </c>
      <c r="F6552">
        <v>3</v>
      </c>
    </row>
    <row r="6553" spans="1:6" x14ac:dyDescent="0.55000000000000004">
      <c r="A6553" t="s">
        <v>173</v>
      </c>
      <c r="B6553" t="s">
        <v>22</v>
      </c>
      <c r="C6553">
        <v>39790.165999999997</v>
      </c>
      <c r="D6553" t="s">
        <v>299</v>
      </c>
      <c r="E6553">
        <v>2025</v>
      </c>
      <c r="F6553">
        <v>3</v>
      </c>
    </row>
    <row r="6554" spans="1:6" x14ac:dyDescent="0.55000000000000004">
      <c r="A6554" t="s">
        <v>173</v>
      </c>
      <c r="B6554" t="s">
        <v>23</v>
      </c>
      <c r="C6554">
        <v>43756.895799999998</v>
      </c>
      <c r="D6554" t="s">
        <v>299</v>
      </c>
      <c r="E6554">
        <v>2025</v>
      </c>
      <c r="F6554">
        <v>3</v>
      </c>
    </row>
    <row r="6555" spans="1:6" x14ac:dyDescent="0.55000000000000004">
      <c r="A6555" t="s">
        <v>173</v>
      </c>
      <c r="B6555" t="s">
        <v>25</v>
      </c>
      <c r="C6555">
        <v>630000</v>
      </c>
      <c r="D6555" t="s">
        <v>299</v>
      </c>
      <c r="E6555">
        <v>2025</v>
      </c>
      <c r="F6555">
        <v>3</v>
      </c>
    </row>
    <row r="6556" spans="1:6" x14ac:dyDescent="0.55000000000000004">
      <c r="A6556" t="s">
        <v>173</v>
      </c>
      <c r="B6556" t="s">
        <v>27</v>
      </c>
      <c r="C6556">
        <v>433.13490000000002</v>
      </c>
      <c r="D6556" t="s">
        <v>299</v>
      </c>
      <c r="E6556">
        <v>2025</v>
      </c>
      <c r="F6556">
        <v>3</v>
      </c>
    </row>
    <row r="6557" spans="1:6" x14ac:dyDescent="0.55000000000000004">
      <c r="A6557" t="s">
        <v>173</v>
      </c>
      <c r="B6557" t="s">
        <v>28</v>
      </c>
      <c r="C6557">
        <v>458805.359</v>
      </c>
      <c r="D6557" t="s">
        <v>299</v>
      </c>
      <c r="E6557">
        <v>2025</v>
      </c>
      <c r="F6557">
        <v>3</v>
      </c>
    </row>
    <row r="6558" spans="1:6" x14ac:dyDescent="0.55000000000000004">
      <c r="A6558" t="s">
        <v>173</v>
      </c>
      <c r="B6558" t="s">
        <v>29</v>
      </c>
      <c r="C6558">
        <v>11920</v>
      </c>
      <c r="D6558" t="s">
        <v>299</v>
      </c>
      <c r="E6558">
        <v>2025</v>
      </c>
      <c r="F6558">
        <v>3</v>
      </c>
    </row>
    <row r="6559" spans="1:6" x14ac:dyDescent="0.55000000000000004">
      <c r="A6559" t="s">
        <v>173</v>
      </c>
      <c r="B6559" t="s">
        <v>30</v>
      </c>
      <c r="C6559">
        <v>184.75899999999999</v>
      </c>
      <c r="D6559" t="s">
        <v>299</v>
      </c>
      <c r="E6559">
        <v>2025</v>
      </c>
      <c r="F6559">
        <v>3</v>
      </c>
    </row>
    <row r="6560" spans="1:6" x14ac:dyDescent="0.55000000000000004">
      <c r="A6560" t="s">
        <v>173</v>
      </c>
      <c r="B6560" t="s">
        <v>31</v>
      </c>
      <c r="C6560">
        <v>0</v>
      </c>
      <c r="D6560" t="s">
        <v>299</v>
      </c>
      <c r="E6560">
        <v>2025</v>
      </c>
      <c r="F6560">
        <v>3</v>
      </c>
    </row>
    <row r="6561" spans="1:6" x14ac:dyDescent="0.55000000000000004">
      <c r="A6561" t="s">
        <v>173</v>
      </c>
      <c r="B6561" t="s">
        <v>32</v>
      </c>
      <c r="C6561">
        <v>812470.72</v>
      </c>
      <c r="D6561" t="s">
        <v>299</v>
      </c>
      <c r="E6561">
        <v>2025</v>
      </c>
      <c r="F6561">
        <v>3</v>
      </c>
    </row>
    <row r="6562" spans="1:6" x14ac:dyDescent="0.55000000000000004">
      <c r="A6562" t="s">
        <v>173</v>
      </c>
      <c r="B6562" t="s">
        <v>33</v>
      </c>
      <c r="C6562">
        <v>726935.17890000006</v>
      </c>
      <c r="D6562" t="s">
        <v>299</v>
      </c>
      <c r="E6562">
        <v>2025</v>
      </c>
      <c r="F6562">
        <v>3</v>
      </c>
    </row>
    <row r="6563" spans="1:6" x14ac:dyDescent="0.55000000000000004">
      <c r="A6563" t="s">
        <v>173</v>
      </c>
      <c r="B6563" t="s">
        <v>34</v>
      </c>
      <c r="C6563">
        <v>863948.37199999997</v>
      </c>
      <c r="D6563" t="s">
        <v>299</v>
      </c>
      <c r="E6563">
        <v>2025</v>
      </c>
      <c r="F6563">
        <v>3</v>
      </c>
    </row>
    <row r="6564" spans="1:6" x14ac:dyDescent="0.55000000000000004">
      <c r="A6564" t="s">
        <v>173</v>
      </c>
      <c r="B6564" t="s">
        <v>35</v>
      </c>
      <c r="C6564">
        <v>1654.1777999999999</v>
      </c>
      <c r="D6564" t="s">
        <v>299</v>
      </c>
      <c r="E6564">
        <v>2025</v>
      </c>
      <c r="F6564">
        <v>3</v>
      </c>
    </row>
    <row r="6565" spans="1:6" x14ac:dyDescent="0.55000000000000004">
      <c r="A6565" t="s">
        <v>173</v>
      </c>
      <c r="B6565" t="s">
        <v>36</v>
      </c>
      <c r="C6565">
        <v>116700.0056</v>
      </c>
      <c r="D6565" t="s">
        <v>299</v>
      </c>
      <c r="E6565">
        <v>2025</v>
      </c>
      <c r="F6565">
        <v>3</v>
      </c>
    </row>
    <row r="6566" spans="1:6" x14ac:dyDescent="0.55000000000000004">
      <c r="A6566" t="s">
        <v>173</v>
      </c>
      <c r="B6566" t="s">
        <v>37</v>
      </c>
      <c r="C6566">
        <v>60000.0026</v>
      </c>
      <c r="D6566" t="s">
        <v>299</v>
      </c>
      <c r="E6566">
        <v>2025</v>
      </c>
      <c r="F6566">
        <v>3</v>
      </c>
    </row>
    <row r="6567" spans="1:6" x14ac:dyDescent="0.55000000000000004">
      <c r="A6567" t="s">
        <v>173</v>
      </c>
      <c r="B6567" t="s">
        <v>39</v>
      </c>
      <c r="C6567">
        <v>34706.5982</v>
      </c>
      <c r="D6567" t="s">
        <v>299</v>
      </c>
      <c r="E6567">
        <v>2025</v>
      </c>
      <c r="F6567">
        <v>3</v>
      </c>
    </row>
    <row r="6568" spans="1:6" x14ac:dyDescent="0.55000000000000004">
      <c r="A6568" t="s">
        <v>173</v>
      </c>
      <c r="B6568" t="s">
        <v>40</v>
      </c>
      <c r="C6568">
        <v>900</v>
      </c>
      <c r="D6568" t="s">
        <v>299</v>
      </c>
      <c r="E6568">
        <v>2025</v>
      </c>
      <c r="F6568">
        <v>3</v>
      </c>
    </row>
    <row r="6569" spans="1:6" x14ac:dyDescent="0.55000000000000004">
      <c r="A6569" t="s">
        <v>173</v>
      </c>
      <c r="B6569" t="s">
        <v>41</v>
      </c>
      <c r="C6569">
        <v>422600.01059999998</v>
      </c>
      <c r="D6569" t="s">
        <v>299</v>
      </c>
      <c r="E6569">
        <v>2025</v>
      </c>
      <c r="F6569">
        <v>3</v>
      </c>
    </row>
    <row r="6570" spans="1:6" x14ac:dyDescent="0.55000000000000004">
      <c r="A6570" t="s">
        <v>173</v>
      </c>
      <c r="B6570" t="s">
        <v>42</v>
      </c>
      <c r="C6570">
        <v>16.850000000000001</v>
      </c>
      <c r="D6570" t="s">
        <v>299</v>
      </c>
      <c r="E6570">
        <v>2025</v>
      </c>
      <c r="F6570">
        <v>3</v>
      </c>
    </row>
    <row r="6571" spans="1:6" x14ac:dyDescent="0.55000000000000004">
      <c r="A6571" t="s">
        <v>173</v>
      </c>
      <c r="B6571" t="s">
        <v>43</v>
      </c>
      <c r="C6571">
        <v>268699.9976</v>
      </c>
      <c r="D6571" t="s">
        <v>299</v>
      </c>
      <c r="E6571">
        <v>2025</v>
      </c>
      <c r="F6571">
        <v>3</v>
      </c>
    </row>
    <row r="6572" spans="1:6" x14ac:dyDescent="0.55000000000000004">
      <c r="A6572" t="s">
        <v>173</v>
      </c>
      <c r="B6572" t="s">
        <v>44</v>
      </c>
      <c r="C6572">
        <v>0</v>
      </c>
      <c r="D6572" t="s">
        <v>299</v>
      </c>
      <c r="E6572">
        <v>2025</v>
      </c>
      <c r="F6572">
        <v>3</v>
      </c>
    </row>
    <row r="6573" spans="1:6" x14ac:dyDescent="0.55000000000000004">
      <c r="A6573" t="s">
        <v>173</v>
      </c>
      <c r="B6573" t="s">
        <v>45</v>
      </c>
      <c r="C6573">
        <v>3404.0744</v>
      </c>
      <c r="D6573" t="s">
        <v>299</v>
      </c>
      <c r="E6573">
        <v>2025</v>
      </c>
      <c r="F6573">
        <v>3</v>
      </c>
    </row>
    <row r="6574" spans="1:6" x14ac:dyDescent="0.55000000000000004">
      <c r="A6574" t="s">
        <v>173</v>
      </c>
      <c r="B6574" t="s">
        <v>46</v>
      </c>
      <c r="C6574">
        <v>27491.67</v>
      </c>
      <c r="D6574" t="s">
        <v>299</v>
      </c>
      <c r="E6574">
        <v>2025</v>
      </c>
      <c r="F6574">
        <v>3</v>
      </c>
    </row>
    <row r="6575" spans="1:6" x14ac:dyDescent="0.55000000000000004">
      <c r="A6575" t="s">
        <v>173</v>
      </c>
      <c r="B6575" t="s">
        <v>47</v>
      </c>
      <c r="C6575">
        <v>0</v>
      </c>
      <c r="D6575" t="s">
        <v>299</v>
      </c>
      <c r="E6575">
        <v>2025</v>
      </c>
      <c r="F6575">
        <v>3</v>
      </c>
    </row>
    <row r="6576" spans="1:6" x14ac:dyDescent="0.55000000000000004">
      <c r="A6576" t="s">
        <v>173</v>
      </c>
      <c r="B6576" t="s">
        <v>48</v>
      </c>
      <c r="C6576">
        <v>58318.202899999997</v>
      </c>
      <c r="D6576" t="s">
        <v>299</v>
      </c>
      <c r="E6576">
        <v>2025</v>
      </c>
      <c r="F6576">
        <v>3</v>
      </c>
    </row>
    <row r="6577" spans="1:6" x14ac:dyDescent="0.55000000000000004">
      <c r="A6577" t="s">
        <v>173</v>
      </c>
      <c r="B6577" t="s">
        <v>49</v>
      </c>
      <c r="C6577">
        <v>39.988</v>
      </c>
      <c r="D6577" t="s">
        <v>299</v>
      </c>
      <c r="E6577">
        <v>2025</v>
      </c>
      <c r="F6577">
        <v>3</v>
      </c>
    </row>
    <row r="6578" spans="1:6" x14ac:dyDescent="0.55000000000000004">
      <c r="A6578" t="s">
        <v>173</v>
      </c>
      <c r="B6578" t="s">
        <v>50</v>
      </c>
      <c r="C6578">
        <v>19099.995699999999</v>
      </c>
      <c r="D6578" t="s">
        <v>299</v>
      </c>
      <c r="E6578">
        <v>2025</v>
      </c>
      <c r="F6578">
        <v>3</v>
      </c>
    </row>
    <row r="6579" spans="1:6" x14ac:dyDescent="0.55000000000000004">
      <c r="A6579" t="s">
        <v>173</v>
      </c>
      <c r="B6579" t="s">
        <v>51</v>
      </c>
      <c r="C6579">
        <v>500</v>
      </c>
      <c r="D6579" t="s">
        <v>299</v>
      </c>
      <c r="E6579">
        <v>2025</v>
      </c>
      <c r="F6579">
        <v>3</v>
      </c>
    </row>
    <row r="6580" spans="1:6" x14ac:dyDescent="0.55000000000000004">
      <c r="A6580" t="s">
        <v>173</v>
      </c>
      <c r="B6580" t="s">
        <v>52</v>
      </c>
      <c r="C6580">
        <v>70.836699999999993</v>
      </c>
      <c r="D6580" t="s">
        <v>299</v>
      </c>
      <c r="E6580">
        <v>2025</v>
      </c>
      <c r="F6580">
        <v>3</v>
      </c>
    </row>
    <row r="6581" spans="1:6" x14ac:dyDescent="0.55000000000000004">
      <c r="A6581" t="s">
        <v>173</v>
      </c>
      <c r="B6581" t="s">
        <v>53</v>
      </c>
      <c r="C6581">
        <v>83500.005999999994</v>
      </c>
      <c r="D6581" t="s">
        <v>299</v>
      </c>
      <c r="E6581">
        <v>2025</v>
      </c>
      <c r="F6581">
        <v>3</v>
      </c>
    </row>
    <row r="6582" spans="1:6" x14ac:dyDescent="0.55000000000000004">
      <c r="A6582" t="s">
        <v>173</v>
      </c>
      <c r="B6582" t="s">
        <v>54</v>
      </c>
      <c r="C6582">
        <v>22274.2582</v>
      </c>
      <c r="D6582" t="s">
        <v>299</v>
      </c>
      <c r="E6582">
        <v>2025</v>
      </c>
      <c r="F6582">
        <v>3</v>
      </c>
    </row>
    <row r="6583" spans="1:6" x14ac:dyDescent="0.55000000000000004">
      <c r="A6583" t="s">
        <v>173</v>
      </c>
      <c r="B6583" t="s">
        <v>55</v>
      </c>
      <c r="C6583">
        <v>2024.2833000000001</v>
      </c>
      <c r="D6583" t="s">
        <v>299</v>
      </c>
      <c r="E6583">
        <v>2025</v>
      </c>
      <c r="F6583">
        <v>3</v>
      </c>
    </row>
    <row r="6584" spans="1:6" x14ac:dyDescent="0.55000000000000004">
      <c r="A6584" t="s">
        <v>173</v>
      </c>
      <c r="B6584" t="s">
        <v>56</v>
      </c>
      <c r="C6584">
        <v>15793.183300000001</v>
      </c>
      <c r="D6584" t="s">
        <v>299</v>
      </c>
      <c r="E6584">
        <v>2025</v>
      </c>
      <c r="F6584">
        <v>3</v>
      </c>
    </row>
    <row r="6585" spans="1:6" x14ac:dyDescent="0.55000000000000004">
      <c r="A6585" t="s">
        <v>173</v>
      </c>
      <c r="B6585" t="s">
        <v>57</v>
      </c>
      <c r="C6585">
        <v>99.995900000000006</v>
      </c>
      <c r="D6585" t="s">
        <v>299</v>
      </c>
      <c r="E6585">
        <v>2025</v>
      </c>
      <c r="F6585">
        <v>3</v>
      </c>
    </row>
    <row r="6586" spans="1:6" x14ac:dyDescent="0.55000000000000004">
      <c r="A6586" t="s">
        <v>173</v>
      </c>
      <c r="B6586" t="s">
        <v>58</v>
      </c>
      <c r="C6586">
        <v>643315</v>
      </c>
      <c r="D6586" t="s">
        <v>299</v>
      </c>
      <c r="E6586">
        <v>2025</v>
      </c>
      <c r="F6586">
        <v>3</v>
      </c>
    </row>
    <row r="6587" spans="1:6" x14ac:dyDescent="0.55000000000000004">
      <c r="A6587" t="s">
        <v>173</v>
      </c>
      <c r="B6587" t="s">
        <v>59</v>
      </c>
      <c r="C6587">
        <v>13600</v>
      </c>
      <c r="D6587" t="s">
        <v>299</v>
      </c>
      <c r="E6587">
        <v>2025</v>
      </c>
      <c r="F6587">
        <v>3</v>
      </c>
    </row>
    <row r="6588" spans="1:6" x14ac:dyDescent="0.55000000000000004">
      <c r="A6588" t="s">
        <v>173</v>
      </c>
      <c r="B6588" t="s">
        <v>60</v>
      </c>
      <c r="C6588">
        <v>3437461.9271</v>
      </c>
      <c r="D6588" t="s">
        <v>299</v>
      </c>
      <c r="E6588">
        <v>2025</v>
      </c>
      <c r="F6588">
        <v>3</v>
      </c>
    </row>
    <row r="6589" spans="1:6" x14ac:dyDescent="0.55000000000000004">
      <c r="A6589" t="s">
        <v>173</v>
      </c>
      <c r="B6589" t="s">
        <v>61</v>
      </c>
      <c r="C6589">
        <v>5500.0033000000003</v>
      </c>
      <c r="D6589" t="s">
        <v>299</v>
      </c>
      <c r="E6589">
        <v>2025</v>
      </c>
      <c r="F6589">
        <v>3</v>
      </c>
    </row>
    <row r="6590" spans="1:6" x14ac:dyDescent="0.55000000000000004">
      <c r="A6590" t="s">
        <v>173</v>
      </c>
      <c r="B6590" t="s">
        <v>62</v>
      </c>
      <c r="C6590">
        <v>14212.777400000001</v>
      </c>
      <c r="D6590" t="s">
        <v>299</v>
      </c>
      <c r="E6590">
        <v>2025</v>
      </c>
      <c r="F6590">
        <v>3</v>
      </c>
    </row>
    <row r="6591" spans="1:6" x14ac:dyDescent="0.55000000000000004">
      <c r="A6591" t="s">
        <v>173</v>
      </c>
      <c r="B6591" t="s">
        <v>63</v>
      </c>
      <c r="C6591">
        <v>0.23799999999999999</v>
      </c>
      <c r="D6591" t="s">
        <v>299</v>
      </c>
      <c r="E6591">
        <v>2025</v>
      </c>
      <c r="F6591">
        <v>3</v>
      </c>
    </row>
    <row r="6592" spans="1:6" x14ac:dyDescent="0.55000000000000004">
      <c r="A6592" t="s">
        <v>174</v>
      </c>
      <c r="B6592" t="s">
        <v>4</v>
      </c>
      <c r="C6592">
        <v>11890235.177999999</v>
      </c>
      <c r="D6592" t="s">
        <v>300</v>
      </c>
      <c r="E6592">
        <v>2025</v>
      </c>
      <c r="F6592">
        <v>4</v>
      </c>
    </row>
    <row r="6593" spans="1:6" x14ac:dyDescent="0.55000000000000004">
      <c r="A6593" t="s">
        <v>174</v>
      </c>
      <c r="B6593" t="s">
        <v>5</v>
      </c>
      <c r="C6593">
        <v>997077.00360000005</v>
      </c>
      <c r="D6593" t="s">
        <v>300</v>
      </c>
      <c r="E6593">
        <v>2025</v>
      </c>
      <c r="F6593">
        <v>4</v>
      </c>
    </row>
    <row r="6594" spans="1:6" x14ac:dyDescent="0.55000000000000004">
      <c r="A6594" t="s">
        <v>174</v>
      </c>
      <c r="B6594" t="s">
        <v>6</v>
      </c>
      <c r="C6594">
        <v>2588700.1036</v>
      </c>
      <c r="D6594" t="s">
        <v>300</v>
      </c>
      <c r="E6594">
        <v>2025</v>
      </c>
      <c r="F6594">
        <v>4</v>
      </c>
    </row>
    <row r="6595" spans="1:6" x14ac:dyDescent="0.55000000000000004">
      <c r="A6595" t="s">
        <v>174</v>
      </c>
      <c r="B6595" t="s">
        <v>7</v>
      </c>
      <c r="C6595">
        <v>3357244.7664999999</v>
      </c>
      <c r="D6595" t="s">
        <v>300</v>
      </c>
      <c r="E6595">
        <v>2025</v>
      </c>
      <c r="F6595">
        <v>4</v>
      </c>
    </row>
    <row r="6596" spans="1:6" x14ac:dyDescent="0.55000000000000004">
      <c r="A6596" t="s">
        <v>174</v>
      </c>
      <c r="B6596" t="s">
        <v>8</v>
      </c>
      <c r="C6596">
        <v>4947213.3043</v>
      </c>
      <c r="D6596" t="s">
        <v>300</v>
      </c>
      <c r="E6596">
        <v>2025</v>
      </c>
      <c r="F6596">
        <v>4</v>
      </c>
    </row>
    <row r="6597" spans="1:6" x14ac:dyDescent="0.55000000000000004">
      <c r="A6597" t="s">
        <v>174</v>
      </c>
      <c r="B6597" t="s">
        <v>9</v>
      </c>
      <c r="C6597">
        <v>1175.0433</v>
      </c>
      <c r="D6597" t="s">
        <v>300</v>
      </c>
      <c r="E6597">
        <v>2025</v>
      </c>
      <c r="F6597">
        <v>4</v>
      </c>
    </row>
    <row r="6598" spans="1:6" x14ac:dyDescent="0.55000000000000004">
      <c r="A6598" t="s">
        <v>174</v>
      </c>
      <c r="B6598" t="s">
        <v>10</v>
      </c>
      <c r="C6598">
        <v>2229.5100000000002</v>
      </c>
      <c r="D6598" t="s">
        <v>300</v>
      </c>
      <c r="E6598">
        <v>2025</v>
      </c>
      <c r="F6598">
        <v>4</v>
      </c>
    </row>
    <row r="6599" spans="1:6" x14ac:dyDescent="0.55000000000000004">
      <c r="A6599" t="s">
        <v>174</v>
      </c>
      <c r="B6599" t="s">
        <v>11</v>
      </c>
      <c r="C6599">
        <v>2851110.3402</v>
      </c>
      <c r="D6599" t="s">
        <v>300</v>
      </c>
      <c r="E6599">
        <v>2025</v>
      </c>
      <c r="F6599">
        <v>4</v>
      </c>
    </row>
    <row r="6600" spans="1:6" x14ac:dyDescent="0.55000000000000004">
      <c r="A6600" t="s">
        <v>174</v>
      </c>
      <c r="B6600" t="s">
        <v>12</v>
      </c>
      <c r="C6600">
        <v>10500</v>
      </c>
      <c r="D6600" t="s">
        <v>300</v>
      </c>
      <c r="E6600">
        <v>2025</v>
      </c>
      <c r="F6600">
        <v>4</v>
      </c>
    </row>
    <row r="6601" spans="1:6" x14ac:dyDescent="0.55000000000000004">
      <c r="A6601" t="s">
        <v>174</v>
      </c>
      <c r="B6601" t="s">
        <v>13</v>
      </c>
      <c r="C6601">
        <v>13685.8667</v>
      </c>
      <c r="D6601" t="s">
        <v>300</v>
      </c>
      <c r="E6601">
        <v>2025</v>
      </c>
      <c r="F6601">
        <v>4</v>
      </c>
    </row>
    <row r="6602" spans="1:6" x14ac:dyDescent="0.55000000000000004">
      <c r="A6602" t="s">
        <v>174</v>
      </c>
      <c r="B6602" t="s">
        <v>14</v>
      </c>
      <c r="C6602">
        <v>4500</v>
      </c>
      <c r="D6602" t="s">
        <v>300</v>
      </c>
      <c r="E6602">
        <v>2025</v>
      </c>
      <c r="F6602">
        <v>4</v>
      </c>
    </row>
    <row r="6603" spans="1:6" x14ac:dyDescent="0.55000000000000004">
      <c r="A6603" t="s">
        <v>174</v>
      </c>
      <c r="B6603" t="s">
        <v>15</v>
      </c>
      <c r="C6603">
        <v>811757.00230000005</v>
      </c>
      <c r="D6603" t="s">
        <v>300</v>
      </c>
      <c r="E6603">
        <v>2025</v>
      </c>
      <c r="F6603">
        <v>4</v>
      </c>
    </row>
    <row r="6604" spans="1:6" x14ac:dyDescent="0.55000000000000004">
      <c r="A6604" t="s">
        <v>174</v>
      </c>
      <c r="B6604" t="s">
        <v>17</v>
      </c>
      <c r="C6604">
        <v>137355.27179999999</v>
      </c>
      <c r="D6604" t="s">
        <v>300</v>
      </c>
      <c r="E6604">
        <v>2025</v>
      </c>
      <c r="F6604">
        <v>4</v>
      </c>
    </row>
    <row r="6605" spans="1:6" x14ac:dyDescent="0.55000000000000004">
      <c r="A6605" t="s">
        <v>174</v>
      </c>
      <c r="B6605" t="s">
        <v>18</v>
      </c>
      <c r="C6605">
        <v>143265.66</v>
      </c>
      <c r="D6605" t="s">
        <v>300</v>
      </c>
      <c r="E6605">
        <v>2025</v>
      </c>
      <c r="F6605">
        <v>4</v>
      </c>
    </row>
    <row r="6606" spans="1:6" x14ac:dyDescent="0.55000000000000004">
      <c r="A6606" t="s">
        <v>174</v>
      </c>
      <c r="B6606" t="s">
        <v>19</v>
      </c>
      <c r="C6606">
        <v>2269.9911000000002</v>
      </c>
      <c r="D6606" t="s">
        <v>300</v>
      </c>
      <c r="E6606">
        <v>2025</v>
      </c>
      <c r="F6606">
        <v>4</v>
      </c>
    </row>
    <row r="6607" spans="1:6" x14ac:dyDescent="0.55000000000000004">
      <c r="A6607" t="s">
        <v>174</v>
      </c>
      <c r="B6607" t="s">
        <v>20</v>
      </c>
      <c r="C6607">
        <v>13600</v>
      </c>
      <c r="D6607" t="s">
        <v>300</v>
      </c>
      <c r="E6607">
        <v>2025</v>
      </c>
      <c r="F6607">
        <v>4</v>
      </c>
    </row>
    <row r="6608" spans="1:6" x14ac:dyDescent="0.55000000000000004">
      <c r="A6608" t="s">
        <v>174</v>
      </c>
      <c r="B6608" t="s">
        <v>21</v>
      </c>
      <c r="C6608">
        <v>13609.269399999999</v>
      </c>
      <c r="D6608" t="s">
        <v>300</v>
      </c>
      <c r="E6608">
        <v>2025</v>
      </c>
      <c r="F6608">
        <v>4</v>
      </c>
    </row>
    <row r="6609" spans="1:6" x14ac:dyDescent="0.55000000000000004">
      <c r="A6609" t="s">
        <v>174</v>
      </c>
      <c r="B6609" t="s">
        <v>22</v>
      </c>
      <c r="C6609">
        <v>22521.119999999999</v>
      </c>
      <c r="D6609" t="s">
        <v>300</v>
      </c>
      <c r="E6609">
        <v>2025</v>
      </c>
      <c r="F6609">
        <v>4</v>
      </c>
    </row>
    <row r="6610" spans="1:6" x14ac:dyDescent="0.55000000000000004">
      <c r="A6610" t="s">
        <v>174</v>
      </c>
      <c r="B6610" t="s">
        <v>23</v>
      </c>
      <c r="C6610">
        <v>58100</v>
      </c>
      <c r="D6610" t="s">
        <v>300</v>
      </c>
      <c r="E6610">
        <v>2025</v>
      </c>
      <c r="F6610">
        <v>4</v>
      </c>
    </row>
    <row r="6611" spans="1:6" x14ac:dyDescent="0.55000000000000004">
      <c r="A6611" t="s">
        <v>174</v>
      </c>
      <c r="B6611" t="s">
        <v>25</v>
      </c>
      <c r="C6611">
        <v>810000</v>
      </c>
      <c r="D6611" t="s">
        <v>300</v>
      </c>
      <c r="E6611">
        <v>2025</v>
      </c>
      <c r="F6611">
        <v>4</v>
      </c>
    </row>
    <row r="6612" spans="1:6" x14ac:dyDescent="0.55000000000000004">
      <c r="A6612" t="s">
        <v>174</v>
      </c>
      <c r="B6612" t="s">
        <v>27</v>
      </c>
      <c r="C6612">
        <v>190.4023</v>
      </c>
      <c r="D6612" t="s">
        <v>300</v>
      </c>
      <c r="E6612">
        <v>2025</v>
      </c>
      <c r="F6612">
        <v>4</v>
      </c>
    </row>
    <row r="6613" spans="1:6" x14ac:dyDescent="0.55000000000000004">
      <c r="A6613" t="s">
        <v>174</v>
      </c>
      <c r="B6613" t="s">
        <v>28</v>
      </c>
      <c r="C6613">
        <v>379957.01990000001</v>
      </c>
      <c r="D6613" t="s">
        <v>300</v>
      </c>
      <c r="E6613">
        <v>2025</v>
      </c>
      <c r="F6613">
        <v>4</v>
      </c>
    </row>
    <row r="6614" spans="1:6" x14ac:dyDescent="0.55000000000000004">
      <c r="A6614" t="s">
        <v>174</v>
      </c>
      <c r="B6614" t="s">
        <v>29</v>
      </c>
      <c r="C6614">
        <v>20205.000199999999</v>
      </c>
      <c r="D6614" t="s">
        <v>300</v>
      </c>
      <c r="E6614">
        <v>2025</v>
      </c>
      <c r="F6614">
        <v>4</v>
      </c>
    </row>
    <row r="6615" spans="1:6" x14ac:dyDescent="0.55000000000000004">
      <c r="A6615" t="s">
        <v>174</v>
      </c>
      <c r="B6615" t="s">
        <v>30</v>
      </c>
      <c r="C6615">
        <v>103.0305</v>
      </c>
      <c r="D6615" t="s">
        <v>300</v>
      </c>
      <c r="E6615">
        <v>2025</v>
      </c>
      <c r="F6615">
        <v>4</v>
      </c>
    </row>
    <row r="6616" spans="1:6" x14ac:dyDescent="0.55000000000000004">
      <c r="A6616" t="s">
        <v>174</v>
      </c>
      <c r="B6616" t="s">
        <v>31</v>
      </c>
      <c r="C6616">
        <v>720</v>
      </c>
      <c r="D6616" t="s">
        <v>300</v>
      </c>
      <c r="E6616">
        <v>2025</v>
      </c>
      <c r="F6616">
        <v>4</v>
      </c>
    </row>
    <row r="6617" spans="1:6" x14ac:dyDescent="0.55000000000000004">
      <c r="A6617" t="s">
        <v>174</v>
      </c>
      <c r="B6617" t="s">
        <v>32</v>
      </c>
      <c r="C6617">
        <v>551756.48</v>
      </c>
      <c r="D6617" t="s">
        <v>300</v>
      </c>
      <c r="E6617">
        <v>2025</v>
      </c>
      <c r="F6617">
        <v>4</v>
      </c>
    </row>
    <row r="6618" spans="1:6" x14ac:dyDescent="0.55000000000000004">
      <c r="A6618" t="s">
        <v>174</v>
      </c>
      <c r="B6618" t="s">
        <v>33</v>
      </c>
      <c r="C6618">
        <v>587196.54370000004</v>
      </c>
      <c r="D6618" t="s">
        <v>300</v>
      </c>
      <c r="E6618">
        <v>2025</v>
      </c>
      <c r="F6618">
        <v>4</v>
      </c>
    </row>
    <row r="6619" spans="1:6" x14ac:dyDescent="0.55000000000000004">
      <c r="A6619" t="s">
        <v>174</v>
      </c>
      <c r="B6619" t="s">
        <v>34</v>
      </c>
      <c r="C6619">
        <v>561805.41899999999</v>
      </c>
      <c r="D6619" t="s">
        <v>300</v>
      </c>
      <c r="E6619">
        <v>2025</v>
      </c>
      <c r="F6619">
        <v>4</v>
      </c>
    </row>
    <row r="6620" spans="1:6" x14ac:dyDescent="0.55000000000000004">
      <c r="A6620" t="s">
        <v>174</v>
      </c>
      <c r="B6620" t="s">
        <v>35</v>
      </c>
      <c r="C6620">
        <v>1387.2203999999999</v>
      </c>
      <c r="D6620" t="s">
        <v>300</v>
      </c>
      <c r="E6620">
        <v>2025</v>
      </c>
      <c r="F6620">
        <v>4</v>
      </c>
    </row>
    <row r="6621" spans="1:6" x14ac:dyDescent="0.55000000000000004">
      <c r="A6621" t="s">
        <v>174</v>
      </c>
      <c r="B6621" t="s">
        <v>36</v>
      </c>
      <c r="C6621">
        <v>133800.0013</v>
      </c>
      <c r="D6621" t="s">
        <v>300</v>
      </c>
      <c r="E6621">
        <v>2025</v>
      </c>
      <c r="F6621">
        <v>4</v>
      </c>
    </row>
    <row r="6622" spans="1:6" x14ac:dyDescent="0.55000000000000004">
      <c r="A6622" t="s">
        <v>174</v>
      </c>
      <c r="B6622" t="s">
        <v>37</v>
      </c>
      <c r="C6622">
        <v>69999.9954</v>
      </c>
      <c r="D6622" t="s">
        <v>300</v>
      </c>
      <c r="E6622">
        <v>2025</v>
      </c>
      <c r="F6622">
        <v>4</v>
      </c>
    </row>
    <row r="6623" spans="1:6" x14ac:dyDescent="0.55000000000000004">
      <c r="A6623" t="s">
        <v>174</v>
      </c>
      <c r="B6623" t="s">
        <v>39</v>
      </c>
      <c r="C6623">
        <v>12718.1896</v>
      </c>
      <c r="D6623" t="s">
        <v>300</v>
      </c>
      <c r="E6623">
        <v>2025</v>
      </c>
      <c r="F6623">
        <v>4</v>
      </c>
    </row>
    <row r="6624" spans="1:6" x14ac:dyDescent="0.55000000000000004">
      <c r="A6624" t="s">
        <v>174</v>
      </c>
      <c r="B6624" t="s">
        <v>40</v>
      </c>
      <c r="C6624">
        <v>1314</v>
      </c>
      <c r="D6624" t="s">
        <v>300</v>
      </c>
      <c r="E6624">
        <v>2025</v>
      </c>
      <c r="F6624">
        <v>4</v>
      </c>
    </row>
    <row r="6625" spans="1:6" x14ac:dyDescent="0.55000000000000004">
      <c r="A6625" t="s">
        <v>174</v>
      </c>
      <c r="B6625" t="s">
        <v>41</v>
      </c>
      <c r="C6625">
        <v>401200.00260000001</v>
      </c>
      <c r="D6625" t="s">
        <v>300</v>
      </c>
      <c r="E6625">
        <v>2025</v>
      </c>
      <c r="F6625">
        <v>4</v>
      </c>
    </row>
    <row r="6626" spans="1:6" x14ac:dyDescent="0.55000000000000004">
      <c r="A6626" t="s">
        <v>174</v>
      </c>
      <c r="B6626" t="s">
        <v>42</v>
      </c>
      <c r="C6626">
        <v>287.91149999999999</v>
      </c>
      <c r="D6626" t="s">
        <v>300</v>
      </c>
      <c r="E6626">
        <v>2025</v>
      </c>
      <c r="F6626">
        <v>4</v>
      </c>
    </row>
    <row r="6627" spans="1:6" x14ac:dyDescent="0.55000000000000004">
      <c r="A6627" t="s">
        <v>174</v>
      </c>
      <c r="B6627" t="s">
        <v>43</v>
      </c>
      <c r="C6627">
        <v>268699.9976</v>
      </c>
      <c r="D6627" t="s">
        <v>300</v>
      </c>
      <c r="E6627">
        <v>2025</v>
      </c>
      <c r="F6627">
        <v>4</v>
      </c>
    </row>
    <row r="6628" spans="1:6" x14ac:dyDescent="0.55000000000000004">
      <c r="A6628" t="s">
        <v>174</v>
      </c>
      <c r="B6628" t="s">
        <v>44</v>
      </c>
      <c r="C6628">
        <v>0</v>
      </c>
      <c r="D6628" t="s">
        <v>300</v>
      </c>
      <c r="E6628">
        <v>2025</v>
      </c>
      <c r="F6628">
        <v>4</v>
      </c>
    </row>
    <row r="6629" spans="1:6" x14ac:dyDescent="0.55000000000000004">
      <c r="A6629" t="s">
        <v>174</v>
      </c>
      <c r="B6629" t="s">
        <v>45</v>
      </c>
      <c r="C6629">
        <v>2486.6469000000002</v>
      </c>
      <c r="D6629" t="s">
        <v>300</v>
      </c>
      <c r="E6629">
        <v>2025</v>
      </c>
      <c r="F6629">
        <v>4</v>
      </c>
    </row>
    <row r="6630" spans="1:6" x14ac:dyDescent="0.55000000000000004">
      <c r="A6630" t="s">
        <v>174</v>
      </c>
      <c r="B6630" t="s">
        <v>46</v>
      </c>
      <c r="C6630">
        <v>40190.232000000004</v>
      </c>
      <c r="D6630" t="s">
        <v>300</v>
      </c>
      <c r="E6630">
        <v>2025</v>
      </c>
      <c r="F6630">
        <v>4</v>
      </c>
    </row>
    <row r="6631" spans="1:6" x14ac:dyDescent="0.55000000000000004">
      <c r="A6631" t="s">
        <v>174</v>
      </c>
      <c r="B6631" t="s">
        <v>47</v>
      </c>
      <c r="C6631">
        <v>0</v>
      </c>
      <c r="D6631" t="s">
        <v>300</v>
      </c>
      <c r="E6631">
        <v>2025</v>
      </c>
      <c r="F6631">
        <v>4</v>
      </c>
    </row>
    <row r="6632" spans="1:6" x14ac:dyDescent="0.55000000000000004">
      <c r="A6632" t="s">
        <v>174</v>
      </c>
      <c r="B6632" t="s">
        <v>48</v>
      </c>
      <c r="C6632">
        <v>65012.734600000003</v>
      </c>
      <c r="D6632" t="s">
        <v>300</v>
      </c>
      <c r="E6632">
        <v>2025</v>
      </c>
      <c r="F6632">
        <v>4</v>
      </c>
    </row>
    <row r="6633" spans="1:6" x14ac:dyDescent="0.55000000000000004">
      <c r="A6633" t="s">
        <v>174</v>
      </c>
      <c r="B6633" t="s">
        <v>49</v>
      </c>
      <c r="C6633">
        <v>5154</v>
      </c>
      <c r="D6633" t="s">
        <v>300</v>
      </c>
      <c r="E6633">
        <v>2025</v>
      </c>
      <c r="F6633">
        <v>4</v>
      </c>
    </row>
    <row r="6634" spans="1:6" x14ac:dyDescent="0.55000000000000004">
      <c r="A6634" t="s">
        <v>174</v>
      </c>
      <c r="B6634" t="s">
        <v>50</v>
      </c>
      <c r="C6634">
        <v>18099.995699999999</v>
      </c>
      <c r="D6634" t="s">
        <v>300</v>
      </c>
      <c r="E6634">
        <v>2025</v>
      </c>
      <c r="F6634">
        <v>4</v>
      </c>
    </row>
    <row r="6635" spans="1:6" x14ac:dyDescent="0.55000000000000004">
      <c r="A6635" t="s">
        <v>174</v>
      </c>
      <c r="B6635" t="s">
        <v>51</v>
      </c>
      <c r="C6635">
        <v>4000</v>
      </c>
      <c r="D6635" t="s">
        <v>300</v>
      </c>
      <c r="E6635">
        <v>2025</v>
      </c>
      <c r="F6635">
        <v>4</v>
      </c>
    </row>
    <row r="6636" spans="1:6" x14ac:dyDescent="0.55000000000000004">
      <c r="A6636" t="s">
        <v>174</v>
      </c>
      <c r="B6636" t="s">
        <v>52</v>
      </c>
      <c r="C6636">
        <v>27.091100000000001</v>
      </c>
      <c r="D6636" t="s">
        <v>300</v>
      </c>
      <c r="E6636">
        <v>2025</v>
      </c>
      <c r="F6636">
        <v>4</v>
      </c>
    </row>
    <row r="6637" spans="1:6" x14ac:dyDescent="0.55000000000000004">
      <c r="A6637" t="s">
        <v>174</v>
      </c>
      <c r="B6637" t="s">
        <v>53</v>
      </c>
      <c r="C6637">
        <v>75040</v>
      </c>
      <c r="D6637" t="s">
        <v>300</v>
      </c>
      <c r="E6637">
        <v>2025</v>
      </c>
      <c r="F6637">
        <v>4</v>
      </c>
    </row>
    <row r="6638" spans="1:6" x14ac:dyDescent="0.55000000000000004">
      <c r="A6638" t="s">
        <v>174</v>
      </c>
      <c r="B6638" t="s">
        <v>54</v>
      </c>
      <c r="C6638">
        <v>19144.345499999999</v>
      </c>
      <c r="D6638" t="s">
        <v>300</v>
      </c>
      <c r="E6638">
        <v>2025</v>
      </c>
      <c r="F6638">
        <v>4</v>
      </c>
    </row>
    <row r="6639" spans="1:6" x14ac:dyDescent="0.55000000000000004">
      <c r="A6639" t="s">
        <v>174</v>
      </c>
      <c r="B6639" t="s">
        <v>55</v>
      </c>
      <c r="C6639">
        <v>1841.65</v>
      </c>
      <c r="D6639" t="s">
        <v>300</v>
      </c>
      <c r="E6639">
        <v>2025</v>
      </c>
      <c r="F6639">
        <v>4</v>
      </c>
    </row>
    <row r="6640" spans="1:6" x14ac:dyDescent="0.55000000000000004">
      <c r="A6640" t="s">
        <v>174</v>
      </c>
      <c r="B6640" t="s">
        <v>56</v>
      </c>
      <c r="C6640">
        <v>17087.6767</v>
      </c>
      <c r="D6640" t="s">
        <v>300</v>
      </c>
      <c r="E6640">
        <v>2025</v>
      </c>
      <c r="F6640">
        <v>4</v>
      </c>
    </row>
    <row r="6641" spans="1:6" x14ac:dyDescent="0.55000000000000004">
      <c r="A6641" t="s">
        <v>174</v>
      </c>
      <c r="B6641" t="s">
        <v>57</v>
      </c>
      <c r="C6641">
        <v>200.00989999999999</v>
      </c>
      <c r="D6641" t="s">
        <v>300</v>
      </c>
      <c r="E6641">
        <v>2025</v>
      </c>
      <c r="F6641">
        <v>4</v>
      </c>
    </row>
    <row r="6642" spans="1:6" x14ac:dyDescent="0.55000000000000004">
      <c r="A6642" t="s">
        <v>174</v>
      </c>
      <c r="B6642" t="s">
        <v>58</v>
      </c>
      <c r="C6642">
        <v>694318</v>
      </c>
      <c r="D6642" t="s">
        <v>300</v>
      </c>
      <c r="E6642">
        <v>2025</v>
      </c>
      <c r="F6642">
        <v>4</v>
      </c>
    </row>
    <row r="6643" spans="1:6" x14ac:dyDescent="0.55000000000000004">
      <c r="A6643" t="s">
        <v>174</v>
      </c>
      <c r="B6643" t="s">
        <v>59</v>
      </c>
      <c r="C6643">
        <v>13900</v>
      </c>
      <c r="D6643" t="s">
        <v>300</v>
      </c>
      <c r="E6643">
        <v>2025</v>
      </c>
      <c r="F6643">
        <v>4</v>
      </c>
    </row>
    <row r="6644" spans="1:6" x14ac:dyDescent="0.55000000000000004">
      <c r="A6644" t="s">
        <v>174</v>
      </c>
      <c r="B6644" t="s">
        <v>60</v>
      </c>
      <c r="C6644">
        <v>3037444.0227000001</v>
      </c>
      <c r="D6644" t="s">
        <v>300</v>
      </c>
      <c r="E6644">
        <v>2025</v>
      </c>
      <c r="F6644">
        <v>4</v>
      </c>
    </row>
    <row r="6645" spans="1:6" x14ac:dyDescent="0.55000000000000004">
      <c r="A6645" t="s">
        <v>174</v>
      </c>
      <c r="B6645" t="s">
        <v>61</v>
      </c>
      <c r="C6645">
        <v>5200.0033000000003</v>
      </c>
      <c r="D6645" t="s">
        <v>300</v>
      </c>
      <c r="E6645">
        <v>2025</v>
      </c>
      <c r="F6645">
        <v>4</v>
      </c>
    </row>
    <row r="6646" spans="1:6" x14ac:dyDescent="0.55000000000000004">
      <c r="A6646" t="s">
        <v>174</v>
      </c>
      <c r="B6646" t="s">
        <v>62</v>
      </c>
      <c r="C6646">
        <v>4068</v>
      </c>
      <c r="D6646" t="s">
        <v>300</v>
      </c>
      <c r="E6646">
        <v>2025</v>
      </c>
      <c r="F6646">
        <v>4</v>
      </c>
    </row>
    <row r="6647" spans="1:6" x14ac:dyDescent="0.55000000000000004">
      <c r="A6647" t="s">
        <v>174</v>
      </c>
      <c r="B6647" t="s">
        <v>63</v>
      </c>
      <c r="C6647">
        <v>0.48080000000000001</v>
      </c>
      <c r="D6647" t="s">
        <v>300</v>
      </c>
      <c r="E6647">
        <v>2025</v>
      </c>
      <c r="F6647">
        <v>4</v>
      </c>
    </row>
    <row r="6648" spans="1:6" x14ac:dyDescent="0.55000000000000004">
      <c r="A6648" t="s">
        <v>175</v>
      </c>
      <c r="B6648" t="s">
        <v>4</v>
      </c>
      <c r="C6648">
        <v>13008293.941400001</v>
      </c>
      <c r="D6648" t="s">
        <v>301</v>
      </c>
      <c r="E6648">
        <v>2025</v>
      </c>
      <c r="F6648">
        <v>5</v>
      </c>
    </row>
    <row r="6649" spans="1:6" x14ac:dyDescent="0.55000000000000004">
      <c r="A6649" t="s">
        <v>175</v>
      </c>
      <c r="B6649" t="s">
        <v>5</v>
      </c>
      <c r="C6649">
        <v>1101625.5024999999</v>
      </c>
      <c r="D6649" t="s">
        <v>301</v>
      </c>
      <c r="E6649">
        <v>2025</v>
      </c>
      <c r="F6649">
        <v>5</v>
      </c>
    </row>
    <row r="6650" spans="1:6" x14ac:dyDescent="0.55000000000000004">
      <c r="A6650" t="s">
        <v>175</v>
      </c>
      <c r="B6650" t="s">
        <v>6</v>
      </c>
      <c r="C6650">
        <v>3084716.2773000002</v>
      </c>
      <c r="D6650" t="s">
        <v>301</v>
      </c>
      <c r="E6650">
        <v>2025</v>
      </c>
      <c r="F6650">
        <v>5</v>
      </c>
    </row>
    <row r="6651" spans="1:6" x14ac:dyDescent="0.55000000000000004">
      <c r="A6651" t="s">
        <v>175</v>
      </c>
      <c r="B6651" t="s">
        <v>7</v>
      </c>
      <c r="C6651">
        <v>3533182.7108999998</v>
      </c>
      <c r="D6651" t="s">
        <v>301</v>
      </c>
      <c r="E6651">
        <v>2025</v>
      </c>
      <c r="F6651">
        <v>5</v>
      </c>
    </row>
    <row r="6652" spans="1:6" x14ac:dyDescent="0.55000000000000004">
      <c r="A6652" t="s">
        <v>175</v>
      </c>
      <c r="B6652" t="s">
        <v>8</v>
      </c>
      <c r="C6652">
        <v>5288769.4506999999</v>
      </c>
      <c r="D6652" t="s">
        <v>301</v>
      </c>
      <c r="E6652">
        <v>2025</v>
      </c>
      <c r="F6652">
        <v>5</v>
      </c>
    </row>
    <row r="6653" spans="1:6" x14ac:dyDescent="0.55000000000000004">
      <c r="A6653" t="s">
        <v>175</v>
      </c>
      <c r="B6653" t="s">
        <v>9</v>
      </c>
      <c r="C6653">
        <v>2260.1334000000002</v>
      </c>
      <c r="D6653" t="s">
        <v>301</v>
      </c>
      <c r="E6653">
        <v>2025</v>
      </c>
      <c r="F6653">
        <v>5</v>
      </c>
    </row>
    <row r="6654" spans="1:6" x14ac:dyDescent="0.55000000000000004">
      <c r="A6654" t="s">
        <v>175</v>
      </c>
      <c r="B6654" t="s">
        <v>10</v>
      </c>
      <c r="C6654">
        <v>1829.7</v>
      </c>
      <c r="D6654" t="s">
        <v>301</v>
      </c>
      <c r="E6654">
        <v>2025</v>
      </c>
      <c r="F6654">
        <v>5</v>
      </c>
    </row>
    <row r="6655" spans="1:6" x14ac:dyDescent="0.55000000000000004">
      <c r="A6655" t="s">
        <v>175</v>
      </c>
      <c r="B6655" t="s">
        <v>11</v>
      </c>
      <c r="C6655">
        <v>3054295.3678000001</v>
      </c>
      <c r="D6655" t="s">
        <v>301</v>
      </c>
      <c r="E6655">
        <v>2025</v>
      </c>
      <c r="F6655">
        <v>5</v>
      </c>
    </row>
    <row r="6656" spans="1:6" x14ac:dyDescent="0.55000000000000004">
      <c r="A6656" t="s">
        <v>175</v>
      </c>
      <c r="B6656" t="s">
        <v>12</v>
      </c>
      <c r="C6656">
        <v>10000</v>
      </c>
      <c r="D6656" t="s">
        <v>301</v>
      </c>
      <c r="E6656">
        <v>2025</v>
      </c>
      <c r="F6656">
        <v>5</v>
      </c>
    </row>
    <row r="6657" spans="1:6" x14ac:dyDescent="0.55000000000000004">
      <c r="A6657" t="s">
        <v>175</v>
      </c>
      <c r="B6657" t="s">
        <v>13</v>
      </c>
      <c r="C6657">
        <v>6239.3671000000004</v>
      </c>
      <c r="D6657" t="s">
        <v>301</v>
      </c>
      <c r="E6657">
        <v>2025</v>
      </c>
      <c r="F6657">
        <v>5</v>
      </c>
    </row>
    <row r="6658" spans="1:6" x14ac:dyDescent="0.55000000000000004">
      <c r="A6658" t="s">
        <v>175</v>
      </c>
      <c r="B6658" t="s">
        <v>14</v>
      </c>
      <c r="C6658">
        <v>4200</v>
      </c>
      <c r="D6658" t="s">
        <v>301</v>
      </c>
      <c r="E6658">
        <v>2025</v>
      </c>
      <c r="F6658">
        <v>5</v>
      </c>
    </row>
    <row r="6659" spans="1:6" x14ac:dyDescent="0.55000000000000004">
      <c r="A6659" t="s">
        <v>175</v>
      </c>
      <c r="B6659" t="s">
        <v>15</v>
      </c>
      <c r="C6659">
        <v>926941.5024</v>
      </c>
      <c r="D6659" t="s">
        <v>301</v>
      </c>
      <c r="E6659">
        <v>2025</v>
      </c>
      <c r="F6659">
        <v>5</v>
      </c>
    </row>
    <row r="6660" spans="1:6" x14ac:dyDescent="0.55000000000000004">
      <c r="A6660" t="s">
        <v>175</v>
      </c>
      <c r="B6660" t="s">
        <v>17</v>
      </c>
      <c r="C6660">
        <v>120303.0232</v>
      </c>
      <c r="D6660" t="s">
        <v>301</v>
      </c>
      <c r="E6660">
        <v>2025</v>
      </c>
      <c r="F6660">
        <v>5</v>
      </c>
    </row>
    <row r="6661" spans="1:6" x14ac:dyDescent="0.55000000000000004">
      <c r="A6661" t="s">
        <v>175</v>
      </c>
      <c r="B6661" t="s">
        <v>18</v>
      </c>
      <c r="C6661">
        <v>247800.21170000001</v>
      </c>
      <c r="D6661" t="s">
        <v>301</v>
      </c>
      <c r="E6661">
        <v>2025</v>
      </c>
      <c r="F6661">
        <v>5</v>
      </c>
    </row>
    <row r="6662" spans="1:6" x14ac:dyDescent="0.55000000000000004">
      <c r="A6662" t="s">
        <v>175</v>
      </c>
      <c r="B6662" t="s">
        <v>19</v>
      </c>
      <c r="C6662">
        <v>1709.9953</v>
      </c>
      <c r="D6662" t="s">
        <v>301</v>
      </c>
      <c r="E6662">
        <v>2025</v>
      </c>
      <c r="F6662">
        <v>5</v>
      </c>
    </row>
    <row r="6663" spans="1:6" x14ac:dyDescent="0.55000000000000004">
      <c r="A6663" t="s">
        <v>175</v>
      </c>
      <c r="B6663" t="s">
        <v>20</v>
      </c>
      <c r="C6663">
        <v>14600</v>
      </c>
      <c r="D6663" t="s">
        <v>301</v>
      </c>
      <c r="E6663">
        <v>2025</v>
      </c>
      <c r="F6663">
        <v>5</v>
      </c>
    </row>
    <row r="6664" spans="1:6" x14ac:dyDescent="0.55000000000000004">
      <c r="A6664" t="s">
        <v>175</v>
      </c>
      <c r="B6664" t="s">
        <v>21</v>
      </c>
      <c r="C6664">
        <v>10197.3925</v>
      </c>
      <c r="D6664" t="s">
        <v>301</v>
      </c>
      <c r="E6664">
        <v>2025</v>
      </c>
      <c r="F6664">
        <v>5</v>
      </c>
    </row>
    <row r="6665" spans="1:6" x14ac:dyDescent="0.55000000000000004">
      <c r="A6665" t="s">
        <v>175</v>
      </c>
      <c r="B6665" t="s">
        <v>22</v>
      </c>
      <c r="C6665">
        <v>33808.059399999998</v>
      </c>
      <c r="D6665" t="s">
        <v>301</v>
      </c>
      <c r="E6665">
        <v>2025</v>
      </c>
      <c r="F6665">
        <v>5</v>
      </c>
    </row>
    <row r="6666" spans="1:6" x14ac:dyDescent="0.55000000000000004">
      <c r="A6666" t="s">
        <v>175</v>
      </c>
      <c r="B6666" t="s">
        <v>23</v>
      </c>
      <c r="C6666">
        <v>60277.549599999998</v>
      </c>
      <c r="D6666" t="s">
        <v>301</v>
      </c>
      <c r="E6666">
        <v>2025</v>
      </c>
      <c r="F6666">
        <v>5</v>
      </c>
    </row>
    <row r="6667" spans="1:6" x14ac:dyDescent="0.55000000000000004">
      <c r="A6667" t="s">
        <v>175</v>
      </c>
      <c r="B6667" t="s">
        <v>25</v>
      </c>
      <c r="C6667">
        <v>980000</v>
      </c>
      <c r="D6667" t="s">
        <v>301</v>
      </c>
      <c r="E6667">
        <v>2025</v>
      </c>
      <c r="F6667">
        <v>5</v>
      </c>
    </row>
    <row r="6668" spans="1:6" x14ac:dyDescent="0.55000000000000004">
      <c r="A6668" t="s">
        <v>175</v>
      </c>
      <c r="B6668" t="s">
        <v>27</v>
      </c>
      <c r="C6668">
        <v>1283.865</v>
      </c>
      <c r="D6668" t="s">
        <v>301</v>
      </c>
      <c r="E6668">
        <v>2025</v>
      </c>
      <c r="F6668">
        <v>5</v>
      </c>
    </row>
    <row r="6669" spans="1:6" x14ac:dyDescent="0.55000000000000004">
      <c r="A6669" t="s">
        <v>175</v>
      </c>
      <c r="B6669" t="s">
        <v>28</v>
      </c>
      <c r="C6669">
        <v>448422.17709999997</v>
      </c>
      <c r="D6669" t="s">
        <v>301</v>
      </c>
      <c r="E6669">
        <v>2025</v>
      </c>
      <c r="F6669">
        <v>5</v>
      </c>
    </row>
    <row r="6670" spans="1:6" x14ac:dyDescent="0.55000000000000004">
      <c r="A6670" t="s">
        <v>175</v>
      </c>
      <c r="B6670" t="s">
        <v>29</v>
      </c>
      <c r="C6670">
        <v>11863.3333</v>
      </c>
      <c r="D6670" t="s">
        <v>301</v>
      </c>
      <c r="E6670">
        <v>2025</v>
      </c>
      <c r="F6670">
        <v>5</v>
      </c>
    </row>
    <row r="6671" spans="1:6" x14ac:dyDescent="0.55000000000000004">
      <c r="A6671" t="s">
        <v>175</v>
      </c>
      <c r="B6671" t="s">
        <v>30</v>
      </c>
      <c r="C6671">
        <v>23.9285</v>
      </c>
      <c r="D6671" t="s">
        <v>301</v>
      </c>
      <c r="E6671">
        <v>2025</v>
      </c>
      <c r="F6671">
        <v>5</v>
      </c>
    </row>
    <row r="6672" spans="1:6" x14ac:dyDescent="0.55000000000000004">
      <c r="A6672" t="s">
        <v>175</v>
      </c>
      <c r="B6672" t="s">
        <v>31</v>
      </c>
      <c r="C6672">
        <v>320</v>
      </c>
      <c r="D6672" t="s">
        <v>301</v>
      </c>
      <c r="E6672">
        <v>2025</v>
      </c>
      <c r="F6672">
        <v>5</v>
      </c>
    </row>
    <row r="6673" spans="1:6" x14ac:dyDescent="0.55000000000000004">
      <c r="A6673" t="s">
        <v>175</v>
      </c>
      <c r="B6673" t="s">
        <v>32</v>
      </c>
      <c r="C6673">
        <v>762819.67480000004</v>
      </c>
      <c r="D6673" t="s">
        <v>301</v>
      </c>
      <c r="E6673">
        <v>2025</v>
      </c>
      <c r="F6673">
        <v>5</v>
      </c>
    </row>
    <row r="6674" spans="1:6" x14ac:dyDescent="0.55000000000000004">
      <c r="A6674" t="s">
        <v>175</v>
      </c>
      <c r="B6674" t="s">
        <v>33</v>
      </c>
      <c r="C6674">
        <v>556661.66830000002</v>
      </c>
      <c r="D6674" t="s">
        <v>301</v>
      </c>
      <c r="E6674">
        <v>2025</v>
      </c>
      <c r="F6674">
        <v>5</v>
      </c>
    </row>
    <row r="6675" spans="1:6" x14ac:dyDescent="0.55000000000000004">
      <c r="A6675" t="s">
        <v>175</v>
      </c>
      <c r="B6675" t="s">
        <v>34</v>
      </c>
      <c r="C6675">
        <v>758907.83739999996</v>
      </c>
      <c r="D6675" t="s">
        <v>301</v>
      </c>
      <c r="E6675">
        <v>2025</v>
      </c>
      <c r="F6675">
        <v>5</v>
      </c>
    </row>
    <row r="6676" spans="1:6" x14ac:dyDescent="0.55000000000000004">
      <c r="A6676" t="s">
        <v>175</v>
      </c>
      <c r="B6676" t="s">
        <v>35</v>
      </c>
      <c r="C6676">
        <v>1263.8090999999999</v>
      </c>
      <c r="D6676" t="s">
        <v>301</v>
      </c>
      <c r="E6676">
        <v>2025</v>
      </c>
      <c r="F6676">
        <v>5</v>
      </c>
    </row>
    <row r="6677" spans="1:6" x14ac:dyDescent="0.55000000000000004">
      <c r="A6677" t="s">
        <v>175</v>
      </c>
      <c r="B6677" t="s">
        <v>36</v>
      </c>
      <c r="C6677">
        <v>126904.0001</v>
      </c>
      <c r="D6677" t="s">
        <v>301</v>
      </c>
      <c r="E6677">
        <v>2025</v>
      </c>
      <c r="F6677">
        <v>5</v>
      </c>
    </row>
    <row r="6678" spans="1:6" x14ac:dyDescent="0.55000000000000004">
      <c r="A6678" t="s">
        <v>175</v>
      </c>
      <c r="B6678" t="s">
        <v>37</v>
      </c>
      <c r="C6678">
        <v>71999.9954</v>
      </c>
      <c r="D6678" t="s">
        <v>301</v>
      </c>
      <c r="E6678">
        <v>2025</v>
      </c>
      <c r="F6678">
        <v>5</v>
      </c>
    </row>
    <row r="6679" spans="1:6" x14ac:dyDescent="0.55000000000000004">
      <c r="A6679" t="s">
        <v>175</v>
      </c>
      <c r="B6679" t="s">
        <v>39</v>
      </c>
      <c r="C6679">
        <v>6224.4269000000004</v>
      </c>
      <c r="D6679" t="s">
        <v>301</v>
      </c>
      <c r="E6679">
        <v>2025</v>
      </c>
      <c r="F6679">
        <v>5</v>
      </c>
    </row>
    <row r="6680" spans="1:6" x14ac:dyDescent="0.55000000000000004">
      <c r="A6680" t="s">
        <v>175</v>
      </c>
      <c r="B6680" t="s">
        <v>40</v>
      </c>
      <c r="C6680">
        <v>816.5</v>
      </c>
      <c r="D6680" t="s">
        <v>301</v>
      </c>
      <c r="E6680">
        <v>2025</v>
      </c>
      <c r="F6680">
        <v>5</v>
      </c>
    </row>
    <row r="6681" spans="1:6" x14ac:dyDescent="0.55000000000000004">
      <c r="A6681" t="s">
        <v>175</v>
      </c>
      <c r="B6681" t="s">
        <v>41</v>
      </c>
      <c r="C6681">
        <v>417900.00339999999</v>
      </c>
      <c r="D6681" t="s">
        <v>301</v>
      </c>
      <c r="E6681">
        <v>2025</v>
      </c>
      <c r="F6681">
        <v>5</v>
      </c>
    </row>
    <row r="6682" spans="1:6" x14ac:dyDescent="0.55000000000000004">
      <c r="A6682" t="s">
        <v>175</v>
      </c>
      <c r="B6682" t="s">
        <v>42</v>
      </c>
      <c r="C6682">
        <v>44.173900000000003</v>
      </c>
      <c r="D6682" t="s">
        <v>301</v>
      </c>
      <c r="E6682">
        <v>2025</v>
      </c>
      <c r="F6682">
        <v>5</v>
      </c>
    </row>
    <row r="6683" spans="1:6" x14ac:dyDescent="0.55000000000000004">
      <c r="A6683" t="s">
        <v>175</v>
      </c>
      <c r="B6683" t="s">
        <v>43</v>
      </c>
      <c r="C6683">
        <v>398415.58</v>
      </c>
      <c r="D6683" t="s">
        <v>301</v>
      </c>
      <c r="E6683">
        <v>2025</v>
      </c>
      <c r="F6683">
        <v>5</v>
      </c>
    </row>
    <row r="6684" spans="1:6" x14ac:dyDescent="0.55000000000000004">
      <c r="A6684" t="s">
        <v>175</v>
      </c>
      <c r="B6684" t="s">
        <v>44</v>
      </c>
      <c r="C6684">
        <v>0</v>
      </c>
      <c r="D6684" t="s">
        <v>301</v>
      </c>
      <c r="E6684">
        <v>2025</v>
      </c>
      <c r="F6684">
        <v>5</v>
      </c>
    </row>
    <row r="6685" spans="1:6" x14ac:dyDescent="0.55000000000000004">
      <c r="A6685" t="s">
        <v>175</v>
      </c>
      <c r="B6685" t="s">
        <v>45</v>
      </c>
      <c r="C6685">
        <v>2554.5252999999998</v>
      </c>
      <c r="D6685" t="s">
        <v>301</v>
      </c>
      <c r="E6685">
        <v>2025</v>
      </c>
      <c r="F6685">
        <v>5</v>
      </c>
    </row>
    <row r="6686" spans="1:6" x14ac:dyDescent="0.55000000000000004">
      <c r="A6686" t="s">
        <v>175</v>
      </c>
      <c r="B6686" t="s">
        <v>46</v>
      </c>
      <c r="C6686">
        <v>57975.713900000002</v>
      </c>
      <c r="D6686" t="s">
        <v>301</v>
      </c>
      <c r="E6686">
        <v>2025</v>
      </c>
      <c r="F6686">
        <v>5</v>
      </c>
    </row>
    <row r="6687" spans="1:6" x14ac:dyDescent="0.55000000000000004">
      <c r="A6687" t="s">
        <v>175</v>
      </c>
      <c r="B6687" t="s">
        <v>47</v>
      </c>
      <c r="C6687">
        <v>2.3199999999999998</v>
      </c>
      <c r="D6687" t="s">
        <v>301</v>
      </c>
      <c r="E6687">
        <v>2025</v>
      </c>
      <c r="F6687">
        <v>5</v>
      </c>
    </row>
    <row r="6688" spans="1:6" x14ac:dyDescent="0.55000000000000004">
      <c r="A6688" t="s">
        <v>175</v>
      </c>
      <c r="B6688" t="s">
        <v>48</v>
      </c>
      <c r="C6688">
        <v>141736.07010000001</v>
      </c>
      <c r="D6688" t="s">
        <v>301</v>
      </c>
      <c r="E6688">
        <v>2025</v>
      </c>
      <c r="F6688">
        <v>5</v>
      </c>
    </row>
    <row r="6689" spans="1:6" x14ac:dyDescent="0.55000000000000004">
      <c r="A6689" t="s">
        <v>175</v>
      </c>
      <c r="B6689" t="s">
        <v>49</v>
      </c>
      <c r="C6689">
        <v>573.0548</v>
      </c>
      <c r="D6689" t="s">
        <v>301</v>
      </c>
      <c r="E6689">
        <v>2025</v>
      </c>
      <c r="F6689">
        <v>5</v>
      </c>
    </row>
    <row r="6690" spans="1:6" x14ac:dyDescent="0.55000000000000004">
      <c r="A6690" t="s">
        <v>175</v>
      </c>
      <c r="B6690" t="s">
        <v>50</v>
      </c>
      <c r="C6690">
        <v>16099.995699999999</v>
      </c>
      <c r="D6690" t="s">
        <v>301</v>
      </c>
      <c r="E6690">
        <v>2025</v>
      </c>
      <c r="F6690">
        <v>5</v>
      </c>
    </row>
    <row r="6691" spans="1:6" x14ac:dyDescent="0.55000000000000004">
      <c r="A6691" t="s">
        <v>175</v>
      </c>
      <c r="B6691" t="s">
        <v>51</v>
      </c>
      <c r="C6691">
        <v>5600</v>
      </c>
      <c r="D6691" t="s">
        <v>301</v>
      </c>
      <c r="E6691">
        <v>2025</v>
      </c>
      <c r="F6691">
        <v>5</v>
      </c>
    </row>
    <row r="6692" spans="1:6" x14ac:dyDescent="0.55000000000000004">
      <c r="A6692" t="s">
        <v>175</v>
      </c>
      <c r="B6692" t="s">
        <v>52</v>
      </c>
      <c r="C6692">
        <v>40.4617</v>
      </c>
      <c r="D6692" t="s">
        <v>301</v>
      </c>
      <c r="E6692">
        <v>2025</v>
      </c>
      <c r="F6692">
        <v>5</v>
      </c>
    </row>
    <row r="6693" spans="1:6" x14ac:dyDescent="0.55000000000000004">
      <c r="A6693" t="s">
        <v>175</v>
      </c>
      <c r="B6693" t="s">
        <v>53</v>
      </c>
      <c r="C6693">
        <v>75560</v>
      </c>
      <c r="D6693" t="s">
        <v>301</v>
      </c>
      <c r="E6693">
        <v>2025</v>
      </c>
      <c r="F6693">
        <v>5</v>
      </c>
    </row>
    <row r="6694" spans="1:6" x14ac:dyDescent="0.55000000000000004">
      <c r="A6694" t="s">
        <v>175</v>
      </c>
      <c r="B6694" t="s">
        <v>54</v>
      </c>
      <c r="C6694">
        <v>18618.378100000002</v>
      </c>
      <c r="D6694" t="s">
        <v>301</v>
      </c>
      <c r="E6694">
        <v>2025</v>
      </c>
      <c r="F6694">
        <v>5</v>
      </c>
    </row>
    <row r="6695" spans="1:6" x14ac:dyDescent="0.55000000000000004">
      <c r="A6695" t="s">
        <v>175</v>
      </c>
      <c r="B6695" t="s">
        <v>55</v>
      </c>
      <c r="C6695">
        <v>1233.2166999999999</v>
      </c>
      <c r="D6695" t="s">
        <v>301</v>
      </c>
      <c r="E6695">
        <v>2025</v>
      </c>
      <c r="F6695">
        <v>5</v>
      </c>
    </row>
    <row r="6696" spans="1:6" x14ac:dyDescent="0.55000000000000004">
      <c r="A6696" t="s">
        <v>175</v>
      </c>
      <c r="B6696" t="s">
        <v>56</v>
      </c>
      <c r="C6696">
        <v>6857.1532999999999</v>
      </c>
      <c r="D6696" t="s">
        <v>301</v>
      </c>
      <c r="E6696">
        <v>2025</v>
      </c>
      <c r="F6696">
        <v>5</v>
      </c>
    </row>
    <row r="6697" spans="1:6" x14ac:dyDescent="0.55000000000000004">
      <c r="A6697" t="s">
        <v>175</v>
      </c>
      <c r="B6697" t="s">
        <v>57</v>
      </c>
      <c r="C6697">
        <v>10.01</v>
      </c>
      <c r="D6697" t="s">
        <v>301</v>
      </c>
      <c r="E6697">
        <v>2025</v>
      </c>
      <c r="F6697">
        <v>5</v>
      </c>
    </row>
    <row r="6698" spans="1:6" x14ac:dyDescent="0.55000000000000004">
      <c r="A6698" t="s">
        <v>175</v>
      </c>
      <c r="B6698" t="s">
        <v>58</v>
      </c>
      <c r="C6698">
        <v>793445</v>
      </c>
      <c r="D6698" t="s">
        <v>301</v>
      </c>
      <c r="E6698">
        <v>2025</v>
      </c>
      <c r="F6698">
        <v>5</v>
      </c>
    </row>
    <row r="6699" spans="1:6" x14ac:dyDescent="0.55000000000000004">
      <c r="A6699" t="s">
        <v>175</v>
      </c>
      <c r="B6699" t="s">
        <v>59</v>
      </c>
      <c r="C6699">
        <v>12600</v>
      </c>
      <c r="D6699" t="s">
        <v>301</v>
      </c>
      <c r="E6699">
        <v>2025</v>
      </c>
      <c r="F6699">
        <v>5</v>
      </c>
    </row>
    <row r="6700" spans="1:6" x14ac:dyDescent="0.55000000000000004">
      <c r="A6700" t="s">
        <v>175</v>
      </c>
      <c r="B6700" t="s">
        <v>60</v>
      </c>
      <c r="C6700">
        <v>2831315.6038000002</v>
      </c>
      <c r="D6700" t="s">
        <v>301</v>
      </c>
      <c r="E6700">
        <v>2025</v>
      </c>
      <c r="F6700">
        <v>5</v>
      </c>
    </row>
    <row r="6701" spans="1:6" x14ac:dyDescent="0.55000000000000004">
      <c r="A6701" t="s">
        <v>175</v>
      </c>
      <c r="B6701" t="s">
        <v>61</v>
      </c>
      <c r="C6701">
        <v>3499.9956999999999</v>
      </c>
      <c r="D6701" t="s">
        <v>301</v>
      </c>
      <c r="E6701">
        <v>2025</v>
      </c>
      <c r="F6701">
        <v>5</v>
      </c>
    </row>
    <row r="6702" spans="1:6" x14ac:dyDescent="0.55000000000000004">
      <c r="A6702" t="s">
        <v>175</v>
      </c>
      <c r="B6702" t="s">
        <v>62</v>
      </c>
      <c r="C6702">
        <v>2019.1667</v>
      </c>
      <c r="D6702" t="s">
        <v>301</v>
      </c>
      <c r="E6702">
        <v>2025</v>
      </c>
      <c r="F6702">
        <v>5</v>
      </c>
    </row>
    <row r="6703" spans="1:6" x14ac:dyDescent="0.55000000000000004">
      <c r="A6703" t="s">
        <v>175</v>
      </c>
      <c r="B6703" t="s">
        <v>63</v>
      </c>
      <c r="C6703">
        <v>220</v>
      </c>
      <c r="D6703" t="s">
        <v>301</v>
      </c>
      <c r="E6703">
        <v>2025</v>
      </c>
      <c r="F6703">
        <v>5</v>
      </c>
    </row>
    <row r="6704" spans="1:6" x14ac:dyDescent="0.55000000000000004">
      <c r="A6704" t="s">
        <v>176</v>
      </c>
      <c r="B6704" t="s">
        <v>4</v>
      </c>
      <c r="C6704">
        <v>11822271.962400001</v>
      </c>
      <c r="D6704" t="s">
        <v>302</v>
      </c>
      <c r="E6704">
        <v>2025</v>
      </c>
      <c r="F6704">
        <v>6</v>
      </c>
    </row>
    <row r="6705" spans="1:6" x14ac:dyDescent="0.55000000000000004">
      <c r="A6705" t="s">
        <v>176</v>
      </c>
      <c r="B6705" t="s">
        <v>5</v>
      </c>
      <c r="C6705">
        <v>1173671.8476</v>
      </c>
      <c r="D6705" t="s">
        <v>302</v>
      </c>
      <c r="E6705">
        <v>2025</v>
      </c>
      <c r="F6705">
        <v>6</v>
      </c>
    </row>
    <row r="6706" spans="1:6" x14ac:dyDescent="0.55000000000000004">
      <c r="A6706" t="s">
        <v>176</v>
      </c>
      <c r="B6706" t="s">
        <v>6</v>
      </c>
      <c r="C6706">
        <v>2967150.5400999999</v>
      </c>
      <c r="D6706" t="s">
        <v>302</v>
      </c>
      <c r="E6706">
        <v>2025</v>
      </c>
      <c r="F6706">
        <v>6</v>
      </c>
    </row>
    <row r="6707" spans="1:6" x14ac:dyDescent="0.55000000000000004">
      <c r="A6707" t="s">
        <v>176</v>
      </c>
      <c r="B6707" t="s">
        <v>7</v>
      </c>
      <c r="C6707">
        <v>2766941.5060999999</v>
      </c>
      <c r="D6707" t="s">
        <v>302</v>
      </c>
      <c r="E6707">
        <v>2025</v>
      </c>
      <c r="F6707">
        <v>6</v>
      </c>
    </row>
    <row r="6708" spans="1:6" x14ac:dyDescent="0.55000000000000004">
      <c r="A6708" t="s">
        <v>176</v>
      </c>
      <c r="B6708" t="s">
        <v>8</v>
      </c>
      <c r="C6708">
        <v>4914508.0685999999</v>
      </c>
      <c r="D6708" t="s">
        <v>302</v>
      </c>
      <c r="E6708">
        <v>2025</v>
      </c>
      <c r="F6708">
        <v>6</v>
      </c>
    </row>
    <row r="6709" spans="1:6" x14ac:dyDescent="0.55000000000000004">
      <c r="A6709" t="s">
        <v>176</v>
      </c>
      <c r="B6709" t="s">
        <v>9</v>
      </c>
      <c r="C6709">
        <v>0</v>
      </c>
      <c r="D6709" t="s">
        <v>302</v>
      </c>
      <c r="E6709">
        <v>2025</v>
      </c>
      <c r="F6709">
        <v>6</v>
      </c>
    </row>
    <row r="6710" spans="1:6" x14ac:dyDescent="0.55000000000000004">
      <c r="A6710" t="s">
        <v>176</v>
      </c>
      <c r="B6710" t="s">
        <v>10</v>
      </c>
      <c r="C6710">
        <v>595.33000000000004</v>
      </c>
      <c r="D6710" t="s">
        <v>302</v>
      </c>
      <c r="E6710">
        <v>2025</v>
      </c>
      <c r="F6710">
        <v>6</v>
      </c>
    </row>
    <row r="6711" spans="1:6" x14ac:dyDescent="0.55000000000000004">
      <c r="A6711" t="s">
        <v>176</v>
      </c>
      <c r="B6711" t="s">
        <v>11</v>
      </c>
      <c r="C6711">
        <v>2608187.5926000001</v>
      </c>
      <c r="D6711" t="s">
        <v>302</v>
      </c>
      <c r="E6711">
        <v>2025</v>
      </c>
      <c r="F6711">
        <v>6</v>
      </c>
    </row>
    <row r="6712" spans="1:6" x14ac:dyDescent="0.55000000000000004">
      <c r="A6712" t="s">
        <v>176</v>
      </c>
      <c r="B6712" t="s">
        <v>12</v>
      </c>
      <c r="C6712">
        <v>9300</v>
      </c>
      <c r="D6712" t="s">
        <v>302</v>
      </c>
      <c r="E6712">
        <v>2025</v>
      </c>
      <c r="F6712">
        <v>6</v>
      </c>
    </row>
    <row r="6713" spans="1:6" x14ac:dyDescent="0.55000000000000004">
      <c r="A6713" t="s">
        <v>176</v>
      </c>
      <c r="B6713" t="s">
        <v>13</v>
      </c>
      <c r="C6713">
        <v>22000</v>
      </c>
      <c r="D6713" t="s">
        <v>302</v>
      </c>
      <c r="E6713">
        <v>2025</v>
      </c>
      <c r="F6713">
        <v>6</v>
      </c>
    </row>
    <row r="6714" spans="1:6" x14ac:dyDescent="0.55000000000000004">
      <c r="A6714" t="s">
        <v>176</v>
      </c>
      <c r="B6714" t="s">
        <v>14</v>
      </c>
      <c r="C6714">
        <v>1000</v>
      </c>
      <c r="D6714" t="s">
        <v>302</v>
      </c>
      <c r="E6714">
        <v>2025</v>
      </c>
      <c r="F6714">
        <v>6</v>
      </c>
    </row>
    <row r="6715" spans="1:6" x14ac:dyDescent="0.55000000000000004">
      <c r="A6715" t="s">
        <v>176</v>
      </c>
      <c r="B6715" t="s">
        <v>15</v>
      </c>
      <c r="C6715">
        <v>1090220.0153000001</v>
      </c>
      <c r="D6715" t="s">
        <v>302</v>
      </c>
      <c r="E6715">
        <v>2025</v>
      </c>
      <c r="F6715">
        <v>6</v>
      </c>
    </row>
    <row r="6716" spans="1:6" x14ac:dyDescent="0.55000000000000004">
      <c r="A6716" t="s">
        <v>176</v>
      </c>
      <c r="B6716" t="s">
        <v>17</v>
      </c>
      <c r="C6716">
        <v>106010.6994</v>
      </c>
      <c r="D6716" t="s">
        <v>302</v>
      </c>
      <c r="E6716">
        <v>2025</v>
      </c>
      <c r="F6716">
        <v>6</v>
      </c>
    </row>
    <row r="6717" spans="1:6" x14ac:dyDescent="0.55000000000000004">
      <c r="A6717" t="s">
        <v>176</v>
      </c>
      <c r="B6717" t="s">
        <v>18</v>
      </c>
      <c r="C6717">
        <v>39852.682999999997</v>
      </c>
      <c r="D6717" t="s">
        <v>302</v>
      </c>
      <c r="E6717">
        <v>2025</v>
      </c>
      <c r="F6717">
        <v>6</v>
      </c>
    </row>
    <row r="6718" spans="1:6" x14ac:dyDescent="0.55000000000000004">
      <c r="A6718" t="s">
        <v>176</v>
      </c>
      <c r="B6718" t="s">
        <v>19</v>
      </c>
      <c r="C6718">
        <v>789.99570000000006</v>
      </c>
      <c r="D6718" t="s">
        <v>302</v>
      </c>
      <c r="E6718">
        <v>2025</v>
      </c>
      <c r="F6718">
        <v>6</v>
      </c>
    </row>
    <row r="6719" spans="1:6" x14ac:dyDescent="0.55000000000000004">
      <c r="A6719" t="s">
        <v>176</v>
      </c>
      <c r="B6719" t="s">
        <v>20</v>
      </c>
      <c r="C6719">
        <v>18000</v>
      </c>
      <c r="D6719" t="s">
        <v>302</v>
      </c>
      <c r="E6719">
        <v>2025</v>
      </c>
      <c r="F6719">
        <v>6</v>
      </c>
    </row>
    <row r="6720" spans="1:6" x14ac:dyDescent="0.55000000000000004">
      <c r="A6720" t="s">
        <v>176</v>
      </c>
      <c r="B6720" t="s">
        <v>21</v>
      </c>
      <c r="C6720">
        <v>13599.674999999999</v>
      </c>
      <c r="D6720" t="s">
        <v>302</v>
      </c>
      <c r="E6720">
        <v>2025</v>
      </c>
      <c r="F6720">
        <v>6</v>
      </c>
    </row>
    <row r="6721" spans="1:6" x14ac:dyDescent="0.55000000000000004">
      <c r="A6721" t="s">
        <v>176</v>
      </c>
      <c r="B6721" t="s">
        <v>22</v>
      </c>
      <c r="C6721">
        <v>39815.631999999998</v>
      </c>
      <c r="D6721" t="s">
        <v>302</v>
      </c>
      <c r="E6721">
        <v>2025</v>
      </c>
      <c r="F6721">
        <v>6</v>
      </c>
    </row>
    <row r="6722" spans="1:6" x14ac:dyDescent="0.55000000000000004">
      <c r="A6722" t="s">
        <v>176</v>
      </c>
      <c r="B6722" t="s">
        <v>23</v>
      </c>
      <c r="C6722">
        <v>61377.549599999998</v>
      </c>
      <c r="D6722" t="s">
        <v>302</v>
      </c>
      <c r="E6722">
        <v>2025</v>
      </c>
      <c r="F6722">
        <v>6</v>
      </c>
    </row>
    <row r="6723" spans="1:6" x14ac:dyDescent="0.55000000000000004">
      <c r="A6723" t="s">
        <v>176</v>
      </c>
      <c r="B6723" t="s">
        <v>25</v>
      </c>
      <c r="C6723">
        <v>828000</v>
      </c>
      <c r="D6723" t="s">
        <v>302</v>
      </c>
      <c r="E6723">
        <v>2025</v>
      </c>
      <c r="F6723">
        <v>6</v>
      </c>
    </row>
    <row r="6724" spans="1:6" x14ac:dyDescent="0.55000000000000004">
      <c r="A6724" t="s">
        <v>176</v>
      </c>
      <c r="B6724" t="s">
        <v>27</v>
      </c>
      <c r="C6724">
        <v>289.95499999999998</v>
      </c>
      <c r="D6724" t="s">
        <v>302</v>
      </c>
      <c r="E6724">
        <v>2025</v>
      </c>
      <c r="F6724">
        <v>6</v>
      </c>
    </row>
    <row r="6725" spans="1:6" x14ac:dyDescent="0.55000000000000004">
      <c r="A6725" t="s">
        <v>176</v>
      </c>
      <c r="B6725" t="s">
        <v>28</v>
      </c>
      <c r="C6725">
        <v>413313.73940000002</v>
      </c>
      <c r="D6725" t="s">
        <v>302</v>
      </c>
      <c r="E6725">
        <v>2025</v>
      </c>
      <c r="F6725">
        <v>6</v>
      </c>
    </row>
    <row r="6726" spans="1:6" x14ac:dyDescent="0.55000000000000004">
      <c r="A6726" t="s">
        <v>176</v>
      </c>
      <c r="B6726" t="s">
        <v>29</v>
      </c>
      <c r="C6726">
        <v>5583.3334000000004</v>
      </c>
      <c r="D6726" t="s">
        <v>302</v>
      </c>
      <c r="E6726">
        <v>2025</v>
      </c>
      <c r="F6726">
        <v>6</v>
      </c>
    </row>
    <row r="6727" spans="1:6" x14ac:dyDescent="0.55000000000000004">
      <c r="A6727" t="s">
        <v>176</v>
      </c>
      <c r="B6727" t="s">
        <v>30</v>
      </c>
      <c r="C6727">
        <v>91.787599999999998</v>
      </c>
      <c r="D6727" t="s">
        <v>302</v>
      </c>
      <c r="E6727">
        <v>2025</v>
      </c>
      <c r="F6727">
        <v>6</v>
      </c>
    </row>
    <row r="6728" spans="1:6" x14ac:dyDescent="0.55000000000000004">
      <c r="A6728" t="s">
        <v>176</v>
      </c>
      <c r="B6728" t="s">
        <v>31</v>
      </c>
      <c r="C6728">
        <v>340</v>
      </c>
      <c r="D6728" t="s">
        <v>302</v>
      </c>
      <c r="E6728">
        <v>2025</v>
      </c>
      <c r="F6728">
        <v>6</v>
      </c>
    </row>
    <row r="6729" spans="1:6" x14ac:dyDescent="0.55000000000000004">
      <c r="A6729" t="s">
        <v>176</v>
      </c>
      <c r="B6729" t="s">
        <v>32</v>
      </c>
      <c r="C6729">
        <v>640772.93000000005</v>
      </c>
      <c r="D6729" t="s">
        <v>302</v>
      </c>
      <c r="E6729">
        <v>2025</v>
      </c>
      <c r="F6729">
        <v>6</v>
      </c>
    </row>
    <row r="6730" spans="1:6" x14ac:dyDescent="0.55000000000000004">
      <c r="A6730" t="s">
        <v>176</v>
      </c>
      <c r="B6730" t="s">
        <v>33</v>
      </c>
      <c r="C6730">
        <v>566308.99100000004</v>
      </c>
      <c r="D6730" t="s">
        <v>302</v>
      </c>
      <c r="E6730">
        <v>2025</v>
      </c>
      <c r="F6730">
        <v>6</v>
      </c>
    </row>
    <row r="6731" spans="1:6" x14ac:dyDescent="0.55000000000000004">
      <c r="A6731" t="s">
        <v>176</v>
      </c>
      <c r="B6731" t="s">
        <v>34</v>
      </c>
      <c r="C6731">
        <v>863808.83239999996</v>
      </c>
      <c r="D6731" t="s">
        <v>302</v>
      </c>
      <c r="E6731">
        <v>2025</v>
      </c>
      <c r="F6731">
        <v>6</v>
      </c>
    </row>
    <row r="6732" spans="1:6" x14ac:dyDescent="0.55000000000000004">
      <c r="A6732" t="s">
        <v>176</v>
      </c>
      <c r="B6732" t="s">
        <v>35</v>
      </c>
      <c r="C6732">
        <v>1458.5071</v>
      </c>
      <c r="D6732" t="s">
        <v>302</v>
      </c>
      <c r="E6732">
        <v>2025</v>
      </c>
      <c r="F6732">
        <v>6</v>
      </c>
    </row>
    <row r="6733" spans="1:6" x14ac:dyDescent="0.55000000000000004">
      <c r="A6733" t="s">
        <v>176</v>
      </c>
      <c r="B6733" t="s">
        <v>36</v>
      </c>
      <c r="C6733">
        <v>80500.002299999993</v>
      </c>
      <c r="D6733" t="s">
        <v>302</v>
      </c>
      <c r="E6733">
        <v>2025</v>
      </c>
      <c r="F6733">
        <v>6</v>
      </c>
    </row>
    <row r="6734" spans="1:6" x14ac:dyDescent="0.55000000000000004">
      <c r="A6734" t="s">
        <v>176</v>
      </c>
      <c r="B6734" t="s">
        <v>37</v>
      </c>
      <c r="C6734">
        <v>77999.9954</v>
      </c>
      <c r="D6734" t="s">
        <v>302</v>
      </c>
      <c r="E6734">
        <v>2025</v>
      </c>
      <c r="F6734">
        <v>6</v>
      </c>
    </row>
    <row r="6735" spans="1:6" x14ac:dyDescent="0.55000000000000004">
      <c r="A6735" t="s">
        <v>176</v>
      </c>
      <c r="B6735" t="s">
        <v>39</v>
      </c>
      <c r="C6735">
        <v>5060.45</v>
      </c>
      <c r="D6735" t="s">
        <v>302</v>
      </c>
      <c r="E6735">
        <v>2025</v>
      </c>
      <c r="F6735">
        <v>6</v>
      </c>
    </row>
    <row r="6736" spans="1:6" x14ac:dyDescent="0.55000000000000004">
      <c r="A6736" t="s">
        <v>176</v>
      </c>
      <c r="B6736" t="s">
        <v>40</v>
      </c>
      <c r="C6736">
        <v>1149.8</v>
      </c>
      <c r="D6736" t="s">
        <v>302</v>
      </c>
      <c r="E6736">
        <v>2025</v>
      </c>
      <c r="F6736">
        <v>6</v>
      </c>
    </row>
    <row r="6737" spans="1:6" x14ac:dyDescent="0.55000000000000004">
      <c r="A6737" t="s">
        <v>176</v>
      </c>
      <c r="B6737" t="s">
        <v>41</v>
      </c>
      <c r="C6737">
        <v>367199.9926</v>
      </c>
      <c r="D6737" t="s">
        <v>302</v>
      </c>
      <c r="E6737">
        <v>2025</v>
      </c>
      <c r="F6737">
        <v>6</v>
      </c>
    </row>
    <row r="6738" spans="1:6" x14ac:dyDescent="0.55000000000000004">
      <c r="A6738" t="s">
        <v>176</v>
      </c>
      <c r="B6738" t="s">
        <v>42</v>
      </c>
      <c r="C6738">
        <v>219.21960000000001</v>
      </c>
      <c r="D6738" t="s">
        <v>302</v>
      </c>
      <c r="E6738">
        <v>2025</v>
      </c>
      <c r="F6738">
        <v>6</v>
      </c>
    </row>
    <row r="6739" spans="1:6" x14ac:dyDescent="0.55000000000000004">
      <c r="A6739" t="s">
        <v>176</v>
      </c>
      <c r="B6739" t="s">
        <v>43</v>
      </c>
      <c r="C6739">
        <v>357883.40850000002</v>
      </c>
      <c r="D6739" t="s">
        <v>302</v>
      </c>
      <c r="E6739">
        <v>2025</v>
      </c>
      <c r="F6739">
        <v>6</v>
      </c>
    </row>
    <row r="6740" spans="1:6" x14ac:dyDescent="0.55000000000000004">
      <c r="A6740" t="s">
        <v>176</v>
      </c>
      <c r="B6740" t="s">
        <v>44</v>
      </c>
      <c r="C6740">
        <v>0</v>
      </c>
      <c r="D6740" t="s">
        <v>302</v>
      </c>
      <c r="E6740">
        <v>2025</v>
      </c>
      <c r="F6740">
        <v>6</v>
      </c>
    </row>
    <row r="6741" spans="1:6" x14ac:dyDescent="0.55000000000000004">
      <c r="A6741" t="s">
        <v>176</v>
      </c>
      <c r="B6741" t="s">
        <v>45</v>
      </c>
      <c r="C6741">
        <v>2645.6433000000002</v>
      </c>
      <c r="D6741" t="s">
        <v>302</v>
      </c>
      <c r="E6741">
        <v>2025</v>
      </c>
      <c r="F6741">
        <v>6</v>
      </c>
    </row>
    <row r="6742" spans="1:6" x14ac:dyDescent="0.55000000000000004">
      <c r="A6742" t="s">
        <v>176</v>
      </c>
      <c r="B6742" t="s">
        <v>46</v>
      </c>
      <c r="C6742">
        <v>56069.33</v>
      </c>
      <c r="D6742" t="s">
        <v>302</v>
      </c>
      <c r="E6742">
        <v>2025</v>
      </c>
      <c r="F6742">
        <v>6</v>
      </c>
    </row>
    <row r="6743" spans="1:6" x14ac:dyDescent="0.55000000000000004">
      <c r="A6743" t="s">
        <v>176</v>
      </c>
      <c r="B6743" t="s">
        <v>47</v>
      </c>
      <c r="C6743">
        <v>0</v>
      </c>
      <c r="D6743" t="s">
        <v>302</v>
      </c>
      <c r="E6743">
        <v>2025</v>
      </c>
      <c r="F6743">
        <v>6</v>
      </c>
    </row>
    <row r="6744" spans="1:6" x14ac:dyDescent="0.55000000000000004">
      <c r="A6744" t="s">
        <v>176</v>
      </c>
      <c r="B6744" t="s">
        <v>48</v>
      </c>
      <c r="C6744">
        <v>325834.63799999998</v>
      </c>
      <c r="D6744" t="s">
        <v>302</v>
      </c>
      <c r="E6744">
        <v>2025</v>
      </c>
      <c r="F6744">
        <v>6</v>
      </c>
    </row>
    <row r="6745" spans="1:6" x14ac:dyDescent="0.55000000000000004">
      <c r="A6745" t="s">
        <v>176</v>
      </c>
      <c r="B6745" t="s">
        <v>49</v>
      </c>
      <c r="C6745">
        <v>337.23500000000001</v>
      </c>
      <c r="D6745" t="s">
        <v>302</v>
      </c>
      <c r="E6745">
        <v>2025</v>
      </c>
      <c r="F6745">
        <v>6</v>
      </c>
    </row>
    <row r="6746" spans="1:6" x14ac:dyDescent="0.55000000000000004">
      <c r="A6746" t="s">
        <v>176</v>
      </c>
      <c r="B6746" t="s">
        <v>50</v>
      </c>
      <c r="C6746">
        <v>19099.995699999999</v>
      </c>
      <c r="D6746" t="s">
        <v>302</v>
      </c>
      <c r="E6746">
        <v>2025</v>
      </c>
      <c r="F6746">
        <v>6</v>
      </c>
    </row>
    <row r="6747" spans="1:6" x14ac:dyDescent="0.55000000000000004">
      <c r="A6747" t="s">
        <v>176</v>
      </c>
      <c r="B6747" t="s">
        <v>51</v>
      </c>
      <c r="C6747">
        <v>6000</v>
      </c>
      <c r="D6747" t="s">
        <v>302</v>
      </c>
      <c r="E6747">
        <v>2025</v>
      </c>
      <c r="F6747">
        <v>6</v>
      </c>
    </row>
    <row r="6748" spans="1:6" x14ac:dyDescent="0.55000000000000004">
      <c r="A6748" t="s">
        <v>176</v>
      </c>
      <c r="B6748" t="s">
        <v>52</v>
      </c>
      <c r="C6748">
        <v>19.71</v>
      </c>
      <c r="D6748" t="s">
        <v>302</v>
      </c>
      <c r="E6748">
        <v>2025</v>
      </c>
      <c r="F6748">
        <v>6</v>
      </c>
    </row>
    <row r="6749" spans="1:6" x14ac:dyDescent="0.55000000000000004">
      <c r="A6749" t="s">
        <v>176</v>
      </c>
      <c r="B6749" t="s">
        <v>53</v>
      </c>
      <c r="C6749">
        <v>12871.26</v>
      </c>
      <c r="D6749" t="s">
        <v>302</v>
      </c>
      <c r="E6749">
        <v>2025</v>
      </c>
      <c r="F6749">
        <v>6</v>
      </c>
    </row>
    <row r="6750" spans="1:6" x14ac:dyDescent="0.55000000000000004">
      <c r="A6750" t="s">
        <v>176</v>
      </c>
      <c r="B6750" t="s">
        <v>54</v>
      </c>
      <c r="C6750">
        <v>20351.619500000001</v>
      </c>
      <c r="D6750" t="s">
        <v>302</v>
      </c>
      <c r="E6750">
        <v>2025</v>
      </c>
      <c r="F6750">
        <v>6</v>
      </c>
    </row>
    <row r="6751" spans="1:6" x14ac:dyDescent="0.55000000000000004">
      <c r="A6751" t="s">
        <v>176</v>
      </c>
      <c r="B6751" t="s">
        <v>55</v>
      </c>
      <c r="C6751">
        <v>26181.383300000001</v>
      </c>
      <c r="D6751" t="s">
        <v>302</v>
      </c>
      <c r="E6751">
        <v>2025</v>
      </c>
      <c r="F6751">
        <v>6</v>
      </c>
    </row>
    <row r="6752" spans="1:6" x14ac:dyDescent="0.55000000000000004">
      <c r="A6752" t="s">
        <v>176</v>
      </c>
      <c r="B6752" t="s">
        <v>56</v>
      </c>
      <c r="C6752">
        <v>9227.6267000000007</v>
      </c>
      <c r="D6752" t="s">
        <v>302</v>
      </c>
      <c r="E6752">
        <v>2025</v>
      </c>
      <c r="F6752">
        <v>6</v>
      </c>
    </row>
    <row r="6753" spans="1:6" x14ac:dyDescent="0.55000000000000004">
      <c r="A6753" t="s">
        <v>176</v>
      </c>
      <c r="B6753" t="s">
        <v>57</v>
      </c>
      <c r="C6753">
        <v>99.995900000000006</v>
      </c>
      <c r="D6753" t="s">
        <v>302</v>
      </c>
      <c r="E6753">
        <v>2025</v>
      </c>
      <c r="F6753">
        <v>6</v>
      </c>
    </row>
    <row r="6754" spans="1:6" x14ac:dyDescent="0.55000000000000004">
      <c r="A6754" t="s">
        <v>176</v>
      </c>
      <c r="B6754" t="s">
        <v>58</v>
      </c>
      <c r="C6754">
        <v>1010002</v>
      </c>
      <c r="D6754" t="s">
        <v>302</v>
      </c>
      <c r="E6754">
        <v>2025</v>
      </c>
      <c r="F6754">
        <v>6</v>
      </c>
    </row>
    <row r="6755" spans="1:6" x14ac:dyDescent="0.55000000000000004">
      <c r="A6755" t="s">
        <v>176</v>
      </c>
      <c r="B6755" t="s">
        <v>59</v>
      </c>
      <c r="C6755">
        <v>4300</v>
      </c>
      <c r="D6755" t="s">
        <v>302</v>
      </c>
      <c r="E6755">
        <v>2025</v>
      </c>
      <c r="F6755">
        <v>6</v>
      </c>
    </row>
    <row r="6756" spans="1:6" x14ac:dyDescent="0.55000000000000004">
      <c r="A6756" t="s">
        <v>176</v>
      </c>
      <c r="B6756" t="s">
        <v>60</v>
      </c>
      <c r="C6756">
        <v>2101544.4715</v>
      </c>
      <c r="D6756" t="s">
        <v>302</v>
      </c>
      <c r="E6756">
        <v>2025</v>
      </c>
      <c r="F6756">
        <v>6</v>
      </c>
    </row>
    <row r="6757" spans="1:6" x14ac:dyDescent="0.55000000000000004">
      <c r="A6757" t="s">
        <v>176</v>
      </c>
      <c r="B6757" t="s">
        <v>61</v>
      </c>
      <c r="C6757">
        <v>4900.0033000000003</v>
      </c>
      <c r="D6757" t="s">
        <v>302</v>
      </c>
      <c r="E6757">
        <v>2025</v>
      </c>
      <c r="F6757">
        <v>6</v>
      </c>
    </row>
    <row r="6758" spans="1:6" x14ac:dyDescent="0.55000000000000004">
      <c r="A6758" t="s">
        <v>176</v>
      </c>
      <c r="B6758" t="s">
        <v>62</v>
      </c>
      <c r="C6758">
        <v>2056.9333000000001</v>
      </c>
      <c r="D6758" t="s">
        <v>302</v>
      </c>
      <c r="E6758">
        <v>2025</v>
      </c>
      <c r="F6758">
        <v>6</v>
      </c>
    </row>
    <row r="6759" spans="1:6" x14ac:dyDescent="0.55000000000000004">
      <c r="A6759" t="s">
        <v>176</v>
      </c>
      <c r="B6759" t="s">
        <v>63</v>
      </c>
      <c r="C6759">
        <v>0</v>
      </c>
      <c r="D6759" t="s">
        <v>302</v>
      </c>
      <c r="E6759">
        <v>2025</v>
      </c>
      <c r="F6759">
        <v>6</v>
      </c>
    </row>
    <row r="6760" spans="1:6" x14ac:dyDescent="0.55000000000000004">
      <c r="A6760" t="s">
        <v>177</v>
      </c>
      <c r="B6760" t="s">
        <v>4</v>
      </c>
      <c r="C6760">
        <v>11980728.1501</v>
      </c>
      <c r="D6760" t="s">
        <v>303</v>
      </c>
      <c r="E6760">
        <v>2025</v>
      </c>
      <c r="F6760">
        <v>7</v>
      </c>
    </row>
    <row r="6761" spans="1:6" x14ac:dyDescent="0.55000000000000004">
      <c r="A6761" t="s">
        <v>177</v>
      </c>
      <c r="B6761" t="s">
        <v>5</v>
      </c>
      <c r="C6761">
        <v>1253418.7006000001</v>
      </c>
      <c r="D6761" t="s">
        <v>303</v>
      </c>
      <c r="E6761">
        <v>2025</v>
      </c>
      <c r="F6761">
        <v>7</v>
      </c>
    </row>
    <row r="6762" spans="1:6" x14ac:dyDescent="0.55000000000000004">
      <c r="A6762" t="s">
        <v>177</v>
      </c>
      <c r="B6762" t="s">
        <v>6</v>
      </c>
      <c r="C6762">
        <v>2771567.8497000001</v>
      </c>
      <c r="D6762" t="s">
        <v>303</v>
      </c>
      <c r="E6762">
        <v>2025</v>
      </c>
      <c r="F6762">
        <v>7</v>
      </c>
    </row>
    <row r="6763" spans="1:6" x14ac:dyDescent="0.55000000000000004">
      <c r="A6763" t="s">
        <v>177</v>
      </c>
      <c r="B6763" t="s">
        <v>7</v>
      </c>
      <c r="C6763">
        <v>3106561.0011</v>
      </c>
      <c r="D6763" t="s">
        <v>303</v>
      </c>
      <c r="E6763">
        <v>2025</v>
      </c>
      <c r="F6763">
        <v>7</v>
      </c>
    </row>
    <row r="6764" spans="1:6" x14ac:dyDescent="0.55000000000000004">
      <c r="A6764" t="s">
        <v>177</v>
      </c>
      <c r="B6764" t="s">
        <v>8</v>
      </c>
      <c r="C6764">
        <v>4849180.5987</v>
      </c>
      <c r="D6764" t="s">
        <v>303</v>
      </c>
      <c r="E6764">
        <v>2025</v>
      </c>
      <c r="F6764">
        <v>7</v>
      </c>
    </row>
    <row r="6765" spans="1:6" x14ac:dyDescent="0.55000000000000004">
      <c r="A6765" t="s">
        <v>177</v>
      </c>
      <c r="B6765" t="s">
        <v>9</v>
      </c>
      <c r="C6765">
        <v>707.67340000000002</v>
      </c>
      <c r="D6765" t="s">
        <v>303</v>
      </c>
      <c r="E6765">
        <v>2025</v>
      </c>
      <c r="F6765">
        <v>7</v>
      </c>
    </row>
    <row r="6766" spans="1:6" x14ac:dyDescent="0.55000000000000004">
      <c r="A6766" t="s">
        <v>177</v>
      </c>
      <c r="B6766" t="s">
        <v>10</v>
      </c>
      <c r="C6766">
        <v>1784.4713999999999</v>
      </c>
      <c r="D6766" t="s">
        <v>303</v>
      </c>
      <c r="E6766">
        <v>2025</v>
      </c>
      <c r="F6766">
        <v>7</v>
      </c>
    </row>
    <row r="6767" spans="1:6" x14ac:dyDescent="0.55000000000000004">
      <c r="A6767" t="s">
        <v>177</v>
      </c>
      <c r="B6767" t="s">
        <v>11</v>
      </c>
      <c r="C6767">
        <v>2898313.1976000001</v>
      </c>
      <c r="D6767" t="s">
        <v>303</v>
      </c>
      <c r="E6767">
        <v>2025</v>
      </c>
      <c r="F6767">
        <v>7</v>
      </c>
    </row>
    <row r="6768" spans="1:6" x14ac:dyDescent="0.55000000000000004">
      <c r="A6768" t="s">
        <v>177</v>
      </c>
      <c r="B6768" t="s">
        <v>12</v>
      </c>
      <c r="C6768">
        <v>10000</v>
      </c>
      <c r="D6768" t="s">
        <v>303</v>
      </c>
      <c r="E6768">
        <v>2025</v>
      </c>
      <c r="F6768">
        <v>7</v>
      </c>
    </row>
    <row r="6769" spans="1:6" x14ac:dyDescent="0.55000000000000004">
      <c r="A6769" t="s">
        <v>177</v>
      </c>
      <c r="B6769" t="s">
        <v>13</v>
      </c>
      <c r="C6769">
        <v>19244.900000000001</v>
      </c>
      <c r="D6769" t="s">
        <v>303</v>
      </c>
      <c r="E6769">
        <v>2025</v>
      </c>
      <c r="F6769">
        <v>7</v>
      </c>
    </row>
    <row r="6770" spans="1:6" x14ac:dyDescent="0.55000000000000004">
      <c r="A6770" t="s">
        <v>177</v>
      </c>
      <c r="B6770" t="s">
        <v>14</v>
      </c>
      <c r="C6770">
        <v>100</v>
      </c>
      <c r="D6770" t="s">
        <v>303</v>
      </c>
      <c r="E6770">
        <v>2025</v>
      </c>
      <c r="F6770">
        <v>7</v>
      </c>
    </row>
    <row r="6771" spans="1:6" x14ac:dyDescent="0.55000000000000004">
      <c r="A6771" t="s">
        <v>177</v>
      </c>
      <c r="B6771" t="s">
        <v>15</v>
      </c>
      <c r="C6771">
        <v>1180207.7058999999</v>
      </c>
      <c r="D6771" t="s">
        <v>303</v>
      </c>
      <c r="E6771">
        <v>2025</v>
      </c>
      <c r="F6771">
        <v>7</v>
      </c>
    </row>
    <row r="6772" spans="1:6" x14ac:dyDescent="0.55000000000000004">
      <c r="A6772" t="s">
        <v>177</v>
      </c>
      <c r="B6772" t="s">
        <v>17</v>
      </c>
      <c r="C6772">
        <v>130479.6137</v>
      </c>
      <c r="D6772" t="s">
        <v>303</v>
      </c>
      <c r="E6772">
        <v>2025</v>
      </c>
      <c r="F6772">
        <v>7</v>
      </c>
    </row>
    <row r="6773" spans="1:6" x14ac:dyDescent="0.55000000000000004">
      <c r="A6773" t="s">
        <v>177</v>
      </c>
      <c r="B6773" t="s">
        <v>18</v>
      </c>
      <c r="C6773">
        <v>51506.133300000001</v>
      </c>
      <c r="D6773" t="s">
        <v>303</v>
      </c>
      <c r="E6773">
        <v>2025</v>
      </c>
      <c r="F6773">
        <v>7</v>
      </c>
    </row>
    <row r="6774" spans="1:6" x14ac:dyDescent="0.55000000000000004">
      <c r="A6774" t="s">
        <v>177</v>
      </c>
      <c r="B6774" t="s">
        <v>19</v>
      </c>
      <c r="C6774">
        <v>1299.9992999999999</v>
      </c>
      <c r="D6774" t="s">
        <v>303</v>
      </c>
      <c r="E6774">
        <v>2025</v>
      </c>
      <c r="F6774">
        <v>7</v>
      </c>
    </row>
    <row r="6775" spans="1:6" x14ac:dyDescent="0.55000000000000004">
      <c r="A6775" t="s">
        <v>177</v>
      </c>
      <c r="B6775" t="s">
        <v>20</v>
      </c>
      <c r="C6775">
        <v>18900</v>
      </c>
      <c r="D6775" t="s">
        <v>303</v>
      </c>
      <c r="E6775">
        <v>2025</v>
      </c>
      <c r="F6775">
        <v>7</v>
      </c>
    </row>
    <row r="6776" spans="1:6" x14ac:dyDescent="0.55000000000000004">
      <c r="A6776" t="s">
        <v>177</v>
      </c>
      <c r="B6776" t="s">
        <v>21</v>
      </c>
      <c r="C6776">
        <v>1696.1772000000001</v>
      </c>
      <c r="D6776" t="s">
        <v>303</v>
      </c>
      <c r="E6776">
        <v>2025</v>
      </c>
      <c r="F6776">
        <v>7</v>
      </c>
    </row>
    <row r="6777" spans="1:6" x14ac:dyDescent="0.55000000000000004">
      <c r="A6777" t="s">
        <v>177</v>
      </c>
      <c r="B6777" t="s">
        <v>22</v>
      </c>
      <c r="C6777">
        <v>44948.482000000004</v>
      </c>
      <c r="D6777" t="s">
        <v>303</v>
      </c>
      <c r="E6777">
        <v>2025</v>
      </c>
      <c r="F6777">
        <v>7</v>
      </c>
    </row>
    <row r="6778" spans="1:6" x14ac:dyDescent="0.55000000000000004">
      <c r="A6778" t="s">
        <v>177</v>
      </c>
      <c r="B6778" t="s">
        <v>23</v>
      </c>
      <c r="C6778">
        <v>56966.8632</v>
      </c>
      <c r="D6778" t="s">
        <v>303</v>
      </c>
      <c r="E6778">
        <v>2025</v>
      </c>
      <c r="F6778">
        <v>7</v>
      </c>
    </row>
    <row r="6779" spans="1:6" x14ac:dyDescent="0.55000000000000004">
      <c r="A6779" t="s">
        <v>177</v>
      </c>
      <c r="B6779" t="s">
        <v>25</v>
      </c>
      <c r="C6779">
        <v>810000</v>
      </c>
      <c r="D6779" t="s">
        <v>303</v>
      </c>
      <c r="E6779">
        <v>2025</v>
      </c>
      <c r="F6779">
        <v>7</v>
      </c>
    </row>
    <row r="6780" spans="1:6" x14ac:dyDescent="0.55000000000000004">
      <c r="A6780" t="s">
        <v>177</v>
      </c>
      <c r="B6780" t="s">
        <v>27</v>
      </c>
      <c r="C6780">
        <v>326.1343</v>
      </c>
      <c r="D6780" t="s">
        <v>303</v>
      </c>
      <c r="E6780">
        <v>2025</v>
      </c>
      <c r="F6780">
        <v>7</v>
      </c>
    </row>
    <row r="6781" spans="1:6" x14ac:dyDescent="0.55000000000000004">
      <c r="A6781" t="s">
        <v>177</v>
      </c>
      <c r="B6781" t="s">
        <v>28</v>
      </c>
      <c r="C6781">
        <v>274984.13150000002</v>
      </c>
      <c r="D6781" t="s">
        <v>303</v>
      </c>
      <c r="E6781">
        <v>2025</v>
      </c>
      <c r="F6781">
        <v>7</v>
      </c>
    </row>
    <row r="6782" spans="1:6" x14ac:dyDescent="0.55000000000000004">
      <c r="A6782" t="s">
        <v>177</v>
      </c>
      <c r="B6782" t="s">
        <v>29</v>
      </c>
      <c r="C6782">
        <v>5193.3334000000004</v>
      </c>
      <c r="D6782" t="s">
        <v>303</v>
      </c>
      <c r="E6782">
        <v>2025</v>
      </c>
      <c r="F6782">
        <v>7</v>
      </c>
    </row>
    <row r="6783" spans="1:6" x14ac:dyDescent="0.55000000000000004">
      <c r="A6783" t="s">
        <v>177</v>
      </c>
      <c r="B6783" t="s">
        <v>30</v>
      </c>
      <c r="C6783">
        <v>0</v>
      </c>
      <c r="D6783" t="s">
        <v>303</v>
      </c>
      <c r="E6783">
        <v>2025</v>
      </c>
      <c r="F6783">
        <v>7</v>
      </c>
    </row>
    <row r="6784" spans="1:6" x14ac:dyDescent="0.55000000000000004">
      <c r="A6784" t="s">
        <v>177</v>
      </c>
      <c r="B6784" t="s">
        <v>31</v>
      </c>
      <c r="C6784">
        <v>230</v>
      </c>
      <c r="D6784" t="s">
        <v>303</v>
      </c>
      <c r="E6784">
        <v>2025</v>
      </c>
      <c r="F6784">
        <v>7</v>
      </c>
    </row>
    <row r="6785" spans="1:6" x14ac:dyDescent="0.55000000000000004">
      <c r="A6785" t="s">
        <v>177</v>
      </c>
      <c r="B6785" t="s">
        <v>32</v>
      </c>
      <c r="C6785">
        <v>458718.21</v>
      </c>
      <c r="D6785" t="s">
        <v>303</v>
      </c>
      <c r="E6785">
        <v>2025</v>
      </c>
      <c r="F6785">
        <v>7</v>
      </c>
    </row>
    <row r="6786" spans="1:6" x14ac:dyDescent="0.55000000000000004">
      <c r="A6786" t="s">
        <v>177</v>
      </c>
      <c r="B6786" t="s">
        <v>33</v>
      </c>
      <c r="C6786">
        <v>569274.33689999999</v>
      </c>
      <c r="D6786" t="s">
        <v>303</v>
      </c>
      <c r="E6786">
        <v>2025</v>
      </c>
      <c r="F6786">
        <v>7</v>
      </c>
    </row>
    <row r="6787" spans="1:6" x14ac:dyDescent="0.55000000000000004">
      <c r="A6787" t="s">
        <v>177</v>
      </c>
      <c r="B6787" t="s">
        <v>34</v>
      </c>
      <c r="C6787">
        <v>955162.91639999999</v>
      </c>
      <c r="D6787" t="s">
        <v>303</v>
      </c>
      <c r="E6787">
        <v>2025</v>
      </c>
      <c r="F6787">
        <v>7</v>
      </c>
    </row>
    <row r="6788" spans="1:6" x14ac:dyDescent="0.55000000000000004">
      <c r="A6788" t="s">
        <v>177</v>
      </c>
      <c r="B6788" t="s">
        <v>35</v>
      </c>
      <c r="C6788">
        <v>1959.7075</v>
      </c>
      <c r="D6788" t="s">
        <v>303</v>
      </c>
      <c r="E6788">
        <v>2025</v>
      </c>
      <c r="F6788">
        <v>7</v>
      </c>
    </row>
    <row r="6789" spans="1:6" x14ac:dyDescent="0.55000000000000004">
      <c r="A6789" t="s">
        <v>177</v>
      </c>
      <c r="B6789" t="s">
        <v>36</v>
      </c>
      <c r="C6789">
        <v>70399.994699999996</v>
      </c>
      <c r="D6789" t="s">
        <v>303</v>
      </c>
      <c r="E6789">
        <v>2025</v>
      </c>
      <c r="F6789">
        <v>7</v>
      </c>
    </row>
    <row r="6790" spans="1:6" x14ac:dyDescent="0.55000000000000004">
      <c r="A6790" t="s">
        <v>177</v>
      </c>
      <c r="B6790" t="s">
        <v>37</v>
      </c>
      <c r="C6790">
        <v>75999.9954</v>
      </c>
      <c r="D6790" t="s">
        <v>303</v>
      </c>
      <c r="E6790">
        <v>2025</v>
      </c>
      <c r="F6790">
        <v>7</v>
      </c>
    </row>
    <row r="6791" spans="1:6" x14ac:dyDescent="0.55000000000000004">
      <c r="A6791" t="s">
        <v>177</v>
      </c>
      <c r="B6791" t="s">
        <v>39</v>
      </c>
      <c r="C6791">
        <v>679.8</v>
      </c>
      <c r="D6791" t="s">
        <v>303</v>
      </c>
      <c r="E6791">
        <v>2025</v>
      </c>
      <c r="F6791">
        <v>7</v>
      </c>
    </row>
    <row r="6792" spans="1:6" x14ac:dyDescent="0.55000000000000004">
      <c r="A6792" t="s">
        <v>177</v>
      </c>
      <c r="B6792" t="s">
        <v>40</v>
      </c>
      <c r="C6792">
        <v>969.99810000000002</v>
      </c>
      <c r="D6792" t="s">
        <v>303</v>
      </c>
      <c r="E6792">
        <v>2025</v>
      </c>
      <c r="F6792">
        <v>7</v>
      </c>
    </row>
    <row r="6793" spans="1:6" x14ac:dyDescent="0.55000000000000004">
      <c r="A6793" t="s">
        <v>177</v>
      </c>
      <c r="B6793" t="s">
        <v>41</v>
      </c>
      <c r="C6793">
        <v>396299.99339999998</v>
      </c>
      <c r="D6793" t="s">
        <v>303</v>
      </c>
      <c r="E6793">
        <v>2025</v>
      </c>
      <c r="F6793">
        <v>7</v>
      </c>
    </row>
    <row r="6794" spans="1:6" x14ac:dyDescent="0.55000000000000004">
      <c r="A6794" t="s">
        <v>177</v>
      </c>
      <c r="B6794" t="s">
        <v>42</v>
      </c>
      <c r="C6794">
        <v>123.6127</v>
      </c>
      <c r="D6794" t="s">
        <v>303</v>
      </c>
      <c r="E6794">
        <v>2025</v>
      </c>
      <c r="F6794">
        <v>7</v>
      </c>
    </row>
    <row r="6795" spans="1:6" x14ac:dyDescent="0.55000000000000004">
      <c r="A6795" t="s">
        <v>177</v>
      </c>
      <c r="B6795" t="s">
        <v>43</v>
      </c>
      <c r="C6795">
        <v>326182.35060000001</v>
      </c>
      <c r="D6795" t="s">
        <v>303</v>
      </c>
      <c r="E6795">
        <v>2025</v>
      </c>
      <c r="F6795">
        <v>7</v>
      </c>
    </row>
    <row r="6796" spans="1:6" x14ac:dyDescent="0.55000000000000004">
      <c r="A6796" t="s">
        <v>177</v>
      </c>
      <c r="B6796" t="s">
        <v>45</v>
      </c>
      <c r="C6796">
        <v>3719.3454000000002</v>
      </c>
      <c r="D6796" t="s">
        <v>303</v>
      </c>
      <c r="E6796">
        <v>2025</v>
      </c>
      <c r="F6796">
        <v>7</v>
      </c>
    </row>
    <row r="6797" spans="1:6" x14ac:dyDescent="0.55000000000000004">
      <c r="A6797" t="s">
        <v>177</v>
      </c>
      <c r="B6797" t="s">
        <v>46</v>
      </c>
      <c r="C6797">
        <v>100714</v>
      </c>
      <c r="D6797" t="s">
        <v>303</v>
      </c>
      <c r="E6797">
        <v>2025</v>
      </c>
      <c r="F6797">
        <v>7</v>
      </c>
    </row>
    <row r="6798" spans="1:6" x14ac:dyDescent="0.55000000000000004">
      <c r="A6798" t="s">
        <v>177</v>
      </c>
      <c r="B6798" t="s">
        <v>47</v>
      </c>
      <c r="C6798">
        <v>0.9325</v>
      </c>
      <c r="D6798" t="s">
        <v>303</v>
      </c>
      <c r="E6798">
        <v>2025</v>
      </c>
      <c r="F6798">
        <v>7</v>
      </c>
    </row>
    <row r="6799" spans="1:6" x14ac:dyDescent="0.55000000000000004">
      <c r="A6799" t="s">
        <v>177</v>
      </c>
      <c r="B6799" t="s">
        <v>48</v>
      </c>
      <c r="C6799">
        <v>439660.1569</v>
      </c>
      <c r="D6799" t="s">
        <v>303</v>
      </c>
      <c r="E6799">
        <v>2025</v>
      </c>
      <c r="F6799">
        <v>7</v>
      </c>
    </row>
    <row r="6800" spans="1:6" x14ac:dyDescent="0.55000000000000004">
      <c r="A6800" t="s">
        <v>177</v>
      </c>
      <c r="B6800" t="s">
        <v>49</v>
      </c>
      <c r="C6800">
        <v>515.28229999999996</v>
      </c>
      <c r="D6800" t="s">
        <v>303</v>
      </c>
      <c r="E6800">
        <v>2025</v>
      </c>
      <c r="F6800">
        <v>7</v>
      </c>
    </row>
    <row r="6801" spans="1:6" x14ac:dyDescent="0.55000000000000004">
      <c r="A6801" t="s">
        <v>177</v>
      </c>
      <c r="B6801" t="s">
        <v>50</v>
      </c>
      <c r="C6801">
        <v>21099.995699999999</v>
      </c>
      <c r="D6801" t="s">
        <v>303</v>
      </c>
      <c r="E6801">
        <v>2025</v>
      </c>
      <c r="F6801">
        <v>7</v>
      </c>
    </row>
    <row r="6802" spans="1:6" x14ac:dyDescent="0.55000000000000004">
      <c r="A6802" t="s">
        <v>177</v>
      </c>
      <c r="B6802" t="s">
        <v>51</v>
      </c>
      <c r="C6802">
        <v>4900</v>
      </c>
      <c r="D6802" t="s">
        <v>303</v>
      </c>
      <c r="E6802">
        <v>2025</v>
      </c>
      <c r="F6802">
        <v>7</v>
      </c>
    </row>
    <row r="6803" spans="1:6" x14ac:dyDescent="0.55000000000000004">
      <c r="A6803" t="s">
        <v>177</v>
      </c>
      <c r="B6803" t="s">
        <v>52</v>
      </c>
      <c r="C6803">
        <v>46.468200000000003</v>
      </c>
      <c r="D6803" t="s">
        <v>303</v>
      </c>
      <c r="E6803">
        <v>2025</v>
      </c>
      <c r="F6803">
        <v>7</v>
      </c>
    </row>
    <row r="6804" spans="1:6" x14ac:dyDescent="0.55000000000000004">
      <c r="A6804" t="s">
        <v>177</v>
      </c>
      <c r="B6804" t="s">
        <v>53</v>
      </c>
      <c r="C6804">
        <v>10331.033299999999</v>
      </c>
      <c r="D6804" t="s">
        <v>303</v>
      </c>
      <c r="E6804">
        <v>2025</v>
      </c>
      <c r="F6804">
        <v>7</v>
      </c>
    </row>
    <row r="6805" spans="1:6" x14ac:dyDescent="0.55000000000000004">
      <c r="A6805" t="s">
        <v>177</v>
      </c>
      <c r="B6805" t="s">
        <v>54</v>
      </c>
      <c r="C6805">
        <v>27118.751700000001</v>
      </c>
      <c r="D6805" t="s">
        <v>303</v>
      </c>
      <c r="E6805">
        <v>2025</v>
      </c>
      <c r="F6805">
        <v>7</v>
      </c>
    </row>
    <row r="6806" spans="1:6" x14ac:dyDescent="0.55000000000000004">
      <c r="A6806" t="s">
        <v>177</v>
      </c>
      <c r="B6806" t="s">
        <v>55</v>
      </c>
      <c r="C6806">
        <v>22095.183300000001</v>
      </c>
      <c r="D6806" t="s">
        <v>303</v>
      </c>
      <c r="E6806">
        <v>2025</v>
      </c>
      <c r="F6806">
        <v>7</v>
      </c>
    </row>
    <row r="6807" spans="1:6" x14ac:dyDescent="0.55000000000000004">
      <c r="A6807" t="s">
        <v>177</v>
      </c>
      <c r="B6807" t="s">
        <v>56</v>
      </c>
      <c r="C6807">
        <v>11622.0167</v>
      </c>
      <c r="D6807" t="s">
        <v>303</v>
      </c>
      <c r="E6807">
        <v>2025</v>
      </c>
      <c r="F6807">
        <v>7</v>
      </c>
    </row>
    <row r="6808" spans="1:6" x14ac:dyDescent="0.55000000000000004">
      <c r="A6808" t="s">
        <v>177</v>
      </c>
      <c r="B6808" t="s">
        <v>57</v>
      </c>
      <c r="C6808">
        <v>120.0059</v>
      </c>
      <c r="D6808" t="s">
        <v>303</v>
      </c>
      <c r="E6808">
        <v>2025</v>
      </c>
      <c r="F6808">
        <v>7</v>
      </c>
    </row>
    <row r="6809" spans="1:6" x14ac:dyDescent="0.55000000000000004">
      <c r="A6809" t="s">
        <v>177</v>
      </c>
      <c r="B6809" t="s">
        <v>58</v>
      </c>
      <c r="C6809">
        <v>997105</v>
      </c>
      <c r="D6809" t="s">
        <v>303</v>
      </c>
      <c r="E6809">
        <v>2025</v>
      </c>
      <c r="F6809">
        <v>7</v>
      </c>
    </row>
    <row r="6810" spans="1:6" x14ac:dyDescent="0.55000000000000004">
      <c r="A6810" t="s">
        <v>177</v>
      </c>
      <c r="B6810" t="s">
        <v>59</v>
      </c>
      <c r="C6810">
        <v>2300</v>
      </c>
      <c r="D6810" t="s">
        <v>303</v>
      </c>
      <c r="E6810">
        <v>2025</v>
      </c>
      <c r="F6810">
        <v>7</v>
      </c>
    </row>
    <row r="6811" spans="1:6" x14ac:dyDescent="0.55000000000000004">
      <c r="A6811" t="s">
        <v>177</v>
      </c>
      <c r="B6811" t="s">
        <v>60</v>
      </c>
      <c r="C6811">
        <v>1969912.7275</v>
      </c>
      <c r="D6811" t="s">
        <v>303</v>
      </c>
      <c r="E6811">
        <v>2025</v>
      </c>
      <c r="F6811">
        <v>7</v>
      </c>
    </row>
    <row r="6812" spans="1:6" x14ac:dyDescent="0.55000000000000004">
      <c r="A6812" t="s">
        <v>177</v>
      </c>
      <c r="B6812" t="s">
        <v>61</v>
      </c>
      <c r="C6812">
        <v>5500.0033000000003</v>
      </c>
      <c r="D6812" t="s">
        <v>303</v>
      </c>
      <c r="E6812">
        <v>2025</v>
      </c>
      <c r="F6812">
        <v>7</v>
      </c>
    </row>
    <row r="6813" spans="1:6" x14ac:dyDescent="0.55000000000000004">
      <c r="A6813" t="s">
        <v>177</v>
      </c>
      <c r="B6813" t="s">
        <v>62</v>
      </c>
      <c r="C6813">
        <v>1306.5833</v>
      </c>
      <c r="D6813" t="s">
        <v>303</v>
      </c>
      <c r="E6813">
        <v>2025</v>
      </c>
      <c r="F6813">
        <v>7</v>
      </c>
    </row>
    <row r="6814" spans="1:6" x14ac:dyDescent="0.55000000000000004">
      <c r="A6814" t="s">
        <v>177</v>
      </c>
      <c r="B6814" t="s">
        <v>63</v>
      </c>
      <c r="C6814">
        <v>0.93220000000000003</v>
      </c>
      <c r="D6814" t="s">
        <v>303</v>
      </c>
      <c r="E6814">
        <v>2025</v>
      </c>
      <c r="F6814">
        <v>7</v>
      </c>
    </row>
    <row r="6815" spans="1:6" x14ac:dyDescent="0.55000000000000004">
      <c r="A6815" t="s">
        <v>178</v>
      </c>
      <c r="B6815" t="s">
        <v>4</v>
      </c>
      <c r="C6815">
        <v>11014223.0288</v>
      </c>
      <c r="D6815" t="s">
        <v>304</v>
      </c>
      <c r="E6815">
        <v>2025</v>
      </c>
      <c r="F6815">
        <v>8</v>
      </c>
    </row>
    <row r="6816" spans="1:6" x14ac:dyDescent="0.55000000000000004">
      <c r="A6816" t="s">
        <v>178</v>
      </c>
      <c r="B6816" t="s">
        <v>5</v>
      </c>
      <c r="C6816">
        <v>1245880.5196</v>
      </c>
      <c r="D6816" t="s">
        <v>304</v>
      </c>
      <c r="E6816">
        <v>2025</v>
      </c>
      <c r="F6816">
        <v>8</v>
      </c>
    </row>
    <row r="6817" spans="1:6" x14ac:dyDescent="0.55000000000000004">
      <c r="A6817" t="s">
        <v>178</v>
      </c>
      <c r="B6817" t="s">
        <v>6</v>
      </c>
      <c r="C6817">
        <v>2079367.9304</v>
      </c>
      <c r="D6817" t="s">
        <v>304</v>
      </c>
      <c r="E6817">
        <v>2025</v>
      </c>
      <c r="F6817">
        <v>8</v>
      </c>
    </row>
    <row r="6818" spans="1:6" x14ac:dyDescent="0.55000000000000004">
      <c r="A6818" t="s">
        <v>178</v>
      </c>
      <c r="B6818" t="s">
        <v>7</v>
      </c>
      <c r="C6818">
        <v>3302939.9149000002</v>
      </c>
      <c r="D6818" t="s">
        <v>304</v>
      </c>
      <c r="E6818">
        <v>2025</v>
      </c>
      <c r="F6818">
        <v>8</v>
      </c>
    </row>
    <row r="6819" spans="1:6" x14ac:dyDescent="0.55000000000000004">
      <c r="A6819" t="s">
        <v>178</v>
      </c>
      <c r="B6819" t="s">
        <v>8</v>
      </c>
      <c r="C6819">
        <v>4386034.6639</v>
      </c>
      <c r="D6819" t="s">
        <v>304</v>
      </c>
      <c r="E6819">
        <v>2025</v>
      </c>
      <c r="F6819">
        <v>8</v>
      </c>
    </row>
    <row r="6820" spans="1:6" x14ac:dyDescent="0.55000000000000004">
      <c r="A6820" t="s">
        <v>178</v>
      </c>
      <c r="B6820" t="s">
        <v>9</v>
      </c>
      <c r="C6820">
        <v>216.66669999999999</v>
      </c>
      <c r="D6820" t="s">
        <v>304</v>
      </c>
      <c r="E6820">
        <v>2025</v>
      </c>
      <c r="F6820">
        <v>8</v>
      </c>
    </row>
    <row r="6821" spans="1:6" x14ac:dyDescent="0.55000000000000004">
      <c r="A6821" t="s">
        <v>178</v>
      </c>
      <c r="B6821" t="s">
        <v>10</v>
      </c>
      <c r="C6821">
        <v>2816.7927</v>
      </c>
      <c r="D6821" t="s">
        <v>304</v>
      </c>
      <c r="E6821">
        <v>2025</v>
      </c>
      <c r="F6821">
        <v>8</v>
      </c>
    </row>
    <row r="6822" spans="1:6" x14ac:dyDescent="0.55000000000000004">
      <c r="A6822" t="s">
        <v>178</v>
      </c>
      <c r="B6822" t="s">
        <v>11</v>
      </c>
      <c r="C6822">
        <v>3244664.7385999998</v>
      </c>
      <c r="D6822" t="s">
        <v>304</v>
      </c>
      <c r="E6822">
        <v>2025</v>
      </c>
      <c r="F6822">
        <v>8</v>
      </c>
    </row>
    <row r="6823" spans="1:6" x14ac:dyDescent="0.55000000000000004">
      <c r="A6823" t="s">
        <v>178</v>
      </c>
      <c r="B6823" t="s">
        <v>12</v>
      </c>
      <c r="C6823">
        <v>18000</v>
      </c>
      <c r="D6823" t="s">
        <v>304</v>
      </c>
      <c r="E6823">
        <v>2025</v>
      </c>
      <c r="F6823">
        <v>8</v>
      </c>
    </row>
    <row r="6824" spans="1:6" x14ac:dyDescent="0.55000000000000004">
      <c r="A6824" t="s">
        <v>178</v>
      </c>
      <c r="B6824" t="s">
        <v>13</v>
      </c>
      <c r="C6824">
        <v>26400</v>
      </c>
      <c r="D6824" t="s">
        <v>304</v>
      </c>
      <c r="E6824">
        <v>2025</v>
      </c>
      <c r="F6824">
        <v>8</v>
      </c>
    </row>
    <row r="6825" spans="1:6" x14ac:dyDescent="0.55000000000000004">
      <c r="A6825" t="s">
        <v>178</v>
      </c>
      <c r="B6825" t="s">
        <v>14</v>
      </c>
      <c r="C6825">
        <v>320</v>
      </c>
      <c r="D6825" t="s">
        <v>304</v>
      </c>
      <c r="E6825">
        <v>2025</v>
      </c>
      <c r="F6825">
        <v>8</v>
      </c>
    </row>
    <row r="6826" spans="1:6" x14ac:dyDescent="0.55000000000000004">
      <c r="A6826" t="s">
        <v>178</v>
      </c>
      <c r="B6826" t="s">
        <v>15</v>
      </c>
      <c r="C6826">
        <v>1177957.3195</v>
      </c>
      <c r="D6826" t="s">
        <v>304</v>
      </c>
      <c r="E6826">
        <v>2025</v>
      </c>
      <c r="F6826">
        <v>8</v>
      </c>
    </row>
    <row r="6827" spans="1:6" x14ac:dyDescent="0.55000000000000004">
      <c r="A6827" t="s">
        <v>178</v>
      </c>
      <c r="B6827" t="s">
        <v>17</v>
      </c>
      <c r="C6827">
        <v>118538.4898</v>
      </c>
      <c r="D6827" t="s">
        <v>304</v>
      </c>
      <c r="E6827">
        <v>2025</v>
      </c>
      <c r="F6827">
        <v>8</v>
      </c>
    </row>
    <row r="6828" spans="1:6" x14ac:dyDescent="0.55000000000000004">
      <c r="A6828" t="s">
        <v>178</v>
      </c>
      <c r="B6828" t="s">
        <v>18</v>
      </c>
      <c r="C6828">
        <v>52970.9496</v>
      </c>
      <c r="D6828" t="s">
        <v>304</v>
      </c>
      <c r="E6828">
        <v>2025</v>
      </c>
      <c r="F6828">
        <v>8</v>
      </c>
    </row>
    <row r="6829" spans="1:6" x14ac:dyDescent="0.55000000000000004">
      <c r="A6829" t="s">
        <v>178</v>
      </c>
      <c r="B6829" t="s">
        <v>19</v>
      </c>
      <c r="C6829">
        <v>2199.991</v>
      </c>
      <c r="D6829" t="s">
        <v>304</v>
      </c>
      <c r="E6829">
        <v>2025</v>
      </c>
      <c r="F6829">
        <v>8</v>
      </c>
    </row>
    <row r="6830" spans="1:6" x14ac:dyDescent="0.55000000000000004">
      <c r="A6830" t="s">
        <v>178</v>
      </c>
      <c r="B6830" t="s">
        <v>20</v>
      </c>
      <c r="C6830">
        <v>16500</v>
      </c>
      <c r="D6830" t="s">
        <v>304</v>
      </c>
      <c r="E6830">
        <v>2025</v>
      </c>
      <c r="F6830">
        <v>8</v>
      </c>
    </row>
    <row r="6831" spans="1:6" x14ac:dyDescent="0.55000000000000004">
      <c r="A6831" t="s">
        <v>178</v>
      </c>
      <c r="B6831" t="s">
        <v>21</v>
      </c>
      <c r="C6831">
        <v>1643.5767000000001</v>
      </c>
      <c r="D6831" t="s">
        <v>304</v>
      </c>
      <c r="E6831">
        <v>2025</v>
      </c>
      <c r="F6831">
        <v>8</v>
      </c>
    </row>
    <row r="6832" spans="1:6" x14ac:dyDescent="0.55000000000000004">
      <c r="A6832" t="s">
        <v>178</v>
      </c>
      <c r="B6832" t="s">
        <v>22</v>
      </c>
      <c r="C6832">
        <v>43301.701999999997</v>
      </c>
      <c r="D6832" t="s">
        <v>304</v>
      </c>
      <c r="E6832">
        <v>2025</v>
      </c>
      <c r="F6832">
        <v>8</v>
      </c>
    </row>
    <row r="6833" spans="1:6" x14ac:dyDescent="0.55000000000000004">
      <c r="A6833" t="s">
        <v>178</v>
      </c>
      <c r="B6833" t="s">
        <v>23</v>
      </c>
      <c r="C6833">
        <v>28499.990699999998</v>
      </c>
      <c r="D6833" t="s">
        <v>304</v>
      </c>
      <c r="E6833">
        <v>2025</v>
      </c>
      <c r="F6833">
        <v>8</v>
      </c>
    </row>
    <row r="6834" spans="1:6" x14ac:dyDescent="0.55000000000000004">
      <c r="A6834" t="s">
        <v>178</v>
      </c>
      <c r="B6834" t="s">
        <v>25</v>
      </c>
      <c r="C6834">
        <v>675000</v>
      </c>
      <c r="D6834" t="s">
        <v>304</v>
      </c>
      <c r="E6834">
        <v>2025</v>
      </c>
      <c r="F6834">
        <v>8</v>
      </c>
    </row>
    <row r="6835" spans="1:6" x14ac:dyDescent="0.55000000000000004">
      <c r="A6835" t="s">
        <v>178</v>
      </c>
      <c r="B6835" t="s">
        <v>27</v>
      </c>
      <c r="C6835">
        <v>341.70269999999999</v>
      </c>
      <c r="D6835" t="s">
        <v>304</v>
      </c>
      <c r="E6835">
        <v>2025</v>
      </c>
      <c r="F6835">
        <v>8</v>
      </c>
    </row>
    <row r="6836" spans="1:6" x14ac:dyDescent="0.55000000000000004">
      <c r="A6836" t="s">
        <v>178</v>
      </c>
      <c r="B6836" t="s">
        <v>28</v>
      </c>
      <c r="C6836">
        <v>154909.45910000001</v>
      </c>
      <c r="D6836" t="s">
        <v>304</v>
      </c>
      <c r="E6836">
        <v>2025</v>
      </c>
      <c r="F6836">
        <v>8</v>
      </c>
    </row>
    <row r="6837" spans="1:6" x14ac:dyDescent="0.55000000000000004">
      <c r="A6837" t="s">
        <v>178</v>
      </c>
      <c r="B6837" t="s">
        <v>29</v>
      </c>
      <c r="C6837">
        <v>7300</v>
      </c>
      <c r="D6837" t="s">
        <v>304</v>
      </c>
      <c r="E6837">
        <v>2025</v>
      </c>
      <c r="F6837">
        <v>8</v>
      </c>
    </row>
    <row r="6838" spans="1:6" x14ac:dyDescent="0.55000000000000004">
      <c r="A6838" t="s">
        <v>178</v>
      </c>
      <c r="B6838" t="s">
        <v>30</v>
      </c>
      <c r="C6838">
        <v>203.54839999999999</v>
      </c>
      <c r="D6838" t="s">
        <v>304</v>
      </c>
      <c r="E6838">
        <v>2025</v>
      </c>
      <c r="F6838">
        <v>8</v>
      </c>
    </row>
    <row r="6839" spans="1:6" x14ac:dyDescent="0.55000000000000004">
      <c r="A6839" t="s">
        <v>178</v>
      </c>
      <c r="B6839" t="s">
        <v>31</v>
      </c>
      <c r="C6839">
        <v>110</v>
      </c>
      <c r="D6839" t="s">
        <v>304</v>
      </c>
      <c r="E6839">
        <v>2025</v>
      </c>
      <c r="F6839">
        <v>8</v>
      </c>
    </row>
    <row r="6840" spans="1:6" x14ac:dyDescent="0.55000000000000004">
      <c r="A6840" t="s">
        <v>178</v>
      </c>
      <c r="B6840" t="s">
        <v>32</v>
      </c>
      <c r="C6840">
        <v>192265.14</v>
      </c>
      <c r="D6840" t="s">
        <v>304</v>
      </c>
      <c r="E6840">
        <v>2025</v>
      </c>
      <c r="F6840">
        <v>8</v>
      </c>
    </row>
    <row r="6841" spans="1:6" x14ac:dyDescent="0.55000000000000004">
      <c r="A6841" t="s">
        <v>178</v>
      </c>
      <c r="B6841" t="s">
        <v>33</v>
      </c>
      <c r="C6841">
        <v>447437.2475</v>
      </c>
      <c r="D6841" t="s">
        <v>304</v>
      </c>
      <c r="E6841">
        <v>2025</v>
      </c>
      <c r="F6841">
        <v>8</v>
      </c>
    </row>
    <row r="6842" spans="1:6" x14ac:dyDescent="0.55000000000000004">
      <c r="A6842" t="s">
        <v>178</v>
      </c>
      <c r="B6842" t="s">
        <v>34</v>
      </c>
      <c r="C6842">
        <v>1153112.3507000001</v>
      </c>
      <c r="D6842" t="s">
        <v>304</v>
      </c>
      <c r="E6842">
        <v>2025</v>
      </c>
      <c r="F6842">
        <v>8</v>
      </c>
    </row>
    <row r="6843" spans="1:6" x14ac:dyDescent="0.55000000000000004">
      <c r="A6843" t="s">
        <v>178</v>
      </c>
      <c r="B6843" t="s">
        <v>35</v>
      </c>
      <c r="C6843">
        <v>1037.7275999999999</v>
      </c>
      <c r="D6843" t="s">
        <v>304</v>
      </c>
      <c r="E6843">
        <v>2025</v>
      </c>
      <c r="F6843">
        <v>8</v>
      </c>
    </row>
    <row r="6844" spans="1:6" x14ac:dyDescent="0.55000000000000004">
      <c r="A6844" t="s">
        <v>178</v>
      </c>
      <c r="B6844" t="s">
        <v>36</v>
      </c>
      <c r="C6844">
        <v>63023.200100000002</v>
      </c>
      <c r="D6844" t="s">
        <v>304</v>
      </c>
      <c r="E6844">
        <v>2025</v>
      </c>
      <c r="F6844">
        <v>8</v>
      </c>
    </row>
    <row r="6845" spans="1:6" x14ac:dyDescent="0.55000000000000004">
      <c r="A6845" t="s">
        <v>178</v>
      </c>
      <c r="B6845" t="s">
        <v>37</v>
      </c>
      <c r="C6845">
        <v>61999.9954</v>
      </c>
      <c r="D6845" t="s">
        <v>304</v>
      </c>
      <c r="E6845">
        <v>2025</v>
      </c>
      <c r="F6845">
        <v>8</v>
      </c>
    </row>
    <row r="6846" spans="1:6" x14ac:dyDescent="0.55000000000000004">
      <c r="A6846" t="s">
        <v>178</v>
      </c>
      <c r="B6846" t="s">
        <v>39</v>
      </c>
      <c r="C6846">
        <v>198.33330000000001</v>
      </c>
      <c r="D6846" t="s">
        <v>304</v>
      </c>
      <c r="E6846">
        <v>2025</v>
      </c>
      <c r="F6846">
        <v>8</v>
      </c>
    </row>
    <row r="6847" spans="1:6" x14ac:dyDescent="0.55000000000000004">
      <c r="A6847" t="s">
        <v>178</v>
      </c>
      <c r="B6847" t="s">
        <v>40</v>
      </c>
      <c r="C6847">
        <v>939.99440000000004</v>
      </c>
      <c r="D6847" t="s">
        <v>304</v>
      </c>
      <c r="E6847">
        <v>2025</v>
      </c>
      <c r="F6847">
        <v>8</v>
      </c>
    </row>
    <row r="6848" spans="1:6" x14ac:dyDescent="0.55000000000000004">
      <c r="A6848" t="s">
        <v>178</v>
      </c>
      <c r="B6848" t="s">
        <v>41</v>
      </c>
      <c r="C6848">
        <v>237000.0166</v>
      </c>
      <c r="D6848" t="s">
        <v>304</v>
      </c>
      <c r="E6848">
        <v>2025</v>
      </c>
      <c r="F6848">
        <v>8</v>
      </c>
    </row>
    <row r="6849" spans="1:6" x14ac:dyDescent="0.55000000000000004">
      <c r="A6849" t="s">
        <v>178</v>
      </c>
      <c r="B6849" t="s">
        <v>42</v>
      </c>
      <c r="C6849">
        <v>165.2833</v>
      </c>
      <c r="D6849" t="s">
        <v>304</v>
      </c>
      <c r="E6849">
        <v>2025</v>
      </c>
      <c r="F6849">
        <v>8</v>
      </c>
    </row>
    <row r="6850" spans="1:6" x14ac:dyDescent="0.55000000000000004">
      <c r="A6850" t="s">
        <v>178</v>
      </c>
      <c r="B6850" t="s">
        <v>43</v>
      </c>
      <c r="C6850">
        <v>186794.39869999999</v>
      </c>
      <c r="D6850" t="s">
        <v>304</v>
      </c>
      <c r="E6850">
        <v>2025</v>
      </c>
      <c r="F6850">
        <v>8</v>
      </c>
    </row>
    <row r="6851" spans="1:6" x14ac:dyDescent="0.55000000000000004">
      <c r="A6851" t="s">
        <v>178</v>
      </c>
      <c r="B6851" t="s">
        <v>45</v>
      </c>
      <c r="C6851">
        <v>3517.2208000000001</v>
      </c>
      <c r="D6851" t="s">
        <v>304</v>
      </c>
      <c r="E6851">
        <v>2025</v>
      </c>
      <c r="F6851">
        <v>8</v>
      </c>
    </row>
    <row r="6852" spans="1:6" x14ac:dyDescent="0.55000000000000004">
      <c r="A6852" t="s">
        <v>178</v>
      </c>
      <c r="B6852" t="s">
        <v>46</v>
      </c>
      <c r="C6852">
        <v>68469</v>
      </c>
      <c r="D6852" t="s">
        <v>304</v>
      </c>
      <c r="E6852">
        <v>2025</v>
      </c>
      <c r="F6852">
        <v>8</v>
      </c>
    </row>
    <row r="6853" spans="1:6" x14ac:dyDescent="0.55000000000000004">
      <c r="A6853" t="s">
        <v>178</v>
      </c>
      <c r="B6853" t="s">
        <v>47</v>
      </c>
      <c r="C6853">
        <v>0.4975</v>
      </c>
      <c r="D6853" t="s">
        <v>304</v>
      </c>
      <c r="E6853">
        <v>2025</v>
      </c>
      <c r="F6853">
        <v>8</v>
      </c>
    </row>
    <row r="6854" spans="1:6" x14ac:dyDescent="0.55000000000000004">
      <c r="A6854" t="s">
        <v>178</v>
      </c>
      <c r="B6854" t="s">
        <v>48</v>
      </c>
      <c r="C6854">
        <v>568699.26749999996</v>
      </c>
      <c r="D6854" t="s">
        <v>304</v>
      </c>
      <c r="E6854">
        <v>2025</v>
      </c>
      <c r="F6854">
        <v>8</v>
      </c>
    </row>
    <row r="6855" spans="1:6" x14ac:dyDescent="0.55000000000000004">
      <c r="A6855" t="s">
        <v>178</v>
      </c>
      <c r="B6855" t="s">
        <v>49</v>
      </c>
      <c r="C6855">
        <v>578.97739999999999</v>
      </c>
      <c r="D6855" t="s">
        <v>304</v>
      </c>
      <c r="E6855">
        <v>2025</v>
      </c>
      <c r="F6855">
        <v>8</v>
      </c>
    </row>
    <row r="6856" spans="1:6" x14ac:dyDescent="0.55000000000000004">
      <c r="A6856" t="s">
        <v>178</v>
      </c>
      <c r="B6856" t="s">
        <v>50</v>
      </c>
      <c r="C6856">
        <v>20761.599999999999</v>
      </c>
      <c r="D6856" t="s">
        <v>304</v>
      </c>
      <c r="E6856">
        <v>2025</v>
      </c>
      <c r="F6856">
        <v>8</v>
      </c>
    </row>
    <row r="6857" spans="1:6" x14ac:dyDescent="0.55000000000000004">
      <c r="A6857" t="s">
        <v>178</v>
      </c>
      <c r="B6857" t="s">
        <v>51</v>
      </c>
      <c r="C6857">
        <v>5400</v>
      </c>
      <c r="D6857" t="s">
        <v>304</v>
      </c>
      <c r="E6857">
        <v>2025</v>
      </c>
      <c r="F6857">
        <v>8</v>
      </c>
    </row>
    <row r="6858" spans="1:6" x14ac:dyDescent="0.55000000000000004">
      <c r="A6858" t="s">
        <v>178</v>
      </c>
      <c r="B6858" t="s">
        <v>52</v>
      </c>
      <c r="C6858">
        <v>33.171999999999997</v>
      </c>
      <c r="D6858" t="s">
        <v>304</v>
      </c>
      <c r="E6858">
        <v>2025</v>
      </c>
      <c r="F6858">
        <v>8</v>
      </c>
    </row>
    <row r="6859" spans="1:6" x14ac:dyDescent="0.55000000000000004">
      <c r="A6859" t="s">
        <v>178</v>
      </c>
      <c r="B6859" t="s">
        <v>53</v>
      </c>
      <c r="C6859">
        <v>16827.333299999998</v>
      </c>
      <c r="D6859" t="s">
        <v>304</v>
      </c>
      <c r="E6859">
        <v>2025</v>
      </c>
      <c r="F6859">
        <v>8</v>
      </c>
    </row>
    <row r="6860" spans="1:6" x14ac:dyDescent="0.55000000000000004">
      <c r="A6860" t="s">
        <v>178</v>
      </c>
      <c r="B6860" t="s">
        <v>54</v>
      </c>
      <c r="C6860">
        <v>20164.660400000001</v>
      </c>
      <c r="D6860" t="s">
        <v>304</v>
      </c>
      <c r="E6860">
        <v>2025</v>
      </c>
      <c r="F6860">
        <v>8</v>
      </c>
    </row>
    <row r="6861" spans="1:6" x14ac:dyDescent="0.55000000000000004">
      <c r="A6861" t="s">
        <v>178</v>
      </c>
      <c r="B6861" t="s">
        <v>55</v>
      </c>
      <c r="C6861">
        <v>4796.0833000000002</v>
      </c>
      <c r="D6861" t="s">
        <v>304</v>
      </c>
      <c r="E6861">
        <v>2025</v>
      </c>
      <c r="F6861">
        <v>8</v>
      </c>
    </row>
    <row r="6862" spans="1:6" x14ac:dyDescent="0.55000000000000004">
      <c r="A6862" t="s">
        <v>178</v>
      </c>
      <c r="B6862" t="s">
        <v>56</v>
      </c>
      <c r="C6862">
        <v>2863.3332999999998</v>
      </c>
      <c r="D6862" t="s">
        <v>304</v>
      </c>
      <c r="E6862">
        <v>2025</v>
      </c>
      <c r="F6862">
        <v>8</v>
      </c>
    </row>
    <row r="6863" spans="1:6" x14ac:dyDescent="0.55000000000000004">
      <c r="A6863" t="s">
        <v>178</v>
      </c>
      <c r="B6863" t="s">
        <v>57</v>
      </c>
      <c r="C6863">
        <v>29.99</v>
      </c>
      <c r="D6863" t="s">
        <v>304</v>
      </c>
      <c r="E6863">
        <v>2025</v>
      </c>
      <c r="F6863">
        <v>8</v>
      </c>
    </row>
    <row r="6864" spans="1:6" x14ac:dyDescent="0.55000000000000004">
      <c r="A6864" t="s">
        <v>178</v>
      </c>
      <c r="B6864" t="s">
        <v>58</v>
      </c>
      <c r="C6864">
        <v>855441</v>
      </c>
      <c r="D6864" t="s">
        <v>304</v>
      </c>
      <c r="E6864">
        <v>2025</v>
      </c>
      <c r="F6864">
        <v>8</v>
      </c>
    </row>
    <row r="6865" spans="1:6" x14ac:dyDescent="0.55000000000000004">
      <c r="A6865" t="s">
        <v>178</v>
      </c>
      <c r="B6865" t="s">
        <v>59</v>
      </c>
      <c r="C6865">
        <v>4800</v>
      </c>
      <c r="D6865" t="s">
        <v>304</v>
      </c>
      <c r="E6865">
        <v>2025</v>
      </c>
      <c r="F6865">
        <v>8</v>
      </c>
    </row>
    <row r="6866" spans="1:6" x14ac:dyDescent="0.55000000000000004">
      <c r="A6866" t="s">
        <v>178</v>
      </c>
      <c r="B6866" t="s">
        <v>60</v>
      </c>
      <c r="C6866">
        <v>1513442.9127</v>
      </c>
      <c r="D6866" t="s">
        <v>304</v>
      </c>
      <c r="E6866">
        <v>2025</v>
      </c>
      <c r="F6866">
        <v>8</v>
      </c>
    </row>
    <row r="6867" spans="1:6" x14ac:dyDescent="0.55000000000000004">
      <c r="A6867" t="s">
        <v>178</v>
      </c>
      <c r="B6867" t="s">
        <v>61</v>
      </c>
      <c r="C6867">
        <v>3699.9956999999999</v>
      </c>
      <c r="D6867" t="s">
        <v>304</v>
      </c>
      <c r="E6867">
        <v>2025</v>
      </c>
      <c r="F6867">
        <v>8</v>
      </c>
    </row>
    <row r="6868" spans="1:6" x14ac:dyDescent="0.55000000000000004">
      <c r="A6868" t="s">
        <v>178</v>
      </c>
      <c r="B6868" t="s">
        <v>62</v>
      </c>
      <c r="C6868">
        <v>8829.35</v>
      </c>
      <c r="D6868" t="s">
        <v>304</v>
      </c>
      <c r="E6868">
        <v>2025</v>
      </c>
      <c r="F6868">
        <v>8</v>
      </c>
    </row>
    <row r="6869" spans="1:6" x14ac:dyDescent="0.55000000000000004">
      <c r="A6869" t="s">
        <v>178</v>
      </c>
      <c r="B6869" t="s">
        <v>63</v>
      </c>
      <c r="C6869">
        <v>1.9800000000000002E-2</v>
      </c>
      <c r="D6869" t="s">
        <v>304</v>
      </c>
      <c r="E6869">
        <v>2025</v>
      </c>
      <c r="F6869">
        <v>8</v>
      </c>
    </row>
    <row r="6870" spans="1:6" x14ac:dyDescent="0.55000000000000004">
      <c r="A6870" t="s">
        <v>179</v>
      </c>
      <c r="B6870" t="s">
        <v>4</v>
      </c>
      <c r="C6870">
        <v>11916224.100400001</v>
      </c>
      <c r="D6870" t="s">
        <v>305</v>
      </c>
      <c r="E6870">
        <v>2025</v>
      </c>
      <c r="F6870">
        <v>9</v>
      </c>
    </row>
    <row r="6871" spans="1:6" x14ac:dyDescent="0.55000000000000004">
      <c r="A6871" t="s">
        <v>179</v>
      </c>
      <c r="B6871" t="s">
        <v>5</v>
      </c>
      <c r="C6871">
        <v>1162494.8476</v>
      </c>
      <c r="D6871" t="s">
        <v>305</v>
      </c>
      <c r="E6871">
        <v>2025</v>
      </c>
      <c r="F6871">
        <v>9</v>
      </c>
    </row>
    <row r="6872" spans="1:6" x14ac:dyDescent="0.55000000000000004">
      <c r="A6872" t="s">
        <v>179</v>
      </c>
      <c r="B6872" t="s">
        <v>6</v>
      </c>
      <c r="C6872">
        <v>1968112.5593000001</v>
      </c>
      <c r="D6872" t="s">
        <v>305</v>
      </c>
      <c r="E6872">
        <v>2025</v>
      </c>
      <c r="F6872">
        <v>9</v>
      </c>
    </row>
    <row r="6873" spans="1:6" x14ac:dyDescent="0.55000000000000004">
      <c r="A6873" t="s">
        <v>179</v>
      </c>
      <c r="B6873" t="s">
        <v>7</v>
      </c>
      <c r="C6873">
        <v>3980844.22</v>
      </c>
      <c r="D6873" t="s">
        <v>305</v>
      </c>
      <c r="E6873">
        <v>2025</v>
      </c>
      <c r="F6873">
        <v>9</v>
      </c>
    </row>
    <row r="6874" spans="1:6" x14ac:dyDescent="0.55000000000000004">
      <c r="A6874" t="s">
        <v>179</v>
      </c>
      <c r="B6874" t="s">
        <v>8</v>
      </c>
      <c r="C6874">
        <v>4804772.4735000003</v>
      </c>
      <c r="D6874" t="s">
        <v>305</v>
      </c>
      <c r="E6874">
        <v>2025</v>
      </c>
      <c r="F6874">
        <v>9</v>
      </c>
    </row>
    <row r="6875" spans="1:6" x14ac:dyDescent="0.55000000000000004">
      <c r="A6875" t="s">
        <v>179</v>
      </c>
      <c r="B6875" t="s">
        <v>9</v>
      </c>
      <c r="C6875">
        <v>2250.7833999999998</v>
      </c>
      <c r="D6875" t="s">
        <v>305</v>
      </c>
      <c r="E6875">
        <v>2025</v>
      </c>
      <c r="F6875">
        <v>9</v>
      </c>
    </row>
    <row r="6876" spans="1:6" x14ac:dyDescent="0.55000000000000004">
      <c r="A6876" t="s">
        <v>179</v>
      </c>
      <c r="B6876" t="s">
        <v>10</v>
      </c>
      <c r="C6876">
        <v>4683.6319999999996</v>
      </c>
      <c r="D6876" t="s">
        <v>305</v>
      </c>
      <c r="E6876">
        <v>2025</v>
      </c>
      <c r="F6876">
        <v>9</v>
      </c>
    </row>
    <row r="6877" spans="1:6" x14ac:dyDescent="0.55000000000000004">
      <c r="A6877" t="s">
        <v>179</v>
      </c>
      <c r="B6877" t="s">
        <v>11</v>
      </c>
      <c r="C6877">
        <v>4040788.3796000001</v>
      </c>
      <c r="D6877" t="s">
        <v>305</v>
      </c>
      <c r="E6877">
        <v>2025</v>
      </c>
      <c r="F6877">
        <v>9</v>
      </c>
    </row>
    <row r="6878" spans="1:6" x14ac:dyDescent="0.55000000000000004">
      <c r="A6878" t="s">
        <v>179</v>
      </c>
      <c r="B6878" t="s">
        <v>12</v>
      </c>
      <c r="C6878">
        <v>29000</v>
      </c>
      <c r="D6878" t="s">
        <v>305</v>
      </c>
      <c r="E6878">
        <v>2025</v>
      </c>
      <c r="F6878">
        <v>9</v>
      </c>
    </row>
    <row r="6879" spans="1:6" x14ac:dyDescent="0.55000000000000004">
      <c r="A6879" t="s">
        <v>179</v>
      </c>
      <c r="B6879" t="s">
        <v>13</v>
      </c>
      <c r="C6879">
        <v>8655.0300000000007</v>
      </c>
      <c r="D6879" t="s">
        <v>305</v>
      </c>
      <c r="E6879">
        <v>2025</v>
      </c>
      <c r="F6879">
        <v>9</v>
      </c>
    </row>
    <row r="6880" spans="1:6" x14ac:dyDescent="0.55000000000000004">
      <c r="A6880" t="s">
        <v>179</v>
      </c>
      <c r="B6880" t="s">
        <v>14</v>
      </c>
      <c r="C6880">
        <v>640</v>
      </c>
      <c r="D6880" t="s">
        <v>305</v>
      </c>
      <c r="E6880">
        <v>2025</v>
      </c>
      <c r="F6880">
        <v>9</v>
      </c>
    </row>
    <row r="6881" spans="1:6" x14ac:dyDescent="0.55000000000000004">
      <c r="A6881" t="s">
        <v>179</v>
      </c>
      <c r="B6881" t="s">
        <v>15</v>
      </c>
      <c r="C6881">
        <v>1086609.8515000001</v>
      </c>
      <c r="D6881" t="s">
        <v>305</v>
      </c>
      <c r="E6881">
        <v>2025</v>
      </c>
      <c r="F6881">
        <v>9</v>
      </c>
    </row>
    <row r="6882" spans="1:6" x14ac:dyDescent="0.55000000000000004">
      <c r="A6882" t="s">
        <v>179</v>
      </c>
      <c r="B6882" t="s">
        <v>17</v>
      </c>
      <c r="C6882">
        <v>90965.872900000002</v>
      </c>
      <c r="D6882" t="s">
        <v>305</v>
      </c>
      <c r="E6882">
        <v>2025</v>
      </c>
      <c r="F6882">
        <v>9</v>
      </c>
    </row>
    <row r="6883" spans="1:6" x14ac:dyDescent="0.55000000000000004">
      <c r="A6883" t="s">
        <v>179</v>
      </c>
      <c r="B6883" t="s">
        <v>18</v>
      </c>
      <c r="C6883">
        <v>49233.900900000001</v>
      </c>
      <c r="D6883" t="s">
        <v>305</v>
      </c>
      <c r="E6883">
        <v>2025</v>
      </c>
      <c r="F6883">
        <v>9</v>
      </c>
    </row>
    <row r="6884" spans="1:6" x14ac:dyDescent="0.55000000000000004">
      <c r="A6884" t="s">
        <v>179</v>
      </c>
      <c r="B6884" t="s">
        <v>19</v>
      </c>
      <c r="C6884">
        <v>499.9957</v>
      </c>
      <c r="D6884" t="s">
        <v>305</v>
      </c>
      <c r="E6884">
        <v>2025</v>
      </c>
      <c r="F6884">
        <v>9</v>
      </c>
    </row>
    <row r="6885" spans="1:6" x14ac:dyDescent="0.55000000000000004">
      <c r="A6885" t="s">
        <v>179</v>
      </c>
      <c r="B6885" t="s">
        <v>20</v>
      </c>
      <c r="C6885">
        <v>16200</v>
      </c>
      <c r="D6885" t="s">
        <v>305</v>
      </c>
      <c r="E6885">
        <v>2025</v>
      </c>
      <c r="F6885">
        <v>9</v>
      </c>
    </row>
    <row r="6886" spans="1:6" x14ac:dyDescent="0.55000000000000004">
      <c r="A6886" t="s">
        <v>179</v>
      </c>
      <c r="B6886" t="s">
        <v>21</v>
      </c>
      <c r="C6886">
        <v>2115.6579999999999</v>
      </c>
      <c r="D6886" t="s">
        <v>305</v>
      </c>
      <c r="E6886">
        <v>2025</v>
      </c>
      <c r="F6886">
        <v>9</v>
      </c>
    </row>
    <row r="6887" spans="1:6" x14ac:dyDescent="0.55000000000000004">
      <c r="A6887" t="s">
        <v>179</v>
      </c>
      <c r="B6887" t="s">
        <v>22</v>
      </c>
      <c r="C6887">
        <v>52657.504399999998</v>
      </c>
      <c r="D6887" t="s">
        <v>305</v>
      </c>
      <c r="E6887">
        <v>2025</v>
      </c>
      <c r="F6887">
        <v>9</v>
      </c>
    </row>
    <row r="6888" spans="1:6" x14ac:dyDescent="0.55000000000000004">
      <c r="A6888" t="s">
        <v>179</v>
      </c>
      <c r="B6888" t="s">
        <v>23</v>
      </c>
      <c r="C6888">
        <v>16922.374400000001</v>
      </c>
      <c r="D6888" t="s">
        <v>305</v>
      </c>
      <c r="E6888">
        <v>2025</v>
      </c>
      <c r="F6888">
        <v>9</v>
      </c>
    </row>
    <row r="6889" spans="1:6" x14ac:dyDescent="0.55000000000000004">
      <c r="A6889" t="s">
        <v>179</v>
      </c>
      <c r="B6889" t="s">
        <v>25</v>
      </c>
      <c r="C6889">
        <v>440000</v>
      </c>
      <c r="D6889" t="s">
        <v>305</v>
      </c>
      <c r="E6889">
        <v>2025</v>
      </c>
      <c r="F6889">
        <v>9</v>
      </c>
    </row>
    <row r="6890" spans="1:6" x14ac:dyDescent="0.55000000000000004">
      <c r="A6890" t="s">
        <v>179</v>
      </c>
      <c r="B6890" t="s">
        <v>27</v>
      </c>
      <c r="C6890">
        <v>199.53729999999999</v>
      </c>
      <c r="D6890" t="s">
        <v>305</v>
      </c>
      <c r="E6890">
        <v>2025</v>
      </c>
      <c r="F6890">
        <v>9</v>
      </c>
    </row>
    <row r="6891" spans="1:6" x14ac:dyDescent="0.55000000000000004">
      <c r="A6891" t="s">
        <v>179</v>
      </c>
      <c r="B6891" t="s">
        <v>28</v>
      </c>
      <c r="C6891">
        <v>63047.825900000003</v>
      </c>
      <c r="D6891" t="s">
        <v>305</v>
      </c>
      <c r="E6891">
        <v>2025</v>
      </c>
      <c r="F6891">
        <v>9</v>
      </c>
    </row>
    <row r="6892" spans="1:6" x14ac:dyDescent="0.55000000000000004">
      <c r="A6892" t="s">
        <v>179</v>
      </c>
      <c r="B6892" t="s">
        <v>29</v>
      </c>
      <c r="C6892">
        <v>574.38850000000002</v>
      </c>
      <c r="D6892" t="s">
        <v>305</v>
      </c>
      <c r="E6892">
        <v>2025</v>
      </c>
      <c r="F6892">
        <v>9</v>
      </c>
    </row>
    <row r="6893" spans="1:6" x14ac:dyDescent="0.55000000000000004">
      <c r="A6893" t="s">
        <v>179</v>
      </c>
      <c r="B6893" t="s">
        <v>30</v>
      </c>
      <c r="C6893">
        <v>1.9800000000000002E-2</v>
      </c>
      <c r="D6893" t="s">
        <v>305</v>
      </c>
      <c r="E6893">
        <v>2025</v>
      </c>
      <c r="F6893">
        <v>9</v>
      </c>
    </row>
    <row r="6894" spans="1:6" x14ac:dyDescent="0.55000000000000004">
      <c r="A6894" t="s">
        <v>179</v>
      </c>
      <c r="B6894" t="s">
        <v>31</v>
      </c>
      <c r="C6894">
        <v>40</v>
      </c>
      <c r="D6894" t="s">
        <v>305</v>
      </c>
      <c r="E6894">
        <v>2025</v>
      </c>
      <c r="F6894">
        <v>9</v>
      </c>
    </row>
    <row r="6895" spans="1:6" x14ac:dyDescent="0.55000000000000004">
      <c r="A6895" t="s">
        <v>179</v>
      </c>
      <c r="B6895" t="s">
        <v>32</v>
      </c>
      <c r="C6895">
        <v>167322.17000000001</v>
      </c>
      <c r="D6895" t="s">
        <v>305</v>
      </c>
      <c r="E6895">
        <v>2025</v>
      </c>
      <c r="F6895">
        <v>9</v>
      </c>
    </row>
    <row r="6896" spans="1:6" x14ac:dyDescent="0.55000000000000004">
      <c r="A6896" t="s">
        <v>179</v>
      </c>
      <c r="B6896" t="s">
        <v>33</v>
      </c>
      <c r="C6896">
        <v>544202.90709999995</v>
      </c>
      <c r="D6896" t="s">
        <v>305</v>
      </c>
      <c r="E6896">
        <v>2025</v>
      </c>
      <c r="F6896">
        <v>9</v>
      </c>
    </row>
    <row r="6897" spans="1:6" x14ac:dyDescent="0.55000000000000004">
      <c r="A6897" t="s">
        <v>179</v>
      </c>
      <c r="B6897" t="s">
        <v>34</v>
      </c>
      <c r="C6897">
        <v>1177686.3628</v>
      </c>
      <c r="D6897" t="s">
        <v>305</v>
      </c>
      <c r="E6897">
        <v>2025</v>
      </c>
      <c r="F6897">
        <v>9</v>
      </c>
    </row>
    <row r="6898" spans="1:6" x14ac:dyDescent="0.55000000000000004">
      <c r="A6898" t="s">
        <v>179</v>
      </c>
      <c r="B6898" t="s">
        <v>35</v>
      </c>
      <c r="C6898">
        <v>978.17330000000004</v>
      </c>
      <c r="D6898" t="s">
        <v>305</v>
      </c>
      <c r="E6898">
        <v>2025</v>
      </c>
      <c r="F6898">
        <v>9</v>
      </c>
    </row>
    <row r="6899" spans="1:6" x14ac:dyDescent="0.55000000000000004">
      <c r="A6899" t="s">
        <v>179</v>
      </c>
      <c r="B6899" t="s">
        <v>36</v>
      </c>
      <c r="C6899">
        <v>57785.000099999997</v>
      </c>
      <c r="D6899" t="s">
        <v>305</v>
      </c>
      <c r="E6899">
        <v>2025</v>
      </c>
      <c r="F6899">
        <v>9</v>
      </c>
    </row>
    <row r="6900" spans="1:6" x14ac:dyDescent="0.55000000000000004">
      <c r="A6900" t="s">
        <v>179</v>
      </c>
      <c r="B6900" t="s">
        <v>37</v>
      </c>
      <c r="C6900">
        <v>54000.0026</v>
      </c>
      <c r="D6900" t="s">
        <v>305</v>
      </c>
      <c r="E6900">
        <v>2025</v>
      </c>
      <c r="F6900">
        <v>9</v>
      </c>
    </row>
    <row r="6901" spans="1:6" x14ac:dyDescent="0.55000000000000004">
      <c r="A6901" t="s">
        <v>179</v>
      </c>
      <c r="B6901" t="s">
        <v>39</v>
      </c>
      <c r="C6901">
        <v>4617.2030999999997</v>
      </c>
      <c r="D6901" t="s">
        <v>305</v>
      </c>
      <c r="E6901">
        <v>2025</v>
      </c>
      <c r="F6901">
        <v>9</v>
      </c>
    </row>
    <row r="6902" spans="1:6" x14ac:dyDescent="0.55000000000000004">
      <c r="A6902" t="s">
        <v>179</v>
      </c>
      <c r="B6902" t="s">
        <v>40</v>
      </c>
      <c r="C6902">
        <v>730.00260000000003</v>
      </c>
      <c r="D6902" t="s">
        <v>305</v>
      </c>
      <c r="E6902">
        <v>2025</v>
      </c>
      <c r="F6902">
        <v>9</v>
      </c>
    </row>
    <row r="6903" spans="1:6" x14ac:dyDescent="0.55000000000000004">
      <c r="A6903" t="s">
        <v>179</v>
      </c>
      <c r="B6903" t="s">
        <v>41</v>
      </c>
      <c r="C6903">
        <v>212300.00260000001</v>
      </c>
      <c r="D6903" t="s">
        <v>305</v>
      </c>
      <c r="E6903">
        <v>2025</v>
      </c>
      <c r="F6903">
        <v>9</v>
      </c>
    </row>
    <row r="6904" spans="1:6" x14ac:dyDescent="0.55000000000000004">
      <c r="A6904" t="s">
        <v>179</v>
      </c>
      <c r="B6904" t="s">
        <v>42</v>
      </c>
      <c r="C6904">
        <v>68.900000000000006</v>
      </c>
      <c r="D6904" t="s">
        <v>305</v>
      </c>
      <c r="E6904">
        <v>2025</v>
      </c>
      <c r="F6904">
        <v>9</v>
      </c>
    </row>
    <row r="6905" spans="1:6" x14ac:dyDescent="0.55000000000000004">
      <c r="A6905" t="s">
        <v>179</v>
      </c>
      <c r="B6905" t="s">
        <v>43</v>
      </c>
      <c r="C6905">
        <v>95674.424899999998</v>
      </c>
      <c r="D6905" t="s">
        <v>305</v>
      </c>
      <c r="E6905">
        <v>2025</v>
      </c>
      <c r="F6905">
        <v>9</v>
      </c>
    </row>
    <row r="6906" spans="1:6" x14ac:dyDescent="0.55000000000000004">
      <c r="A6906" t="s">
        <v>179</v>
      </c>
      <c r="B6906" t="s">
        <v>45</v>
      </c>
      <c r="C6906">
        <v>2303.665</v>
      </c>
      <c r="D6906" t="s">
        <v>305</v>
      </c>
      <c r="E6906">
        <v>2025</v>
      </c>
      <c r="F6906">
        <v>9</v>
      </c>
    </row>
    <row r="6907" spans="1:6" x14ac:dyDescent="0.55000000000000004">
      <c r="A6907" t="s">
        <v>179</v>
      </c>
      <c r="B6907" t="s">
        <v>46</v>
      </c>
      <c r="C6907">
        <v>77815.039999999994</v>
      </c>
      <c r="D6907" t="s">
        <v>305</v>
      </c>
      <c r="E6907">
        <v>2025</v>
      </c>
      <c r="F6907">
        <v>9</v>
      </c>
    </row>
    <row r="6908" spans="1:6" x14ac:dyDescent="0.55000000000000004">
      <c r="A6908" t="s">
        <v>179</v>
      </c>
      <c r="B6908" t="s">
        <v>47</v>
      </c>
      <c r="C6908">
        <v>3.2153</v>
      </c>
      <c r="D6908" t="s">
        <v>305</v>
      </c>
      <c r="E6908">
        <v>2025</v>
      </c>
      <c r="F6908">
        <v>9</v>
      </c>
    </row>
    <row r="6909" spans="1:6" x14ac:dyDescent="0.55000000000000004">
      <c r="A6909" t="s">
        <v>179</v>
      </c>
      <c r="B6909" t="s">
        <v>48</v>
      </c>
      <c r="C6909">
        <v>752085.93350000004</v>
      </c>
      <c r="D6909" t="s">
        <v>305</v>
      </c>
      <c r="E6909">
        <v>2025</v>
      </c>
      <c r="F6909">
        <v>9</v>
      </c>
    </row>
    <row r="6910" spans="1:6" x14ac:dyDescent="0.55000000000000004">
      <c r="A6910" t="s">
        <v>179</v>
      </c>
      <c r="B6910" t="s">
        <v>49</v>
      </c>
      <c r="C6910">
        <v>426.25799999999998</v>
      </c>
      <c r="D6910" t="s">
        <v>305</v>
      </c>
      <c r="E6910">
        <v>2025</v>
      </c>
      <c r="F6910">
        <v>9</v>
      </c>
    </row>
    <row r="6911" spans="1:6" x14ac:dyDescent="0.55000000000000004">
      <c r="A6911" t="s">
        <v>179</v>
      </c>
      <c r="B6911" t="s">
        <v>50</v>
      </c>
      <c r="C6911">
        <v>22380.799999999999</v>
      </c>
      <c r="D6911" t="s">
        <v>305</v>
      </c>
      <c r="E6911">
        <v>2025</v>
      </c>
      <c r="F6911">
        <v>9</v>
      </c>
    </row>
    <row r="6912" spans="1:6" x14ac:dyDescent="0.55000000000000004">
      <c r="A6912" t="s">
        <v>179</v>
      </c>
      <c r="B6912" t="s">
        <v>51</v>
      </c>
      <c r="C6912">
        <v>4800</v>
      </c>
      <c r="D6912" t="s">
        <v>305</v>
      </c>
      <c r="E6912">
        <v>2025</v>
      </c>
      <c r="F6912">
        <v>9</v>
      </c>
    </row>
    <row r="6913" spans="1:6" x14ac:dyDescent="0.55000000000000004">
      <c r="A6913" t="s">
        <v>179</v>
      </c>
      <c r="B6913" t="s">
        <v>52</v>
      </c>
      <c r="C6913">
        <v>198.1087</v>
      </c>
      <c r="D6913" t="s">
        <v>305</v>
      </c>
      <c r="E6913">
        <v>2025</v>
      </c>
      <c r="F6913">
        <v>9</v>
      </c>
    </row>
    <row r="6914" spans="1:6" x14ac:dyDescent="0.55000000000000004">
      <c r="A6914" t="s">
        <v>179</v>
      </c>
      <c r="B6914" t="s">
        <v>53</v>
      </c>
      <c r="C6914">
        <v>28199.991999999998</v>
      </c>
      <c r="D6914" t="s">
        <v>305</v>
      </c>
      <c r="E6914">
        <v>2025</v>
      </c>
      <c r="F6914">
        <v>9</v>
      </c>
    </row>
    <row r="6915" spans="1:6" x14ac:dyDescent="0.55000000000000004">
      <c r="A6915" t="s">
        <v>179</v>
      </c>
      <c r="B6915" t="s">
        <v>54</v>
      </c>
      <c r="C6915">
        <v>24137.1849</v>
      </c>
      <c r="D6915" t="s">
        <v>305</v>
      </c>
      <c r="E6915">
        <v>2025</v>
      </c>
      <c r="F6915">
        <v>9</v>
      </c>
    </row>
    <row r="6916" spans="1:6" x14ac:dyDescent="0.55000000000000004">
      <c r="A6916" t="s">
        <v>179</v>
      </c>
      <c r="B6916" t="s">
        <v>55</v>
      </c>
      <c r="C6916">
        <v>23654.272700000001</v>
      </c>
      <c r="D6916" t="s">
        <v>305</v>
      </c>
      <c r="E6916">
        <v>2025</v>
      </c>
      <c r="F6916">
        <v>9</v>
      </c>
    </row>
    <row r="6917" spans="1:6" x14ac:dyDescent="0.55000000000000004">
      <c r="A6917" t="s">
        <v>179</v>
      </c>
      <c r="B6917" t="s">
        <v>56</v>
      </c>
      <c r="C6917">
        <v>1344.0365999999999</v>
      </c>
      <c r="D6917" t="s">
        <v>305</v>
      </c>
      <c r="E6917">
        <v>2025</v>
      </c>
      <c r="F6917">
        <v>9</v>
      </c>
    </row>
    <row r="6918" spans="1:6" x14ac:dyDescent="0.55000000000000004">
      <c r="A6918" t="s">
        <v>179</v>
      </c>
      <c r="B6918" t="s">
        <v>57</v>
      </c>
      <c r="C6918">
        <v>80.004000000000005</v>
      </c>
      <c r="D6918" t="s">
        <v>305</v>
      </c>
      <c r="E6918">
        <v>2025</v>
      </c>
      <c r="F6918">
        <v>9</v>
      </c>
    </row>
    <row r="6919" spans="1:6" x14ac:dyDescent="0.55000000000000004">
      <c r="A6919" t="s">
        <v>179</v>
      </c>
      <c r="B6919" t="s">
        <v>58</v>
      </c>
      <c r="C6919">
        <v>844949</v>
      </c>
      <c r="D6919" t="s">
        <v>305</v>
      </c>
      <c r="E6919">
        <v>2025</v>
      </c>
      <c r="F6919">
        <v>9</v>
      </c>
    </row>
    <row r="6920" spans="1:6" x14ac:dyDescent="0.55000000000000004">
      <c r="A6920" t="s">
        <v>179</v>
      </c>
      <c r="B6920" t="s">
        <v>59</v>
      </c>
      <c r="C6920">
        <v>5000</v>
      </c>
      <c r="D6920" t="s">
        <v>305</v>
      </c>
      <c r="E6920">
        <v>2025</v>
      </c>
      <c r="F6920">
        <v>9</v>
      </c>
    </row>
    <row r="6921" spans="1:6" x14ac:dyDescent="0.55000000000000004">
      <c r="A6921" t="s">
        <v>179</v>
      </c>
      <c r="B6921" t="s">
        <v>60</v>
      </c>
      <c r="C6921">
        <v>1895689.456</v>
      </c>
      <c r="D6921" t="s">
        <v>305</v>
      </c>
      <c r="E6921">
        <v>2025</v>
      </c>
      <c r="F6921">
        <v>9</v>
      </c>
    </row>
    <row r="6922" spans="1:6" x14ac:dyDescent="0.55000000000000004">
      <c r="A6922" t="s">
        <v>179</v>
      </c>
      <c r="B6922" t="s">
        <v>61</v>
      </c>
      <c r="C6922">
        <v>3899.9956999999999</v>
      </c>
      <c r="D6922" t="s">
        <v>305</v>
      </c>
      <c r="E6922">
        <v>2025</v>
      </c>
      <c r="F6922">
        <v>9</v>
      </c>
    </row>
    <row r="6923" spans="1:6" x14ac:dyDescent="0.55000000000000004">
      <c r="A6923" t="s">
        <v>179</v>
      </c>
      <c r="B6923" t="s">
        <v>62</v>
      </c>
      <c r="C6923">
        <v>8807.2167000000009</v>
      </c>
      <c r="D6923" t="s">
        <v>305</v>
      </c>
      <c r="E6923">
        <v>2025</v>
      </c>
      <c r="F6923">
        <v>9</v>
      </c>
    </row>
    <row r="6924" spans="1:6" x14ac:dyDescent="0.55000000000000004">
      <c r="A6924" t="s">
        <v>179</v>
      </c>
      <c r="B6924" t="s">
        <v>63</v>
      </c>
      <c r="C6924">
        <v>1.7899999999999999E-2</v>
      </c>
      <c r="D6924" t="s">
        <v>305</v>
      </c>
      <c r="E6924">
        <v>2025</v>
      </c>
      <c r="F6924">
        <v>9</v>
      </c>
    </row>
    <row r="6925" spans="1:6" x14ac:dyDescent="0.55000000000000004">
      <c r="A6925" t="s">
        <v>180</v>
      </c>
      <c r="B6925" t="s">
        <v>4</v>
      </c>
      <c r="C6925">
        <v>11108134.1621</v>
      </c>
      <c r="D6925" t="s">
        <v>306</v>
      </c>
      <c r="E6925">
        <v>2025</v>
      </c>
      <c r="F6925">
        <v>10</v>
      </c>
    </row>
    <row r="6926" spans="1:6" x14ac:dyDescent="0.55000000000000004">
      <c r="A6926" t="s">
        <v>180</v>
      </c>
      <c r="B6926" t="s">
        <v>5</v>
      </c>
      <c r="C6926">
        <v>1191575.1258</v>
      </c>
      <c r="D6926" t="s">
        <v>306</v>
      </c>
      <c r="E6926">
        <v>2025</v>
      </c>
      <c r="F6926">
        <v>10</v>
      </c>
    </row>
    <row r="6927" spans="1:6" x14ac:dyDescent="0.55000000000000004">
      <c r="A6927" t="s">
        <v>180</v>
      </c>
      <c r="B6927" t="s">
        <v>6</v>
      </c>
      <c r="C6927">
        <v>1637079.2475000001</v>
      </c>
      <c r="D6927" t="s">
        <v>306</v>
      </c>
      <c r="E6927">
        <v>2025</v>
      </c>
      <c r="F6927">
        <v>10</v>
      </c>
    </row>
    <row r="6928" spans="1:6" x14ac:dyDescent="0.55000000000000004">
      <c r="A6928" t="s">
        <v>180</v>
      </c>
      <c r="B6928" t="s">
        <v>7</v>
      </c>
      <c r="C6928">
        <v>4490772.4551999997</v>
      </c>
      <c r="D6928" t="s">
        <v>306</v>
      </c>
      <c r="E6928">
        <v>2025</v>
      </c>
      <c r="F6928">
        <v>10</v>
      </c>
    </row>
    <row r="6929" spans="1:6" x14ac:dyDescent="0.55000000000000004">
      <c r="A6929" t="s">
        <v>180</v>
      </c>
      <c r="B6929" t="s">
        <v>8</v>
      </c>
      <c r="C6929">
        <v>3788707.3336</v>
      </c>
      <c r="D6929" t="s">
        <v>306</v>
      </c>
      <c r="E6929">
        <v>2025</v>
      </c>
      <c r="F6929">
        <v>10</v>
      </c>
    </row>
    <row r="6930" spans="1:6" x14ac:dyDescent="0.55000000000000004">
      <c r="A6930" t="s">
        <v>180</v>
      </c>
      <c r="B6930" t="s">
        <v>9</v>
      </c>
      <c r="C6930">
        <v>5621.6665999999996</v>
      </c>
      <c r="D6930" t="s">
        <v>306</v>
      </c>
      <c r="E6930">
        <v>2025</v>
      </c>
      <c r="F6930">
        <v>10</v>
      </c>
    </row>
    <row r="6931" spans="1:6" x14ac:dyDescent="0.55000000000000004">
      <c r="A6931" t="s">
        <v>180</v>
      </c>
      <c r="B6931" t="s">
        <v>10</v>
      </c>
      <c r="C6931">
        <v>4275.42</v>
      </c>
      <c r="D6931" t="s">
        <v>306</v>
      </c>
      <c r="E6931">
        <v>2025</v>
      </c>
      <c r="F6931">
        <v>10</v>
      </c>
    </row>
    <row r="6932" spans="1:6" x14ac:dyDescent="0.55000000000000004">
      <c r="A6932" t="s">
        <v>180</v>
      </c>
      <c r="B6932" t="s">
        <v>11</v>
      </c>
      <c r="C6932">
        <v>4261080.5694000004</v>
      </c>
      <c r="D6932" t="s">
        <v>306</v>
      </c>
      <c r="E6932">
        <v>2025</v>
      </c>
      <c r="F6932">
        <v>10</v>
      </c>
    </row>
    <row r="6933" spans="1:6" x14ac:dyDescent="0.55000000000000004">
      <c r="A6933" t="s">
        <v>180</v>
      </c>
      <c r="B6933" t="s">
        <v>12</v>
      </c>
      <c r="C6933">
        <v>14000</v>
      </c>
      <c r="D6933" t="s">
        <v>306</v>
      </c>
      <c r="E6933">
        <v>2025</v>
      </c>
      <c r="F6933">
        <v>10</v>
      </c>
    </row>
    <row r="6934" spans="1:6" x14ac:dyDescent="0.55000000000000004">
      <c r="A6934" t="s">
        <v>180</v>
      </c>
      <c r="B6934" t="s">
        <v>13</v>
      </c>
      <c r="C6934">
        <v>13655.42</v>
      </c>
      <c r="D6934" t="s">
        <v>306</v>
      </c>
      <c r="E6934">
        <v>2025</v>
      </c>
      <c r="F6934">
        <v>10</v>
      </c>
    </row>
    <row r="6935" spans="1:6" x14ac:dyDescent="0.55000000000000004">
      <c r="A6935" t="s">
        <v>180</v>
      </c>
      <c r="B6935" t="s">
        <v>14</v>
      </c>
      <c r="C6935">
        <v>1400</v>
      </c>
      <c r="D6935" t="s">
        <v>306</v>
      </c>
      <c r="E6935">
        <v>2025</v>
      </c>
      <c r="F6935">
        <v>10</v>
      </c>
    </row>
    <row r="6936" spans="1:6" x14ac:dyDescent="0.55000000000000004">
      <c r="A6936" t="s">
        <v>180</v>
      </c>
      <c r="B6936" t="s">
        <v>15</v>
      </c>
      <c r="C6936">
        <v>1065409.3256999999</v>
      </c>
      <c r="D6936" t="s">
        <v>306</v>
      </c>
      <c r="E6936">
        <v>2025</v>
      </c>
      <c r="F6936">
        <v>10</v>
      </c>
    </row>
    <row r="6937" spans="1:6" x14ac:dyDescent="0.55000000000000004">
      <c r="A6937" t="s">
        <v>180</v>
      </c>
      <c r="B6937" t="s">
        <v>17</v>
      </c>
      <c r="C6937">
        <v>30014.915799999999</v>
      </c>
      <c r="D6937" t="s">
        <v>306</v>
      </c>
      <c r="E6937">
        <v>2025</v>
      </c>
      <c r="F6937">
        <v>10</v>
      </c>
    </row>
    <row r="6938" spans="1:6" x14ac:dyDescent="0.55000000000000004">
      <c r="A6938" t="s">
        <v>180</v>
      </c>
      <c r="B6938" t="s">
        <v>18</v>
      </c>
      <c r="C6938">
        <v>57586.052000000003</v>
      </c>
      <c r="D6938" t="s">
        <v>306</v>
      </c>
      <c r="E6938">
        <v>2025</v>
      </c>
      <c r="F6938">
        <v>10</v>
      </c>
    </row>
    <row r="6939" spans="1:6" x14ac:dyDescent="0.55000000000000004">
      <c r="A6939" t="s">
        <v>180</v>
      </c>
      <c r="B6939" t="s">
        <v>19</v>
      </c>
      <c r="C6939">
        <v>1099.9917</v>
      </c>
      <c r="D6939" t="s">
        <v>306</v>
      </c>
      <c r="E6939">
        <v>2025</v>
      </c>
      <c r="F6939">
        <v>10</v>
      </c>
    </row>
    <row r="6940" spans="1:6" x14ac:dyDescent="0.55000000000000004">
      <c r="A6940" t="s">
        <v>180</v>
      </c>
      <c r="B6940" t="s">
        <v>20</v>
      </c>
      <c r="C6940">
        <v>12600</v>
      </c>
      <c r="D6940" t="s">
        <v>306</v>
      </c>
      <c r="E6940">
        <v>2025</v>
      </c>
      <c r="F6940">
        <v>10</v>
      </c>
    </row>
    <row r="6941" spans="1:6" x14ac:dyDescent="0.55000000000000004">
      <c r="A6941" t="s">
        <v>180</v>
      </c>
      <c r="B6941" t="s">
        <v>21</v>
      </c>
      <c r="C6941">
        <v>15465.3333</v>
      </c>
      <c r="D6941" t="s">
        <v>306</v>
      </c>
      <c r="E6941">
        <v>2025</v>
      </c>
      <c r="F6941">
        <v>10</v>
      </c>
    </row>
    <row r="6942" spans="1:6" x14ac:dyDescent="0.55000000000000004">
      <c r="A6942" t="s">
        <v>180</v>
      </c>
      <c r="B6942" t="s">
        <v>22</v>
      </c>
      <c r="C6942">
        <v>34190.408000000003</v>
      </c>
      <c r="D6942" t="s">
        <v>306</v>
      </c>
      <c r="E6942">
        <v>2025</v>
      </c>
      <c r="F6942">
        <v>10</v>
      </c>
    </row>
    <row r="6943" spans="1:6" x14ac:dyDescent="0.55000000000000004">
      <c r="A6943" t="s">
        <v>180</v>
      </c>
      <c r="B6943" t="s">
        <v>23</v>
      </c>
      <c r="C6943">
        <v>5500.0006999999996</v>
      </c>
      <c r="D6943" t="s">
        <v>306</v>
      </c>
      <c r="E6943">
        <v>2025</v>
      </c>
      <c r="F6943">
        <v>10</v>
      </c>
    </row>
    <row r="6944" spans="1:6" x14ac:dyDescent="0.55000000000000004">
      <c r="A6944" t="s">
        <v>180</v>
      </c>
      <c r="B6944" t="s">
        <v>25</v>
      </c>
      <c r="C6944">
        <v>620000</v>
      </c>
      <c r="D6944" t="s">
        <v>306</v>
      </c>
      <c r="E6944">
        <v>2025</v>
      </c>
      <c r="F6944">
        <v>10</v>
      </c>
    </row>
    <row r="6945" spans="1:6" x14ac:dyDescent="0.55000000000000004">
      <c r="A6945" t="s">
        <v>180</v>
      </c>
      <c r="B6945" t="s">
        <v>27</v>
      </c>
      <c r="C6945">
        <v>847.08879999999999</v>
      </c>
      <c r="D6945" t="s">
        <v>306</v>
      </c>
      <c r="E6945">
        <v>2025</v>
      </c>
      <c r="F6945">
        <v>10</v>
      </c>
    </row>
    <row r="6946" spans="1:6" x14ac:dyDescent="0.55000000000000004">
      <c r="A6946" t="s">
        <v>180</v>
      </c>
      <c r="B6946" t="s">
        <v>28</v>
      </c>
      <c r="C6946">
        <v>34414.128400000001</v>
      </c>
      <c r="D6946" t="s">
        <v>306</v>
      </c>
      <c r="E6946">
        <v>2025</v>
      </c>
      <c r="F6946">
        <v>10</v>
      </c>
    </row>
    <row r="6947" spans="1:6" x14ac:dyDescent="0.55000000000000004">
      <c r="A6947" t="s">
        <v>180</v>
      </c>
      <c r="B6947" t="s">
        <v>29</v>
      </c>
      <c r="C6947">
        <v>1662.9295</v>
      </c>
      <c r="D6947" t="s">
        <v>306</v>
      </c>
      <c r="E6947">
        <v>2025</v>
      </c>
      <c r="F6947">
        <v>10</v>
      </c>
    </row>
    <row r="6948" spans="1:6" x14ac:dyDescent="0.55000000000000004">
      <c r="A6948" t="s">
        <v>180</v>
      </c>
      <c r="B6948" t="s">
        <v>30</v>
      </c>
      <c r="C6948">
        <v>5.7148000000000003</v>
      </c>
      <c r="D6948" t="s">
        <v>306</v>
      </c>
      <c r="E6948">
        <v>2025</v>
      </c>
      <c r="F6948">
        <v>10</v>
      </c>
    </row>
    <row r="6949" spans="1:6" x14ac:dyDescent="0.55000000000000004">
      <c r="A6949" t="s">
        <v>180</v>
      </c>
      <c r="B6949" t="s">
        <v>31</v>
      </c>
      <c r="C6949">
        <v>10</v>
      </c>
      <c r="D6949" t="s">
        <v>306</v>
      </c>
      <c r="E6949">
        <v>2025</v>
      </c>
      <c r="F6949">
        <v>10</v>
      </c>
    </row>
    <row r="6950" spans="1:6" x14ac:dyDescent="0.55000000000000004">
      <c r="A6950" t="s">
        <v>180</v>
      </c>
      <c r="B6950" t="s">
        <v>32</v>
      </c>
      <c r="C6950">
        <v>29951.91</v>
      </c>
      <c r="D6950" t="s">
        <v>306</v>
      </c>
      <c r="E6950">
        <v>2025</v>
      </c>
      <c r="F6950">
        <v>10</v>
      </c>
    </row>
    <row r="6951" spans="1:6" x14ac:dyDescent="0.55000000000000004">
      <c r="A6951" t="s">
        <v>180</v>
      </c>
      <c r="B6951" t="s">
        <v>33</v>
      </c>
      <c r="C6951">
        <v>442164.9914</v>
      </c>
      <c r="D6951" t="s">
        <v>306</v>
      </c>
      <c r="E6951">
        <v>2025</v>
      </c>
      <c r="F6951">
        <v>10</v>
      </c>
    </row>
    <row r="6952" spans="1:6" x14ac:dyDescent="0.55000000000000004">
      <c r="A6952" t="s">
        <v>180</v>
      </c>
      <c r="B6952" t="s">
        <v>34</v>
      </c>
      <c r="C6952">
        <v>1199000.0120000001</v>
      </c>
      <c r="D6952" t="s">
        <v>306</v>
      </c>
      <c r="E6952">
        <v>2025</v>
      </c>
      <c r="F6952">
        <v>10</v>
      </c>
    </row>
    <row r="6953" spans="1:6" x14ac:dyDescent="0.55000000000000004">
      <c r="A6953" t="s">
        <v>180</v>
      </c>
      <c r="B6953" t="s">
        <v>35</v>
      </c>
      <c r="C6953">
        <v>1449.1079999999999</v>
      </c>
      <c r="D6953" t="s">
        <v>306</v>
      </c>
      <c r="E6953">
        <v>2025</v>
      </c>
      <c r="F6953">
        <v>10</v>
      </c>
    </row>
    <row r="6954" spans="1:6" x14ac:dyDescent="0.55000000000000004">
      <c r="A6954" t="s">
        <v>180</v>
      </c>
      <c r="B6954" t="s">
        <v>36</v>
      </c>
      <c r="C6954">
        <v>44785.000099999997</v>
      </c>
      <c r="D6954" t="s">
        <v>306</v>
      </c>
      <c r="E6954">
        <v>2025</v>
      </c>
      <c r="F6954">
        <v>10</v>
      </c>
    </row>
    <row r="6955" spans="1:6" x14ac:dyDescent="0.55000000000000004">
      <c r="A6955" t="s">
        <v>180</v>
      </c>
      <c r="B6955" t="s">
        <v>37</v>
      </c>
      <c r="C6955">
        <v>61999.9954</v>
      </c>
      <c r="D6955" t="s">
        <v>306</v>
      </c>
      <c r="E6955">
        <v>2025</v>
      </c>
      <c r="F6955">
        <v>10</v>
      </c>
    </row>
    <row r="6956" spans="1:6" x14ac:dyDescent="0.55000000000000004">
      <c r="A6956" t="s">
        <v>180</v>
      </c>
      <c r="B6956" t="s">
        <v>39</v>
      </c>
      <c r="C6956">
        <v>3904.5745999999999</v>
      </c>
      <c r="D6956" t="s">
        <v>306</v>
      </c>
      <c r="E6956">
        <v>2025</v>
      </c>
      <c r="F6956">
        <v>10</v>
      </c>
    </row>
    <row r="6957" spans="1:6" x14ac:dyDescent="0.55000000000000004">
      <c r="A6957" t="s">
        <v>180</v>
      </c>
      <c r="B6957" t="s">
        <v>40</v>
      </c>
      <c r="C6957">
        <v>509.995</v>
      </c>
      <c r="D6957" t="s">
        <v>306</v>
      </c>
      <c r="E6957">
        <v>2025</v>
      </c>
      <c r="F6957">
        <v>10</v>
      </c>
    </row>
    <row r="6958" spans="1:6" x14ac:dyDescent="0.55000000000000004">
      <c r="A6958" t="s">
        <v>180</v>
      </c>
      <c r="B6958" t="s">
        <v>41</v>
      </c>
      <c r="C6958">
        <v>159007.73480000001</v>
      </c>
      <c r="D6958" t="s">
        <v>306</v>
      </c>
      <c r="E6958">
        <v>2025</v>
      </c>
      <c r="F6958">
        <v>10</v>
      </c>
    </row>
    <row r="6959" spans="1:6" x14ac:dyDescent="0.55000000000000004">
      <c r="A6959" t="s">
        <v>180</v>
      </c>
      <c r="B6959" t="s">
        <v>42</v>
      </c>
      <c r="C6959">
        <v>16.647500000000001</v>
      </c>
      <c r="D6959" t="s">
        <v>306</v>
      </c>
      <c r="E6959">
        <v>2025</v>
      </c>
      <c r="F6959">
        <v>10</v>
      </c>
    </row>
    <row r="6960" spans="1:6" x14ac:dyDescent="0.55000000000000004">
      <c r="A6960" t="s">
        <v>180</v>
      </c>
      <c r="B6960" t="s">
        <v>43</v>
      </c>
      <c r="C6960">
        <v>56514.257299999997</v>
      </c>
      <c r="D6960" t="s">
        <v>306</v>
      </c>
      <c r="E6960">
        <v>2025</v>
      </c>
      <c r="F6960">
        <v>10</v>
      </c>
    </row>
    <row r="6961" spans="1:6" x14ac:dyDescent="0.55000000000000004">
      <c r="A6961" t="s">
        <v>180</v>
      </c>
      <c r="B6961" t="s">
        <v>45</v>
      </c>
      <c r="C6961">
        <v>1947.49</v>
      </c>
      <c r="D6961" t="s">
        <v>306</v>
      </c>
      <c r="E6961">
        <v>2025</v>
      </c>
      <c r="F6961">
        <v>10</v>
      </c>
    </row>
    <row r="6962" spans="1:6" x14ac:dyDescent="0.55000000000000004">
      <c r="A6962" t="s">
        <v>180</v>
      </c>
      <c r="B6962" t="s">
        <v>46</v>
      </c>
      <c r="C6962">
        <v>95852.917600000001</v>
      </c>
      <c r="D6962" t="s">
        <v>306</v>
      </c>
      <c r="E6962">
        <v>2025</v>
      </c>
      <c r="F6962">
        <v>10</v>
      </c>
    </row>
    <row r="6963" spans="1:6" x14ac:dyDescent="0.55000000000000004">
      <c r="A6963" t="s">
        <v>180</v>
      </c>
      <c r="B6963" t="s">
        <v>47</v>
      </c>
      <c r="C6963">
        <v>1.6941999999999999</v>
      </c>
      <c r="D6963" t="s">
        <v>306</v>
      </c>
      <c r="E6963">
        <v>2025</v>
      </c>
      <c r="F6963">
        <v>10</v>
      </c>
    </row>
    <row r="6964" spans="1:6" x14ac:dyDescent="0.55000000000000004">
      <c r="A6964" t="s">
        <v>180</v>
      </c>
      <c r="B6964" t="s">
        <v>48</v>
      </c>
      <c r="C6964">
        <v>659372.34840000002</v>
      </c>
      <c r="D6964" t="s">
        <v>306</v>
      </c>
      <c r="E6964">
        <v>2025</v>
      </c>
      <c r="F6964">
        <v>10</v>
      </c>
    </row>
    <row r="6965" spans="1:6" x14ac:dyDescent="0.55000000000000004">
      <c r="A6965" t="s">
        <v>180</v>
      </c>
      <c r="B6965" t="s">
        <v>49</v>
      </c>
      <c r="C6965">
        <v>439.2627</v>
      </c>
      <c r="D6965" t="s">
        <v>306</v>
      </c>
      <c r="E6965">
        <v>2025</v>
      </c>
      <c r="F6965">
        <v>10</v>
      </c>
    </row>
    <row r="6966" spans="1:6" x14ac:dyDescent="0.55000000000000004">
      <c r="A6966" t="s">
        <v>180</v>
      </c>
      <c r="B6966" t="s">
        <v>50</v>
      </c>
      <c r="C6966">
        <v>24380.799999999999</v>
      </c>
      <c r="D6966" t="s">
        <v>306</v>
      </c>
      <c r="E6966">
        <v>2025</v>
      </c>
      <c r="F6966">
        <v>10</v>
      </c>
    </row>
    <row r="6967" spans="1:6" x14ac:dyDescent="0.55000000000000004">
      <c r="A6967" t="s">
        <v>180</v>
      </c>
      <c r="B6967" t="s">
        <v>51</v>
      </c>
      <c r="C6967">
        <v>1500</v>
      </c>
      <c r="D6967" t="s">
        <v>306</v>
      </c>
      <c r="E6967">
        <v>2025</v>
      </c>
      <c r="F6967">
        <v>10</v>
      </c>
    </row>
    <row r="6968" spans="1:6" x14ac:dyDescent="0.55000000000000004">
      <c r="A6968" t="s">
        <v>180</v>
      </c>
      <c r="B6968" t="s">
        <v>52</v>
      </c>
      <c r="C6968">
        <v>181.40960000000001</v>
      </c>
      <c r="D6968" t="s">
        <v>306</v>
      </c>
      <c r="E6968">
        <v>2025</v>
      </c>
      <c r="F6968">
        <v>10</v>
      </c>
    </row>
    <row r="6969" spans="1:6" x14ac:dyDescent="0.55000000000000004">
      <c r="A6969" t="s">
        <v>180</v>
      </c>
      <c r="B6969" t="s">
        <v>53</v>
      </c>
      <c r="C6969">
        <v>111761.60000000001</v>
      </c>
      <c r="D6969" t="s">
        <v>306</v>
      </c>
      <c r="E6969">
        <v>2025</v>
      </c>
      <c r="F6969">
        <v>10</v>
      </c>
    </row>
    <row r="6970" spans="1:6" x14ac:dyDescent="0.55000000000000004">
      <c r="A6970" t="s">
        <v>180</v>
      </c>
      <c r="B6970" t="s">
        <v>54</v>
      </c>
      <c r="C6970">
        <v>18045.192800000001</v>
      </c>
      <c r="D6970" t="s">
        <v>306</v>
      </c>
      <c r="E6970">
        <v>2025</v>
      </c>
      <c r="F6970">
        <v>10</v>
      </c>
    </row>
    <row r="6971" spans="1:6" x14ac:dyDescent="0.55000000000000004">
      <c r="A6971" t="s">
        <v>180</v>
      </c>
      <c r="B6971" t="s">
        <v>55</v>
      </c>
      <c r="C6971">
        <v>14512.4782</v>
      </c>
      <c r="D6971" t="s">
        <v>306</v>
      </c>
      <c r="E6971">
        <v>2025</v>
      </c>
      <c r="F6971">
        <v>10</v>
      </c>
    </row>
    <row r="6972" spans="1:6" x14ac:dyDescent="0.55000000000000004">
      <c r="A6972" t="s">
        <v>180</v>
      </c>
      <c r="B6972" t="s">
        <v>56</v>
      </c>
      <c r="C6972">
        <v>3400</v>
      </c>
      <c r="D6972" t="s">
        <v>306</v>
      </c>
      <c r="E6972">
        <v>2025</v>
      </c>
      <c r="F6972">
        <v>10</v>
      </c>
    </row>
    <row r="6973" spans="1:6" x14ac:dyDescent="0.55000000000000004">
      <c r="A6973" t="s">
        <v>180</v>
      </c>
      <c r="B6973" t="s">
        <v>57</v>
      </c>
      <c r="C6973">
        <v>69.994</v>
      </c>
      <c r="D6973" t="s">
        <v>306</v>
      </c>
      <c r="E6973">
        <v>2025</v>
      </c>
      <c r="F6973">
        <v>10</v>
      </c>
    </row>
    <row r="6974" spans="1:6" x14ac:dyDescent="0.55000000000000004">
      <c r="A6974" t="s">
        <v>180</v>
      </c>
      <c r="B6974" t="s">
        <v>58</v>
      </c>
      <c r="C6974">
        <v>687211.52000000002</v>
      </c>
      <c r="D6974" t="s">
        <v>306</v>
      </c>
      <c r="E6974">
        <v>2025</v>
      </c>
      <c r="F6974">
        <v>10</v>
      </c>
    </row>
    <row r="6975" spans="1:6" x14ac:dyDescent="0.55000000000000004">
      <c r="A6975" t="s">
        <v>180</v>
      </c>
      <c r="B6975" t="s">
        <v>59</v>
      </c>
      <c r="C6975">
        <v>14000</v>
      </c>
      <c r="D6975" t="s">
        <v>306</v>
      </c>
      <c r="E6975">
        <v>2025</v>
      </c>
      <c r="F6975">
        <v>10</v>
      </c>
    </row>
    <row r="6976" spans="1:6" x14ac:dyDescent="0.55000000000000004">
      <c r="A6976" t="s">
        <v>180</v>
      </c>
      <c r="B6976" t="s">
        <v>60</v>
      </c>
      <c r="C6976">
        <v>1287378.1414999999</v>
      </c>
      <c r="D6976" t="s">
        <v>306</v>
      </c>
      <c r="E6976">
        <v>2025</v>
      </c>
      <c r="F6976">
        <v>10</v>
      </c>
    </row>
    <row r="6977" spans="1:6" x14ac:dyDescent="0.55000000000000004">
      <c r="A6977" t="s">
        <v>180</v>
      </c>
      <c r="B6977" t="s">
        <v>61</v>
      </c>
      <c r="C6977">
        <v>4600.0033000000003</v>
      </c>
      <c r="D6977" t="s">
        <v>306</v>
      </c>
      <c r="E6977">
        <v>2025</v>
      </c>
      <c r="F6977">
        <v>10</v>
      </c>
    </row>
    <row r="6978" spans="1:6" x14ac:dyDescent="0.55000000000000004">
      <c r="A6978" t="s">
        <v>180</v>
      </c>
      <c r="B6978" t="s">
        <v>62</v>
      </c>
      <c r="C6978">
        <v>5336</v>
      </c>
      <c r="D6978" t="s">
        <v>306</v>
      </c>
      <c r="E6978">
        <v>2025</v>
      </c>
      <c r="F6978">
        <v>10</v>
      </c>
    </row>
    <row r="6979" spans="1:6" x14ac:dyDescent="0.55000000000000004">
      <c r="A6979" t="s">
        <v>180</v>
      </c>
      <c r="B6979" t="s">
        <v>63</v>
      </c>
      <c r="C6979">
        <v>0.11899999999999999</v>
      </c>
      <c r="D6979" t="s">
        <v>306</v>
      </c>
      <c r="E6979">
        <v>2025</v>
      </c>
      <c r="F6979">
        <v>10</v>
      </c>
    </row>
    <row r="6980" spans="1:6" x14ac:dyDescent="0.55000000000000004">
      <c r="A6980" t="s">
        <v>181</v>
      </c>
      <c r="B6980" t="s">
        <v>4</v>
      </c>
      <c r="C6980">
        <v>10749261.8936</v>
      </c>
      <c r="D6980" t="s">
        <v>307</v>
      </c>
      <c r="E6980">
        <v>2025</v>
      </c>
      <c r="F6980">
        <v>11</v>
      </c>
    </row>
    <row r="6981" spans="1:6" x14ac:dyDescent="0.55000000000000004">
      <c r="A6981" t="s">
        <v>181</v>
      </c>
      <c r="B6981" t="s">
        <v>5</v>
      </c>
      <c r="C6981">
        <v>1317559.3115999999</v>
      </c>
      <c r="D6981" t="s">
        <v>307</v>
      </c>
      <c r="E6981">
        <v>2025</v>
      </c>
      <c r="F6981">
        <v>11</v>
      </c>
    </row>
    <row r="6982" spans="1:6" x14ac:dyDescent="0.55000000000000004">
      <c r="A6982" t="s">
        <v>181</v>
      </c>
      <c r="B6982" t="s">
        <v>6</v>
      </c>
      <c r="C6982">
        <v>1497979.5449999999</v>
      </c>
      <c r="D6982" t="s">
        <v>307</v>
      </c>
      <c r="E6982">
        <v>2025</v>
      </c>
      <c r="F6982">
        <v>11</v>
      </c>
    </row>
    <row r="6983" spans="1:6" x14ac:dyDescent="0.55000000000000004">
      <c r="A6983" t="s">
        <v>181</v>
      </c>
      <c r="B6983" t="s">
        <v>7</v>
      </c>
      <c r="C6983">
        <v>3979124.6987000001</v>
      </c>
      <c r="D6983" t="s">
        <v>307</v>
      </c>
      <c r="E6983">
        <v>2025</v>
      </c>
      <c r="F6983">
        <v>11</v>
      </c>
    </row>
    <row r="6984" spans="1:6" x14ac:dyDescent="0.55000000000000004">
      <c r="A6984" t="s">
        <v>181</v>
      </c>
      <c r="B6984" t="s">
        <v>8</v>
      </c>
      <c r="C6984">
        <v>3954598.3382999999</v>
      </c>
      <c r="D6984" t="s">
        <v>307</v>
      </c>
      <c r="E6984">
        <v>2025</v>
      </c>
      <c r="F6984">
        <v>11</v>
      </c>
    </row>
    <row r="6985" spans="1:6" x14ac:dyDescent="0.55000000000000004">
      <c r="A6985" t="s">
        <v>181</v>
      </c>
      <c r="B6985" t="s">
        <v>9</v>
      </c>
      <c r="C6985">
        <v>2565.8712999999998</v>
      </c>
      <c r="D6985" t="s">
        <v>307</v>
      </c>
      <c r="E6985">
        <v>2025</v>
      </c>
      <c r="F6985">
        <v>11</v>
      </c>
    </row>
    <row r="6986" spans="1:6" x14ac:dyDescent="0.55000000000000004">
      <c r="A6986" t="s">
        <v>181</v>
      </c>
      <c r="B6986" t="s">
        <v>10</v>
      </c>
      <c r="C6986">
        <v>5675.31</v>
      </c>
      <c r="D6986" t="s">
        <v>307</v>
      </c>
      <c r="E6986">
        <v>2025</v>
      </c>
      <c r="F6986">
        <v>11</v>
      </c>
    </row>
    <row r="6987" spans="1:6" x14ac:dyDescent="0.55000000000000004">
      <c r="A6987" t="s">
        <v>181</v>
      </c>
      <c r="B6987" t="s">
        <v>11</v>
      </c>
      <c r="C6987">
        <v>3650503.9964000001</v>
      </c>
      <c r="D6987" t="s">
        <v>307</v>
      </c>
      <c r="E6987">
        <v>2025</v>
      </c>
      <c r="F6987">
        <v>11</v>
      </c>
    </row>
    <row r="6988" spans="1:6" x14ac:dyDescent="0.55000000000000004">
      <c r="A6988" t="s">
        <v>181</v>
      </c>
      <c r="B6988" t="s">
        <v>12</v>
      </c>
      <c r="C6988">
        <v>12000</v>
      </c>
      <c r="D6988" t="s">
        <v>307</v>
      </c>
      <c r="E6988">
        <v>2025</v>
      </c>
      <c r="F6988">
        <v>11</v>
      </c>
    </row>
    <row r="6989" spans="1:6" x14ac:dyDescent="0.55000000000000004">
      <c r="A6989" t="s">
        <v>181</v>
      </c>
      <c r="B6989" t="s">
        <v>13</v>
      </c>
      <c r="C6989">
        <v>13053.47</v>
      </c>
      <c r="D6989" t="s">
        <v>307</v>
      </c>
      <c r="E6989">
        <v>2025</v>
      </c>
      <c r="F6989">
        <v>11</v>
      </c>
    </row>
    <row r="6990" spans="1:6" x14ac:dyDescent="0.55000000000000004">
      <c r="A6990" t="s">
        <v>181</v>
      </c>
      <c r="B6990" t="s">
        <v>14</v>
      </c>
      <c r="C6990">
        <v>640</v>
      </c>
      <c r="D6990" t="s">
        <v>307</v>
      </c>
      <c r="E6990">
        <v>2025</v>
      </c>
      <c r="F6990">
        <v>11</v>
      </c>
    </row>
    <row r="6991" spans="1:6" x14ac:dyDescent="0.55000000000000004">
      <c r="A6991" t="s">
        <v>181</v>
      </c>
      <c r="B6991" t="s">
        <v>15</v>
      </c>
      <c r="C6991">
        <v>1227217.3115000001</v>
      </c>
      <c r="D6991" t="s">
        <v>307</v>
      </c>
      <c r="E6991">
        <v>2025</v>
      </c>
      <c r="F6991">
        <v>11</v>
      </c>
    </row>
    <row r="6992" spans="1:6" x14ac:dyDescent="0.55000000000000004">
      <c r="A6992" t="s">
        <v>181</v>
      </c>
      <c r="B6992" t="s">
        <v>17</v>
      </c>
      <c r="C6992">
        <v>25452.228500000001</v>
      </c>
      <c r="D6992" t="s">
        <v>307</v>
      </c>
      <c r="E6992">
        <v>2025</v>
      </c>
      <c r="F6992">
        <v>11</v>
      </c>
    </row>
    <row r="6993" spans="1:6" x14ac:dyDescent="0.55000000000000004">
      <c r="A6993" t="s">
        <v>181</v>
      </c>
      <c r="B6993" t="s">
        <v>18</v>
      </c>
      <c r="C6993">
        <v>44286.000599999999</v>
      </c>
      <c r="D6993" t="s">
        <v>307</v>
      </c>
      <c r="E6993">
        <v>2025</v>
      </c>
      <c r="F6993">
        <v>11</v>
      </c>
    </row>
    <row r="6994" spans="1:6" x14ac:dyDescent="0.55000000000000004">
      <c r="A6994" t="s">
        <v>181</v>
      </c>
      <c r="B6994" t="s">
        <v>19</v>
      </c>
      <c r="C6994">
        <v>2299.991</v>
      </c>
      <c r="D6994" t="s">
        <v>307</v>
      </c>
      <c r="E6994">
        <v>2025</v>
      </c>
      <c r="F6994">
        <v>11</v>
      </c>
    </row>
    <row r="6995" spans="1:6" x14ac:dyDescent="0.55000000000000004">
      <c r="A6995" t="s">
        <v>181</v>
      </c>
      <c r="B6995" t="s">
        <v>20</v>
      </c>
      <c r="C6995">
        <v>14000</v>
      </c>
      <c r="D6995" t="s">
        <v>307</v>
      </c>
      <c r="E6995">
        <v>2025</v>
      </c>
      <c r="F6995">
        <v>11</v>
      </c>
    </row>
    <row r="6996" spans="1:6" x14ac:dyDescent="0.55000000000000004">
      <c r="A6996" t="s">
        <v>181</v>
      </c>
      <c r="B6996" t="s">
        <v>21</v>
      </c>
      <c r="C6996">
        <v>16599.7857</v>
      </c>
      <c r="D6996" t="s">
        <v>307</v>
      </c>
      <c r="E6996">
        <v>2025</v>
      </c>
      <c r="F6996">
        <v>11</v>
      </c>
    </row>
    <row r="6997" spans="1:6" x14ac:dyDescent="0.55000000000000004">
      <c r="A6997" t="s">
        <v>181</v>
      </c>
      <c r="B6997" t="s">
        <v>22</v>
      </c>
      <c r="C6997">
        <v>61998.866000000002</v>
      </c>
      <c r="D6997" t="s">
        <v>307</v>
      </c>
      <c r="E6997">
        <v>2025</v>
      </c>
      <c r="F6997">
        <v>11</v>
      </c>
    </row>
    <row r="6998" spans="1:6" x14ac:dyDescent="0.55000000000000004">
      <c r="A6998" t="s">
        <v>181</v>
      </c>
      <c r="B6998" t="s">
        <v>23</v>
      </c>
      <c r="C6998">
        <v>6400.0047000000004</v>
      </c>
      <c r="D6998" t="s">
        <v>307</v>
      </c>
      <c r="E6998">
        <v>2025</v>
      </c>
      <c r="F6998">
        <v>11</v>
      </c>
    </row>
    <row r="6999" spans="1:6" x14ac:dyDescent="0.55000000000000004">
      <c r="A6999" t="s">
        <v>181</v>
      </c>
      <c r="B6999" t="s">
        <v>25</v>
      </c>
      <c r="C6999">
        <v>460000</v>
      </c>
      <c r="D6999" t="s">
        <v>307</v>
      </c>
      <c r="E6999">
        <v>2025</v>
      </c>
      <c r="F6999">
        <v>11</v>
      </c>
    </row>
    <row r="7000" spans="1:6" x14ac:dyDescent="0.55000000000000004">
      <c r="A7000" t="s">
        <v>181</v>
      </c>
      <c r="B7000" t="s">
        <v>27</v>
      </c>
      <c r="C7000">
        <v>1551.1014</v>
      </c>
      <c r="D7000" t="s">
        <v>307</v>
      </c>
      <c r="E7000">
        <v>2025</v>
      </c>
      <c r="F7000">
        <v>11</v>
      </c>
    </row>
    <row r="7001" spans="1:6" x14ac:dyDescent="0.55000000000000004">
      <c r="A7001" t="s">
        <v>181</v>
      </c>
      <c r="B7001" t="s">
        <v>28</v>
      </c>
      <c r="C7001">
        <v>35530.950400000002</v>
      </c>
      <c r="D7001" t="s">
        <v>307</v>
      </c>
      <c r="E7001">
        <v>2025</v>
      </c>
      <c r="F7001">
        <v>11</v>
      </c>
    </row>
    <row r="7002" spans="1:6" x14ac:dyDescent="0.55000000000000004">
      <c r="A7002" t="s">
        <v>181</v>
      </c>
      <c r="B7002" t="s">
        <v>29</v>
      </c>
      <c r="C7002">
        <v>471.08330000000001</v>
      </c>
      <c r="D7002" t="s">
        <v>307</v>
      </c>
      <c r="E7002">
        <v>2025</v>
      </c>
      <c r="F7002">
        <v>11</v>
      </c>
    </row>
    <row r="7003" spans="1:6" x14ac:dyDescent="0.55000000000000004">
      <c r="A7003" t="s">
        <v>181</v>
      </c>
      <c r="B7003" t="s">
        <v>30</v>
      </c>
      <c r="C7003">
        <v>78.623999999999995</v>
      </c>
      <c r="D7003" t="s">
        <v>307</v>
      </c>
      <c r="E7003">
        <v>2025</v>
      </c>
      <c r="F7003">
        <v>11</v>
      </c>
    </row>
    <row r="7004" spans="1:6" x14ac:dyDescent="0.55000000000000004">
      <c r="A7004" t="s">
        <v>181</v>
      </c>
      <c r="B7004" t="s">
        <v>31</v>
      </c>
      <c r="C7004">
        <v>70</v>
      </c>
      <c r="D7004" t="s">
        <v>307</v>
      </c>
      <c r="E7004">
        <v>2025</v>
      </c>
      <c r="F7004">
        <v>11</v>
      </c>
    </row>
    <row r="7005" spans="1:6" x14ac:dyDescent="0.55000000000000004">
      <c r="A7005" t="s">
        <v>181</v>
      </c>
      <c r="B7005" t="s">
        <v>32</v>
      </c>
      <c r="C7005">
        <v>60223.7</v>
      </c>
      <c r="D7005" t="s">
        <v>307</v>
      </c>
      <c r="E7005">
        <v>2025</v>
      </c>
      <c r="F7005">
        <v>11</v>
      </c>
    </row>
    <row r="7006" spans="1:6" x14ac:dyDescent="0.55000000000000004">
      <c r="A7006" t="s">
        <v>181</v>
      </c>
      <c r="B7006" t="s">
        <v>33</v>
      </c>
      <c r="C7006">
        <v>459350.91340000002</v>
      </c>
      <c r="D7006" t="s">
        <v>307</v>
      </c>
      <c r="E7006">
        <v>2025</v>
      </c>
      <c r="F7006">
        <v>11</v>
      </c>
    </row>
    <row r="7007" spans="1:6" x14ac:dyDescent="0.55000000000000004">
      <c r="A7007" t="s">
        <v>181</v>
      </c>
      <c r="B7007" t="s">
        <v>34</v>
      </c>
      <c r="C7007">
        <v>1073999.996</v>
      </c>
      <c r="D7007" t="s">
        <v>307</v>
      </c>
      <c r="E7007">
        <v>2025</v>
      </c>
      <c r="F7007">
        <v>11</v>
      </c>
    </row>
    <row r="7008" spans="1:6" x14ac:dyDescent="0.55000000000000004">
      <c r="A7008" t="s">
        <v>181</v>
      </c>
      <c r="B7008" t="s">
        <v>35</v>
      </c>
      <c r="C7008">
        <v>470.91230000000002</v>
      </c>
      <c r="D7008" t="s">
        <v>307</v>
      </c>
      <c r="E7008">
        <v>2025</v>
      </c>
      <c r="F7008">
        <v>11</v>
      </c>
    </row>
    <row r="7009" spans="1:6" x14ac:dyDescent="0.55000000000000004">
      <c r="A7009" t="s">
        <v>181</v>
      </c>
      <c r="B7009" t="s">
        <v>36</v>
      </c>
      <c r="C7009">
        <v>41094.000099999997</v>
      </c>
      <c r="D7009" t="s">
        <v>307</v>
      </c>
      <c r="E7009">
        <v>2025</v>
      </c>
      <c r="F7009">
        <v>11</v>
      </c>
    </row>
    <row r="7010" spans="1:6" x14ac:dyDescent="0.55000000000000004">
      <c r="A7010" t="s">
        <v>181</v>
      </c>
      <c r="B7010" t="s">
        <v>37</v>
      </c>
      <c r="C7010">
        <v>71999.9954</v>
      </c>
      <c r="D7010" t="s">
        <v>307</v>
      </c>
      <c r="E7010">
        <v>2025</v>
      </c>
      <c r="F7010">
        <v>11</v>
      </c>
    </row>
    <row r="7011" spans="1:6" x14ac:dyDescent="0.55000000000000004">
      <c r="A7011" t="s">
        <v>181</v>
      </c>
      <c r="B7011" t="s">
        <v>39</v>
      </c>
      <c r="C7011">
        <v>299.87799999999999</v>
      </c>
      <c r="D7011" t="s">
        <v>307</v>
      </c>
      <c r="E7011">
        <v>2025</v>
      </c>
      <c r="F7011">
        <v>11</v>
      </c>
    </row>
    <row r="7012" spans="1:6" x14ac:dyDescent="0.55000000000000004">
      <c r="A7012" t="s">
        <v>181</v>
      </c>
      <c r="B7012" t="s">
        <v>40</v>
      </c>
      <c r="C7012">
        <v>640</v>
      </c>
      <c r="D7012" t="s">
        <v>307</v>
      </c>
      <c r="E7012">
        <v>2025</v>
      </c>
      <c r="F7012">
        <v>11</v>
      </c>
    </row>
    <row r="7013" spans="1:6" x14ac:dyDescent="0.55000000000000004">
      <c r="A7013" t="s">
        <v>181</v>
      </c>
      <c r="B7013" t="s">
        <v>41</v>
      </c>
      <c r="C7013">
        <v>148876.91399999999</v>
      </c>
      <c r="D7013" t="s">
        <v>307</v>
      </c>
      <c r="E7013">
        <v>2025</v>
      </c>
      <c r="F7013">
        <v>11</v>
      </c>
    </row>
    <row r="7014" spans="1:6" x14ac:dyDescent="0.55000000000000004">
      <c r="A7014" t="s">
        <v>181</v>
      </c>
      <c r="B7014" t="s">
        <v>42</v>
      </c>
      <c r="C7014">
        <v>56.583300000000001</v>
      </c>
      <c r="D7014" t="s">
        <v>307</v>
      </c>
      <c r="E7014">
        <v>2025</v>
      </c>
      <c r="F7014">
        <v>11</v>
      </c>
    </row>
    <row r="7015" spans="1:6" x14ac:dyDescent="0.55000000000000004">
      <c r="A7015" t="s">
        <v>181</v>
      </c>
      <c r="B7015" t="s">
        <v>43</v>
      </c>
      <c r="C7015">
        <v>62652.201300000001</v>
      </c>
      <c r="D7015" t="s">
        <v>307</v>
      </c>
      <c r="E7015">
        <v>2025</v>
      </c>
      <c r="F7015">
        <v>11</v>
      </c>
    </row>
    <row r="7016" spans="1:6" x14ac:dyDescent="0.55000000000000004">
      <c r="A7016" t="s">
        <v>181</v>
      </c>
      <c r="B7016" t="s">
        <v>45</v>
      </c>
      <c r="C7016">
        <v>987.14710000000002</v>
      </c>
      <c r="D7016" t="s">
        <v>307</v>
      </c>
      <c r="E7016">
        <v>2025</v>
      </c>
      <c r="F7016">
        <v>11</v>
      </c>
    </row>
    <row r="7017" spans="1:6" x14ac:dyDescent="0.55000000000000004">
      <c r="A7017" t="s">
        <v>181</v>
      </c>
      <c r="B7017" t="s">
        <v>46</v>
      </c>
      <c r="C7017">
        <v>79635.839999999997</v>
      </c>
      <c r="D7017" t="s">
        <v>307</v>
      </c>
      <c r="E7017">
        <v>2025</v>
      </c>
      <c r="F7017">
        <v>11</v>
      </c>
    </row>
    <row r="7018" spans="1:6" x14ac:dyDescent="0.55000000000000004">
      <c r="A7018" t="s">
        <v>181</v>
      </c>
      <c r="B7018" t="s">
        <v>47</v>
      </c>
      <c r="C7018">
        <v>0.41670000000000001</v>
      </c>
      <c r="D7018" t="s">
        <v>307</v>
      </c>
      <c r="E7018">
        <v>2025</v>
      </c>
      <c r="F7018">
        <v>11</v>
      </c>
    </row>
    <row r="7019" spans="1:6" x14ac:dyDescent="0.55000000000000004">
      <c r="A7019" t="s">
        <v>181</v>
      </c>
      <c r="B7019" t="s">
        <v>48</v>
      </c>
      <c r="C7019">
        <v>530319.75879999995</v>
      </c>
      <c r="D7019" t="s">
        <v>307</v>
      </c>
      <c r="E7019">
        <v>2025</v>
      </c>
      <c r="F7019">
        <v>11</v>
      </c>
    </row>
    <row r="7020" spans="1:6" x14ac:dyDescent="0.55000000000000004">
      <c r="A7020" t="s">
        <v>181</v>
      </c>
      <c r="B7020" t="s">
        <v>49</v>
      </c>
      <c r="C7020">
        <v>294.0127</v>
      </c>
      <c r="D7020" t="s">
        <v>307</v>
      </c>
      <c r="E7020">
        <v>2025</v>
      </c>
      <c r="F7020">
        <v>11</v>
      </c>
    </row>
    <row r="7021" spans="1:6" x14ac:dyDescent="0.55000000000000004">
      <c r="A7021" t="s">
        <v>181</v>
      </c>
      <c r="B7021" t="s">
        <v>50</v>
      </c>
      <c r="C7021">
        <v>26281.599999999999</v>
      </c>
      <c r="D7021" t="s">
        <v>307</v>
      </c>
      <c r="E7021">
        <v>2025</v>
      </c>
      <c r="F7021">
        <v>11</v>
      </c>
    </row>
    <row r="7022" spans="1:6" x14ac:dyDescent="0.55000000000000004">
      <c r="A7022" t="s">
        <v>181</v>
      </c>
      <c r="B7022" t="s">
        <v>51</v>
      </c>
      <c r="C7022">
        <v>3600</v>
      </c>
      <c r="D7022" t="s">
        <v>307</v>
      </c>
      <c r="E7022">
        <v>2025</v>
      </c>
      <c r="F7022">
        <v>11</v>
      </c>
    </row>
    <row r="7023" spans="1:6" x14ac:dyDescent="0.55000000000000004">
      <c r="A7023" t="s">
        <v>181</v>
      </c>
      <c r="B7023" t="s">
        <v>52</v>
      </c>
      <c r="C7023">
        <v>878.77779999999996</v>
      </c>
      <c r="D7023" t="s">
        <v>307</v>
      </c>
      <c r="E7023">
        <v>2025</v>
      </c>
      <c r="F7023">
        <v>11</v>
      </c>
    </row>
    <row r="7024" spans="1:6" x14ac:dyDescent="0.55000000000000004">
      <c r="A7024" t="s">
        <v>181</v>
      </c>
      <c r="B7024" t="s">
        <v>53</v>
      </c>
      <c r="C7024">
        <v>84496</v>
      </c>
      <c r="D7024" t="s">
        <v>307</v>
      </c>
      <c r="E7024">
        <v>2025</v>
      </c>
      <c r="F7024">
        <v>11</v>
      </c>
    </row>
    <row r="7025" spans="1:6" x14ac:dyDescent="0.55000000000000004">
      <c r="A7025" t="s">
        <v>181</v>
      </c>
      <c r="B7025" t="s">
        <v>54</v>
      </c>
      <c r="C7025">
        <v>28788.499400000001</v>
      </c>
      <c r="D7025" t="s">
        <v>307</v>
      </c>
      <c r="E7025">
        <v>2025</v>
      </c>
      <c r="F7025">
        <v>11</v>
      </c>
    </row>
    <row r="7026" spans="1:6" x14ac:dyDescent="0.55000000000000004">
      <c r="A7026" t="s">
        <v>181</v>
      </c>
      <c r="B7026" t="s">
        <v>55</v>
      </c>
      <c r="C7026">
        <v>18081.126700000001</v>
      </c>
      <c r="D7026" t="s">
        <v>307</v>
      </c>
      <c r="E7026">
        <v>2025</v>
      </c>
      <c r="F7026">
        <v>11</v>
      </c>
    </row>
    <row r="7027" spans="1:6" x14ac:dyDescent="0.55000000000000004">
      <c r="A7027" t="s">
        <v>181</v>
      </c>
      <c r="B7027" t="s">
        <v>56</v>
      </c>
      <c r="C7027">
        <v>640</v>
      </c>
      <c r="D7027" t="s">
        <v>307</v>
      </c>
      <c r="E7027">
        <v>2025</v>
      </c>
      <c r="F7027">
        <v>11</v>
      </c>
    </row>
    <row r="7028" spans="1:6" x14ac:dyDescent="0.55000000000000004">
      <c r="A7028" t="s">
        <v>181</v>
      </c>
      <c r="B7028" t="s">
        <v>57</v>
      </c>
      <c r="C7028">
        <v>169.98990000000001</v>
      </c>
      <c r="D7028" t="s">
        <v>307</v>
      </c>
      <c r="E7028">
        <v>2025</v>
      </c>
      <c r="F7028">
        <v>11</v>
      </c>
    </row>
    <row r="7029" spans="1:6" x14ac:dyDescent="0.55000000000000004">
      <c r="A7029" t="s">
        <v>181</v>
      </c>
      <c r="B7029" t="s">
        <v>58</v>
      </c>
      <c r="C7029">
        <v>640328</v>
      </c>
      <c r="D7029" t="s">
        <v>307</v>
      </c>
      <c r="E7029">
        <v>2025</v>
      </c>
      <c r="F7029">
        <v>11</v>
      </c>
    </row>
    <row r="7030" spans="1:6" x14ac:dyDescent="0.55000000000000004">
      <c r="A7030" t="s">
        <v>181</v>
      </c>
      <c r="B7030" t="s">
        <v>59</v>
      </c>
      <c r="C7030">
        <v>1700</v>
      </c>
      <c r="D7030" t="s">
        <v>307</v>
      </c>
      <c r="E7030">
        <v>2025</v>
      </c>
      <c r="F7030">
        <v>11</v>
      </c>
    </row>
    <row r="7031" spans="1:6" x14ac:dyDescent="0.55000000000000004">
      <c r="A7031" t="s">
        <v>181</v>
      </c>
      <c r="B7031" t="s">
        <v>60</v>
      </c>
      <c r="C7031">
        <v>1818208.4325999999</v>
      </c>
      <c r="D7031" t="s">
        <v>307</v>
      </c>
      <c r="E7031">
        <v>2025</v>
      </c>
      <c r="F7031">
        <v>11</v>
      </c>
    </row>
    <row r="7032" spans="1:6" x14ac:dyDescent="0.55000000000000004">
      <c r="A7032" t="s">
        <v>181</v>
      </c>
      <c r="B7032" t="s">
        <v>61</v>
      </c>
      <c r="C7032">
        <v>5800.0033000000003</v>
      </c>
      <c r="D7032" t="s">
        <v>307</v>
      </c>
      <c r="E7032">
        <v>2025</v>
      </c>
      <c r="F7032">
        <v>11</v>
      </c>
    </row>
    <row r="7033" spans="1:6" x14ac:dyDescent="0.55000000000000004">
      <c r="A7033" t="s">
        <v>181</v>
      </c>
      <c r="B7033" t="s">
        <v>62</v>
      </c>
      <c r="C7033">
        <v>8992.6</v>
      </c>
      <c r="D7033" t="s">
        <v>307</v>
      </c>
      <c r="E7033">
        <v>2025</v>
      </c>
      <c r="F7033">
        <v>11</v>
      </c>
    </row>
    <row r="7034" spans="1:6" x14ac:dyDescent="0.55000000000000004">
      <c r="A7034" t="s">
        <v>181</v>
      </c>
      <c r="B7034" t="s">
        <v>63</v>
      </c>
      <c r="C7034">
        <v>0</v>
      </c>
      <c r="D7034" t="s">
        <v>307</v>
      </c>
      <c r="E7034">
        <v>2025</v>
      </c>
      <c r="F7034">
        <v>11</v>
      </c>
    </row>
    <row r="7035" spans="1:6" x14ac:dyDescent="0.55000000000000004">
      <c r="A7035" t="s">
        <v>182</v>
      </c>
      <c r="B7035" t="s">
        <v>4</v>
      </c>
      <c r="C7035">
        <v>11908150.0219</v>
      </c>
      <c r="D7035" t="s">
        <v>308</v>
      </c>
      <c r="E7035">
        <v>2025</v>
      </c>
      <c r="F7035">
        <v>12</v>
      </c>
    </row>
    <row r="7036" spans="1:6" x14ac:dyDescent="0.55000000000000004">
      <c r="A7036" t="s">
        <v>182</v>
      </c>
      <c r="B7036" t="s">
        <v>5</v>
      </c>
      <c r="C7036">
        <v>1180461.5209999999</v>
      </c>
      <c r="D7036" t="s">
        <v>308</v>
      </c>
      <c r="E7036">
        <v>2025</v>
      </c>
      <c r="F7036">
        <v>12</v>
      </c>
    </row>
    <row r="7037" spans="1:6" x14ac:dyDescent="0.55000000000000004">
      <c r="A7037" t="s">
        <v>182</v>
      </c>
      <c r="B7037" t="s">
        <v>6</v>
      </c>
      <c r="C7037">
        <v>1956811.4454999999</v>
      </c>
      <c r="D7037" t="s">
        <v>308</v>
      </c>
      <c r="E7037">
        <v>2025</v>
      </c>
      <c r="F7037">
        <v>12</v>
      </c>
    </row>
    <row r="7038" spans="1:6" x14ac:dyDescent="0.55000000000000004">
      <c r="A7038" t="s">
        <v>182</v>
      </c>
      <c r="B7038" t="s">
        <v>7</v>
      </c>
      <c r="C7038">
        <v>3303523.3683000002</v>
      </c>
      <c r="D7038" t="s">
        <v>308</v>
      </c>
      <c r="E7038">
        <v>2025</v>
      </c>
      <c r="F7038">
        <v>12</v>
      </c>
    </row>
    <row r="7039" spans="1:6" x14ac:dyDescent="0.55000000000000004">
      <c r="A7039" t="s">
        <v>182</v>
      </c>
      <c r="B7039" t="s">
        <v>8</v>
      </c>
      <c r="C7039">
        <v>5467353.6870999997</v>
      </c>
      <c r="D7039" t="s">
        <v>308</v>
      </c>
      <c r="E7039">
        <v>2025</v>
      </c>
      <c r="F7039">
        <v>12</v>
      </c>
    </row>
    <row r="7040" spans="1:6" x14ac:dyDescent="0.55000000000000004">
      <c r="A7040" t="s">
        <v>182</v>
      </c>
      <c r="B7040" t="s">
        <v>9</v>
      </c>
      <c r="C7040">
        <v>1630.6224999999999</v>
      </c>
      <c r="D7040" t="s">
        <v>308</v>
      </c>
      <c r="E7040">
        <v>2025</v>
      </c>
      <c r="F7040">
        <v>12</v>
      </c>
    </row>
    <row r="7041" spans="1:6" x14ac:dyDescent="0.55000000000000004">
      <c r="A7041" t="s">
        <v>182</v>
      </c>
      <c r="B7041" t="s">
        <v>10</v>
      </c>
      <c r="C7041">
        <v>4163.4439000000002</v>
      </c>
      <c r="D7041" t="s">
        <v>308</v>
      </c>
      <c r="E7041">
        <v>2025</v>
      </c>
      <c r="F7041">
        <v>12</v>
      </c>
    </row>
    <row r="7042" spans="1:6" x14ac:dyDescent="0.55000000000000004">
      <c r="A7042" t="s">
        <v>182</v>
      </c>
      <c r="B7042" t="s">
        <v>11</v>
      </c>
      <c r="C7042">
        <v>3169202.7525999998</v>
      </c>
      <c r="D7042" t="s">
        <v>308</v>
      </c>
      <c r="E7042">
        <v>2025</v>
      </c>
      <c r="F7042">
        <v>12</v>
      </c>
    </row>
    <row r="7043" spans="1:6" x14ac:dyDescent="0.55000000000000004">
      <c r="A7043" t="s">
        <v>182</v>
      </c>
      <c r="B7043" t="s">
        <v>12</v>
      </c>
      <c r="C7043">
        <v>13000</v>
      </c>
      <c r="D7043" t="s">
        <v>308</v>
      </c>
      <c r="E7043">
        <v>2025</v>
      </c>
      <c r="F7043">
        <v>12</v>
      </c>
    </row>
    <row r="7044" spans="1:6" x14ac:dyDescent="0.55000000000000004">
      <c r="A7044" t="s">
        <v>182</v>
      </c>
      <c r="B7044" t="s">
        <v>13</v>
      </c>
      <c r="C7044">
        <v>8600</v>
      </c>
      <c r="D7044" t="s">
        <v>308</v>
      </c>
      <c r="E7044">
        <v>2025</v>
      </c>
      <c r="F7044">
        <v>12</v>
      </c>
    </row>
    <row r="7045" spans="1:6" x14ac:dyDescent="0.55000000000000004">
      <c r="A7045" t="s">
        <v>182</v>
      </c>
      <c r="B7045" t="s">
        <v>14</v>
      </c>
      <c r="C7045">
        <v>700</v>
      </c>
      <c r="D7045" t="s">
        <v>308</v>
      </c>
      <c r="E7045">
        <v>2025</v>
      </c>
      <c r="F7045">
        <v>12</v>
      </c>
    </row>
    <row r="7046" spans="1:6" x14ac:dyDescent="0.55000000000000004">
      <c r="A7046" t="s">
        <v>182</v>
      </c>
      <c r="B7046" t="s">
        <v>15</v>
      </c>
      <c r="C7046">
        <v>1064161.5163</v>
      </c>
      <c r="D7046" t="s">
        <v>308</v>
      </c>
      <c r="E7046">
        <v>2025</v>
      </c>
      <c r="F7046">
        <v>12</v>
      </c>
    </row>
    <row r="7047" spans="1:6" x14ac:dyDescent="0.55000000000000004">
      <c r="A7047" t="s">
        <v>182</v>
      </c>
      <c r="B7047" t="s">
        <v>17</v>
      </c>
      <c r="C7047">
        <v>57569.694300000003</v>
      </c>
      <c r="D7047" t="s">
        <v>308</v>
      </c>
      <c r="E7047">
        <v>2025</v>
      </c>
      <c r="F7047">
        <v>12</v>
      </c>
    </row>
    <row r="7048" spans="1:6" x14ac:dyDescent="0.55000000000000004">
      <c r="A7048" t="s">
        <v>182</v>
      </c>
      <c r="B7048" t="s">
        <v>18</v>
      </c>
      <c r="C7048">
        <v>14451.616</v>
      </c>
      <c r="D7048" t="s">
        <v>308</v>
      </c>
      <c r="E7048">
        <v>2025</v>
      </c>
      <c r="F7048">
        <v>12</v>
      </c>
    </row>
    <row r="7049" spans="1:6" x14ac:dyDescent="0.55000000000000004">
      <c r="A7049" t="s">
        <v>182</v>
      </c>
      <c r="B7049" t="s">
        <v>19</v>
      </c>
      <c r="C7049">
        <v>1599.9992999999999</v>
      </c>
      <c r="D7049" t="s">
        <v>308</v>
      </c>
      <c r="E7049">
        <v>2025</v>
      </c>
      <c r="F7049">
        <v>12</v>
      </c>
    </row>
    <row r="7050" spans="1:6" x14ac:dyDescent="0.55000000000000004">
      <c r="A7050" t="s">
        <v>182</v>
      </c>
      <c r="B7050" t="s">
        <v>20</v>
      </c>
      <c r="C7050">
        <v>11000</v>
      </c>
      <c r="D7050" t="s">
        <v>308</v>
      </c>
      <c r="E7050">
        <v>2025</v>
      </c>
      <c r="F7050">
        <v>12</v>
      </c>
    </row>
    <row r="7051" spans="1:6" x14ac:dyDescent="0.55000000000000004">
      <c r="A7051" t="s">
        <v>182</v>
      </c>
      <c r="B7051" t="s">
        <v>21</v>
      </c>
      <c r="C7051">
        <v>11425.361199999999</v>
      </c>
      <c r="D7051" t="s">
        <v>308</v>
      </c>
      <c r="E7051">
        <v>2025</v>
      </c>
      <c r="F7051">
        <v>12</v>
      </c>
    </row>
    <row r="7052" spans="1:6" x14ac:dyDescent="0.55000000000000004">
      <c r="A7052" t="s">
        <v>182</v>
      </c>
      <c r="B7052" t="s">
        <v>22</v>
      </c>
      <c r="C7052">
        <v>44989.284</v>
      </c>
      <c r="D7052" t="s">
        <v>308</v>
      </c>
      <c r="E7052">
        <v>2025</v>
      </c>
      <c r="F7052">
        <v>12</v>
      </c>
    </row>
    <row r="7053" spans="1:6" x14ac:dyDescent="0.55000000000000004">
      <c r="A7053" t="s">
        <v>182</v>
      </c>
      <c r="B7053" t="s">
        <v>23</v>
      </c>
      <c r="C7053">
        <v>15400.017599999999</v>
      </c>
      <c r="D7053" t="s">
        <v>308</v>
      </c>
      <c r="E7053">
        <v>2025</v>
      </c>
      <c r="F7053">
        <v>12</v>
      </c>
    </row>
    <row r="7054" spans="1:6" x14ac:dyDescent="0.55000000000000004">
      <c r="A7054" t="s">
        <v>182</v>
      </c>
      <c r="B7054" t="s">
        <v>25</v>
      </c>
      <c r="C7054">
        <v>430000</v>
      </c>
      <c r="D7054" t="s">
        <v>308</v>
      </c>
      <c r="E7054">
        <v>2025</v>
      </c>
      <c r="F7054">
        <v>12</v>
      </c>
    </row>
    <row r="7055" spans="1:6" x14ac:dyDescent="0.55000000000000004">
      <c r="A7055" t="s">
        <v>182</v>
      </c>
      <c r="B7055" t="s">
        <v>27</v>
      </c>
      <c r="C7055">
        <v>390.31619999999998</v>
      </c>
      <c r="D7055" t="s">
        <v>308</v>
      </c>
      <c r="E7055">
        <v>2025</v>
      </c>
      <c r="F7055">
        <v>12</v>
      </c>
    </row>
    <row r="7056" spans="1:6" x14ac:dyDescent="0.55000000000000004">
      <c r="A7056" t="s">
        <v>182</v>
      </c>
      <c r="B7056" t="s">
        <v>28</v>
      </c>
      <c r="C7056">
        <v>171213.9117</v>
      </c>
      <c r="D7056" t="s">
        <v>308</v>
      </c>
      <c r="E7056">
        <v>2025</v>
      </c>
      <c r="F7056">
        <v>12</v>
      </c>
    </row>
    <row r="7057" spans="1:6" x14ac:dyDescent="0.55000000000000004">
      <c r="A7057" t="s">
        <v>182</v>
      </c>
      <c r="B7057" t="s">
        <v>29</v>
      </c>
      <c r="C7057">
        <v>5416.6666999999998</v>
      </c>
      <c r="D7057" t="s">
        <v>308</v>
      </c>
      <c r="E7057">
        <v>2025</v>
      </c>
      <c r="F7057">
        <v>12</v>
      </c>
    </row>
    <row r="7058" spans="1:6" x14ac:dyDescent="0.55000000000000004">
      <c r="A7058" t="s">
        <v>182</v>
      </c>
      <c r="B7058" t="s">
        <v>30</v>
      </c>
      <c r="C7058">
        <v>57.350700000000003</v>
      </c>
      <c r="D7058" t="s">
        <v>308</v>
      </c>
      <c r="E7058">
        <v>2025</v>
      </c>
      <c r="F7058">
        <v>12</v>
      </c>
    </row>
    <row r="7059" spans="1:6" x14ac:dyDescent="0.55000000000000004">
      <c r="A7059" t="s">
        <v>182</v>
      </c>
      <c r="B7059" t="s">
        <v>31</v>
      </c>
      <c r="C7059">
        <v>70</v>
      </c>
      <c r="D7059" t="s">
        <v>308</v>
      </c>
      <c r="E7059">
        <v>2025</v>
      </c>
      <c r="F7059">
        <v>12</v>
      </c>
    </row>
    <row r="7060" spans="1:6" x14ac:dyDescent="0.55000000000000004">
      <c r="A7060" t="s">
        <v>182</v>
      </c>
      <c r="B7060" t="s">
        <v>32</v>
      </c>
      <c r="C7060">
        <v>271711.75</v>
      </c>
      <c r="D7060" t="s">
        <v>308</v>
      </c>
      <c r="E7060">
        <v>2025</v>
      </c>
      <c r="F7060">
        <v>12</v>
      </c>
    </row>
    <row r="7061" spans="1:6" x14ac:dyDescent="0.55000000000000004">
      <c r="A7061" t="s">
        <v>182</v>
      </c>
      <c r="B7061" t="s">
        <v>33</v>
      </c>
      <c r="C7061">
        <v>557585.96790000005</v>
      </c>
      <c r="D7061" t="s">
        <v>308</v>
      </c>
      <c r="E7061">
        <v>2025</v>
      </c>
      <c r="F7061">
        <v>12</v>
      </c>
    </row>
    <row r="7062" spans="1:6" x14ac:dyDescent="0.55000000000000004">
      <c r="A7062" t="s">
        <v>182</v>
      </c>
      <c r="B7062" t="s">
        <v>34</v>
      </c>
      <c r="C7062">
        <v>1012710.1144</v>
      </c>
      <c r="D7062" t="s">
        <v>308</v>
      </c>
      <c r="E7062">
        <v>2025</v>
      </c>
      <c r="F7062">
        <v>12</v>
      </c>
    </row>
    <row r="7063" spans="1:6" x14ac:dyDescent="0.55000000000000004">
      <c r="A7063" t="s">
        <v>182</v>
      </c>
      <c r="B7063" t="s">
        <v>35</v>
      </c>
      <c r="C7063">
        <v>1712.4893999999999</v>
      </c>
      <c r="D7063" t="s">
        <v>308</v>
      </c>
      <c r="E7063">
        <v>2025</v>
      </c>
      <c r="F7063">
        <v>12</v>
      </c>
    </row>
    <row r="7064" spans="1:6" x14ac:dyDescent="0.55000000000000004">
      <c r="A7064" t="s">
        <v>182</v>
      </c>
      <c r="B7064" t="s">
        <v>36</v>
      </c>
      <c r="C7064">
        <v>50799.998699999996</v>
      </c>
      <c r="D7064" t="s">
        <v>308</v>
      </c>
      <c r="E7064">
        <v>2025</v>
      </c>
      <c r="F7064">
        <v>12</v>
      </c>
    </row>
    <row r="7065" spans="1:6" x14ac:dyDescent="0.55000000000000004">
      <c r="A7065" t="s">
        <v>182</v>
      </c>
      <c r="B7065" t="s">
        <v>37</v>
      </c>
      <c r="C7065">
        <v>83000.002600000007</v>
      </c>
      <c r="D7065" t="s">
        <v>308</v>
      </c>
      <c r="E7065">
        <v>2025</v>
      </c>
      <c r="F7065">
        <v>12</v>
      </c>
    </row>
    <row r="7066" spans="1:6" x14ac:dyDescent="0.55000000000000004">
      <c r="A7066" t="s">
        <v>182</v>
      </c>
      <c r="B7066" t="s">
        <v>39</v>
      </c>
      <c r="C7066">
        <v>2584.2833000000001</v>
      </c>
      <c r="D7066" t="s">
        <v>308</v>
      </c>
      <c r="E7066">
        <v>2025</v>
      </c>
      <c r="F7066">
        <v>12</v>
      </c>
    </row>
    <row r="7067" spans="1:6" x14ac:dyDescent="0.55000000000000004">
      <c r="A7067" t="s">
        <v>182</v>
      </c>
      <c r="B7067" t="s">
        <v>40</v>
      </c>
      <c r="C7067">
        <v>800</v>
      </c>
      <c r="D7067" t="s">
        <v>308</v>
      </c>
      <c r="E7067">
        <v>2025</v>
      </c>
      <c r="F7067">
        <v>12</v>
      </c>
    </row>
    <row r="7068" spans="1:6" x14ac:dyDescent="0.55000000000000004">
      <c r="A7068" t="s">
        <v>182</v>
      </c>
      <c r="B7068" t="s">
        <v>41</v>
      </c>
      <c r="C7068">
        <v>169200.01459999999</v>
      </c>
      <c r="D7068" t="s">
        <v>308</v>
      </c>
      <c r="E7068">
        <v>2025</v>
      </c>
      <c r="F7068">
        <v>12</v>
      </c>
    </row>
    <row r="7069" spans="1:6" x14ac:dyDescent="0.55000000000000004">
      <c r="A7069" t="s">
        <v>182</v>
      </c>
      <c r="B7069" t="s">
        <v>42</v>
      </c>
      <c r="C7069">
        <v>2.8666999999999998</v>
      </c>
      <c r="D7069" t="s">
        <v>308</v>
      </c>
      <c r="E7069">
        <v>2025</v>
      </c>
      <c r="F7069">
        <v>12</v>
      </c>
    </row>
    <row r="7070" spans="1:6" x14ac:dyDescent="0.55000000000000004">
      <c r="A7070" t="s">
        <v>182</v>
      </c>
      <c r="B7070" t="s">
        <v>43</v>
      </c>
      <c r="C7070">
        <v>175597.28880000001</v>
      </c>
      <c r="D7070" t="s">
        <v>308</v>
      </c>
      <c r="E7070">
        <v>2025</v>
      </c>
      <c r="F7070">
        <v>12</v>
      </c>
    </row>
    <row r="7071" spans="1:6" x14ac:dyDescent="0.55000000000000004">
      <c r="A7071" t="s">
        <v>182</v>
      </c>
      <c r="B7071" t="s">
        <v>45</v>
      </c>
      <c r="C7071">
        <v>1485.9485</v>
      </c>
      <c r="D7071" t="s">
        <v>308</v>
      </c>
      <c r="E7071">
        <v>2025</v>
      </c>
      <c r="F7071">
        <v>12</v>
      </c>
    </row>
    <row r="7072" spans="1:6" x14ac:dyDescent="0.55000000000000004">
      <c r="A7072" t="s">
        <v>182</v>
      </c>
      <c r="B7072" t="s">
        <v>46</v>
      </c>
      <c r="C7072">
        <v>59551.34</v>
      </c>
      <c r="D7072" t="s">
        <v>308</v>
      </c>
      <c r="E7072">
        <v>2025</v>
      </c>
      <c r="F7072">
        <v>12</v>
      </c>
    </row>
    <row r="7073" spans="1:6" x14ac:dyDescent="0.55000000000000004">
      <c r="A7073" t="s">
        <v>182</v>
      </c>
      <c r="B7073" t="s">
        <v>47</v>
      </c>
      <c r="C7073">
        <v>0</v>
      </c>
      <c r="D7073" t="s">
        <v>308</v>
      </c>
      <c r="E7073">
        <v>2025</v>
      </c>
      <c r="F7073">
        <v>12</v>
      </c>
    </row>
    <row r="7074" spans="1:6" x14ac:dyDescent="0.55000000000000004">
      <c r="A7074" t="s">
        <v>182</v>
      </c>
      <c r="B7074" t="s">
        <v>48</v>
      </c>
      <c r="C7074">
        <v>393021.66110000003</v>
      </c>
      <c r="D7074" t="s">
        <v>308</v>
      </c>
      <c r="E7074">
        <v>2025</v>
      </c>
      <c r="F7074">
        <v>12</v>
      </c>
    </row>
    <row r="7075" spans="1:6" x14ac:dyDescent="0.55000000000000004">
      <c r="A7075" t="s">
        <v>182</v>
      </c>
      <c r="B7075" t="s">
        <v>49</v>
      </c>
      <c r="C7075">
        <v>498.05029999999999</v>
      </c>
      <c r="D7075" t="s">
        <v>308</v>
      </c>
      <c r="E7075">
        <v>2025</v>
      </c>
      <c r="F7075">
        <v>12</v>
      </c>
    </row>
    <row r="7076" spans="1:6" x14ac:dyDescent="0.55000000000000004">
      <c r="A7076" t="s">
        <v>182</v>
      </c>
      <c r="B7076" t="s">
        <v>50</v>
      </c>
      <c r="C7076">
        <v>27999.993299999998</v>
      </c>
      <c r="D7076" t="s">
        <v>308</v>
      </c>
      <c r="E7076">
        <v>2025</v>
      </c>
      <c r="F7076">
        <v>12</v>
      </c>
    </row>
    <row r="7077" spans="1:6" x14ac:dyDescent="0.55000000000000004">
      <c r="A7077" t="s">
        <v>182</v>
      </c>
      <c r="B7077" t="s">
        <v>51</v>
      </c>
      <c r="C7077">
        <v>3800</v>
      </c>
      <c r="D7077" t="s">
        <v>308</v>
      </c>
      <c r="E7077">
        <v>2025</v>
      </c>
      <c r="F7077">
        <v>12</v>
      </c>
    </row>
    <row r="7078" spans="1:6" x14ac:dyDescent="0.55000000000000004">
      <c r="A7078" t="s">
        <v>182</v>
      </c>
      <c r="B7078" t="s">
        <v>52</v>
      </c>
      <c r="C7078">
        <v>678.58879999999999</v>
      </c>
      <c r="D7078" t="s">
        <v>308</v>
      </c>
      <c r="E7078">
        <v>2025</v>
      </c>
      <c r="F7078">
        <v>12</v>
      </c>
    </row>
    <row r="7079" spans="1:6" x14ac:dyDescent="0.55000000000000004">
      <c r="A7079" t="s">
        <v>182</v>
      </c>
      <c r="B7079" t="s">
        <v>53</v>
      </c>
      <c r="C7079">
        <v>84000.012000000002</v>
      </c>
      <c r="D7079" t="s">
        <v>308</v>
      </c>
      <c r="E7079">
        <v>2025</v>
      </c>
      <c r="F7079">
        <v>12</v>
      </c>
    </row>
    <row r="7080" spans="1:6" x14ac:dyDescent="0.55000000000000004">
      <c r="A7080" t="s">
        <v>182</v>
      </c>
      <c r="B7080" t="s">
        <v>54</v>
      </c>
      <c r="C7080">
        <v>19478.691500000001</v>
      </c>
      <c r="D7080" t="s">
        <v>308</v>
      </c>
      <c r="E7080">
        <v>2025</v>
      </c>
      <c r="F7080">
        <v>12</v>
      </c>
    </row>
    <row r="7081" spans="1:6" x14ac:dyDescent="0.55000000000000004">
      <c r="A7081" t="s">
        <v>182</v>
      </c>
      <c r="B7081" t="s">
        <v>55</v>
      </c>
      <c r="C7081">
        <v>9950.7332999999999</v>
      </c>
      <c r="D7081" t="s">
        <v>308</v>
      </c>
      <c r="E7081">
        <v>2025</v>
      </c>
      <c r="F7081">
        <v>12</v>
      </c>
    </row>
    <row r="7082" spans="1:6" x14ac:dyDescent="0.55000000000000004">
      <c r="A7082" t="s">
        <v>182</v>
      </c>
      <c r="B7082" t="s">
        <v>56</v>
      </c>
      <c r="C7082">
        <v>1500</v>
      </c>
      <c r="D7082" t="s">
        <v>308</v>
      </c>
      <c r="E7082">
        <v>2025</v>
      </c>
      <c r="F7082">
        <v>12</v>
      </c>
    </row>
    <row r="7083" spans="1:6" x14ac:dyDescent="0.55000000000000004">
      <c r="A7083" t="s">
        <v>182</v>
      </c>
      <c r="B7083" t="s">
        <v>57</v>
      </c>
      <c r="C7083">
        <v>130.01589999999999</v>
      </c>
      <c r="D7083" t="s">
        <v>308</v>
      </c>
      <c r="E7083">
        <v>2025</v>
      </c>
      <c r="F7083">
        <v>12</v>
      </c>
    </row>
    <row r="7084" spans="1:6" x14ac:dyDescent="0.55000000000000004">
      <c r="A7084" t="s">
        <v>182</v>
      </c>
      <c r="B7084" t="s">
        <v>58</v>
      </c>
      <c r="C7084">
        <v>502582</v>
      </c>
      <c r="D7084" t="s">
        <v>308</v>
      </c>
      <c r="E7084">
        <v>2025</v>
      </c>
      <c r="F7084">
        <v>12</v>
      </c>
    </row>
    <row r="7085" spans="1:6" x14ac:dyDescent="0.55000000000000004">
      <c r="A7085" t="s">
        <v>182</v>
      </c>
      <c r="B7085" t="s">
        <v>59</v>
      </c>
      <c r="C7085">
        <v>9700</v>
      </c>
      <c r="D7085" t="s">
        <v>308</v>
      </c>
      <c r="E7085">
        <v>2025</v>
      </c>
      <c r="F7085">
        <v>12</v>
      </c>
    </row>
    <row r="7086" spans="1:6" x14ac:dyDescent="0.55000000000000004">
      <c r="A7086" t="s">
        <v>182</v>
      </c>
      <c r="B7086" t="s">
        <v>60</v>
      </c>
      <c r="C7086">
        <v>3429999.9877999998</v>
      </c>
      <c r="D7086" t="s">
        <v>308</v>
      </c>
      <c r="E7086">
        <v>2025</v>
      </c>
      <c r="F7086">
        <v>12</v>
      </c>
    </row>
    <row r="7087" spans="1:6" x14ac:dyDescent="0.55000000000000004">
      <c r="A7087" t="s">
        <v>182</v>
      </c>
      <c r="B7087" t="s">
        <v>61</v>
      </c>
      <c r="C7087">
        <v>4400.0033000000003</v>
      </c>
      <c r="D7087" t="s">
        <v>308</v>
      </c>
      <c r="E7087">
        <v>2025</v>
      </c>
      <c r="F7087">
        <v>12</v>
      </c>
    </row>
    <row r="7088" spans="1:6" x14ac:dyDescent="0.55000000000000004">
      <c r="A7088" t="s">
        <v>182</v>
      </c>
      <c r="B7088" t="s">
        <v>62</v>
      </c>
      <c r="C7088">
        <v>7897.6666999999998</v>
      </c>
      <c r="D7088" t="s">
        <v>308</v>
      </c>
      <c r="E7088">
        <v>2025</v>
      </c>
      <c r="F7088">
        <v>12</v>
      </c>
    </row>
    <row r="7089" spans="1:6" x14ac:dyDescent="0.55000000000000004">
      <c r="A7089" t="s">
        <v>182</v>
      </c>
      <c r="B7089" t="s">
        <v>63</v>
      </c>
      <c r="C7089">
        <v>728</v>
      </c>
      <c r="D7089" t="s">
        <v>308</v>
      </c>
      <c r="E7089">
        <v>2025</v>
      </c>
      <c r="F7089">
        <v>12</v>
      </c>
    </row>
    <row r="7090" spans="1:6" x14ac:dyDescent="0.55000000000000004">
      <c r="A7090" t="s">
        <v>183</v>
      </c>
      <c r="B7090" t="s">
        <v>4</v>
      </c>
      <c r="C7090">
        <v>12409032.4219</v>
      </c>
      <c r="D7090" t="s">
        <v>309</v>
      </c>
      <c r="E7090">
        <v>2026</v>
      </c>
      <c r="F7090">
        <v>1</v>
      </c>
    </row>
    <row r="7091" spans="1:6" x14ac:dyDescent="0.55000000000000004">
      <c r="A7091" t="s">
        <v>183</v>
      </c>
      <c r="B7091" t="s">
        <v>5</v>
      </c>
      <c r="C7091">
        <v>1079468.5144</v>
      </c>
      <c r="D7091" t="s">
        <v>309</v>
      </c>
      <c r="E7091">
        <v>2026</v>
      </c>
      <c r="F7091">
        <v>1</v>
      </c>
    </row>
    <row r="7092" spans="1:6" x14ac:dyDescent="0.55000000000000004">
      <c r="A7092" t="s">
        <v>183</v>
      </c>
      <c r="B7092" t="s">
        <v>6</v>
      </c>
      <c r="C7092">
        <v>2412887.3539999998</v>
      </c>
      <c r="D7092" t="s">
        <v>309</v>
      </c>
      <c r="E7092">
        <v>2026</v>
      </c>
      <c r="F7092">
        <v>1</v>
      </c>
    </row>
    <row r="7093" spans="1:6" x14ac:dyDescent="0.55000000000000004">
      <c r="A7093" t="s">
        <v>183</v>
      </c>
      <c r="B7093" t="s">
        <v>7</v>
      </c>
      <c r="C7093">
        <v>2845855.3094000001</v>
      </c>
      <c r="D7093" t="s">
        <v>309</v>
      </c>
      <c r="E7093">
        <v>2026</v>
      </c>
      <c r="F7093">
        <v>1</v>
      </c>
    </row>
    <row r="7094" spans="1:6" x14ac:dyDescent="0.55000000000000004">
      <c r="A7094" t="s">
        <v>183</v>
      </c>
      <c r="B7094" t="s">
        <v>8</v>
      </c>
      <c r="C7094">
        <v>6070821.2440999998</v>
      </c>
      <c r="D7094" t="s">
        <v>309</v>
      </c>
      <c r="E7094">
        <v>2026</v>
      </c>
      <c r="F7094">
        <v>1</v>
      </c>
    </row>
    <row r="7095" spans="1:6" x14ac:dyDescent="0.55000000000000004">
      <c r="A7095" t="s">
        <v>183</v>
      </c>
      <c r="B7095" t="s">
        <v>9</v>
      </c>
      <c r="C7095">
        <v>4120</v>
      </c>
      <c r="D7095" t="s">
        <v>309</v>
      </c>
      <c r="E7095">
        <v>2026</v>
      </c>
      <c r="F7095">
        <v>1</v>
      </c>
    </row>
    <row r="7096" spans="1:6" x14ac:dyDescent="0.55000000000000004">
      <c r="A7096" t="s">
        <v>183</v>
      </c>
      <c r="B7096" t="s">
        <v>10</v>
      </c>
      <c r="C7096">
        <v>3400</v>
      </c>
      <c r="D7096" t="s">
        <v>309</v>
      </c>
      <c r="E7096">
        <v>2026</v>
      </c>
      <c r="F7096">
        <v>1</v>
      </c>
    </row>
    <row r="7097" spans="1:6" x14ac:dyDescent="0.55000000000000004">
      <c r="A7097" t="s">
        <v>183</v>
      </c>
      <c r="B7097" t="s">
        <v>11</v>
      </c>
      <c r="C7097">
        <v>2808075.7245</v>
      </c>
      <c r="D7097" t="s">
        <v>309</v>
      </c>
      <c r="E7097">
        <v>2026</v>
      </c>
      <c r="F7097">
        <v>1</v>
      </c>
    </row>
    <row r="7098" spans="1:6" x14ac:dyDescent="0.55000000000000004">
      <c r="A7098" t="s">
        <v>183</v>
      </c>
      <c r="B7098" t="s">
        <v>12</v>
      </c>
      <c r="C7098">
        <v>15000</v>
      </c>
      <c r="D7098" t="s">
        <v>309</v>
      </c>
      <c r="E7098">
        <v>2026</v>
      </c>
      <c r="F7098">
        <v>1</v>
      </c>
    </row>
    <row r="7099" spans="1:6" x14ac:dyDescent="0.55000000000000004">
      <c r="A7099" t="s">
        <v>183</v>
      </c>
      <c r="B7099" t="s">
        <v>13</v>
      </c>
      <c r="C7099">
        <v>8200</v>
      </c>
      <c r="D7099" t="s">
        <v>309</v>
      </c>
      <c r="E7099">
        <v>2026</v>
      </c>
      <c r="F7099">
        <v>1</v>
      </c>
    </row>
    <row r="7100" spans="1:6" x14ac:dyDescent="0.55000000000000004">
      <c r="A7100" t="s">
        <v>183</v>
      </c>
      <c r="B7100" t="s">
        <v>14</v>
      </c>
      <c r="C7100">
        <v>1000</v>
      </c>
      <c r="D7100" t="s">
        <v>309</v>
      </c>
      <c r="E7100">
        <v>2026</v>
      </c>
      <c r="F7100">
        <v>1</v>
      </c>
    </row>
    <row r="7101" spans="1:6" x14ac:dyDescent="0.55000000000000004">
      <c r="A7101" t="s">
        <v>183</v>
      </c>
      <c r="B7101" t="s">
        <v>15</v>
      </c>
      <c r="C7101">
        <v>937304.51419999998</v>
      </c>
      <c r="D7101" t="s">
        <v>309</v>
      </c>
      <c r="E7101">
        <v>2026</v>
      </c>
      <c r="F7101">
        <v>1</v>
      </c>
    </row>
    <row r="7102" spans="1:6" x14ac:dyDescent="0.55000000000000004">
      <c r="A7102" t="s">
        <v>183</v>
      </c>
      <c r="B7102" t="s">
        <v>17</v>
      </c>
      <c r="C7102">
        <v>47521.972500000003</v>
      </c>
      <c r="D7102" t="s">
        <v>309</v>
      </c>
      <c r="E7102">
        <v>2026</v>
      </c>
      <c r="F7102">
        <v>1</v>
      </c>
    </row>
    <row r="7103" spans="1:6" x14ac:dyDescent="0.55000000000000004">
      <c r="A7103" t="s">
        <v>183</v>
      </c>
      <c r="B7103" t="s">
        <v>18</v>
      </c>
      <c r="C7103">
        <v>14889.99</v>
      </c>
      <c r="D7103" t="s">
        <v>309</v>
      </c>
      <c r="E7103">
        <v>2026</v>
      </c>
      <c r="F7103">
        <v>1</v>
      </c>
    </row>
    <row r="7104" spans="1:6" x14ac:dyDescent="0.55000000000000004">
      <c r="A7104" t="s">
        <v>183</v>
      </c>
      <c r="B7104" t="s">
        <v>19</v>
      </c>
      <c r="C7104">
        <v>1699.9992999999999</v>
      </c>
      <c r="D7104" t="s">
        <v>309</v>
      </c>
      <c r="E7104">
        <v>2026</v>
      </c>
      <c r="F7104">
        <v>1</v>
      </c>
    </row>
    <row r="7105" spans="1:6" x14ac:dyDescent="0.55000000000000004">
      <c r="A7105" t="s">
        <v>183</v>
      </c>
      <c r="B7105" t="s">
        <v>20</v>
      </c>
      <c r="C7105">
        <v>13000</v>
      </c>
      <c r="D7105" t="s">
        <v>309</v>
      </c>
      <c r="E7105">
        <v>2026</v>
      </c>
      <c r="F7105">
        <v>1</v>
      </c>
    </row>
    <row r="7106" spans="1:6" x14ac:dyDescent="0.55000000000000004">
      <c r="A7106" t="s">
        <v>183</v>
      </c>
      <c r="B7106" t="s">
        <v>21</v>
      </c>
      <c r="C7106">
        <v>2028.7045000000001</v>
      </c>
      <c r="D7106" t="s">
        <v>309</v>
      </c>
      <c r="E7106">
        <v>2026</v>
      </c>
      <c r="F7106">
        <v>1</v>
      </c>
    </row>
    <row r="7107" spans="1:6" x14ac:dyDescent="0.55000000000000004">
      <c r="A7107" t="s">
        <v>183</v>
      </c>
      <c r="B7107" t="s">
        <v>22</v>
      </c>
      <c r="C7107">
        <v>48577.252</v>
      </c>
      <c r="D7107" t="s">
        <v>309</v>
      </c>
      <c r="E7107">
        <v>2026</v>
      </c>
      <c r="F7107">
        <v>1</v>
      </c>
    </row>
    <row r="7108" spans="1:6" x14ac:dyDescent="0.55000000000000004">
      <c r="A7108" t="s">
        <v>183</v>
      </c>
      <c r="B7108" t="s">
        <v>23</v>
      </c>
      <c r="C7108">
        <v>67400.016600000003</v>
      </c>
      <c r="D7108" t="s">
        <v>309</v>
      </c>
      <c r="E7108">
        <v>2026</v>
      </c>
      <c r="F7108">
        <v>1</v>
      </c>
    </row>
    <row r="7109" spans="1:6" x14ac:dyDescent="0.55000000000000004">
      <c r="A7109" t="s">
        <v>183</v>
      </c>
      <c r="B7109" t="s">
        <v>25</v>
      </c>
      <c r="C7109">
        <v>285000</v>
      </c>
      <c r="D7109" t="s">
        <v>309</v>
      </c>
      <c r="E7109">
        <v>2026</v>
      </c>
      <c r="F7109">
        <v>1</v>
      </c>
    </row>
    <row r="7110" spans="1:6" x14ac:dyDescent="0.55000000000000004">
      <c r="A7110" t="s">
        <v>183</v>
      </c>
      <c r="B7110" t="s">
        <v>27</v>
      </c>
      <c r="C7110">
        <v>499.988</v>
      </c>
      <c r="D7110" t="s">
        <v>309</v>
      </c>
      <c r="E7110">
        <v>2026</v>
      </c>
      <c r="F7110">
        <v>1</v>
      </c>
    </row>
    <row r="7111" spans="1:6" x14ac:dyDescent="0.55000000000000004">
      <c r="A7111" t="s">
        <v>183</v>
      </c>
      <c r="B7111" t="s">
        <v>28</v>
      </c>
      <c r="C7111">
        <v>309300.01140000002</v>
      </c>
      <c r="D7111" t="s">
        <v>309</v>
      </c>
      <c r="E7111">
        <v>2026</v>
      </c>
      <c r="F7111">
        <v>1</v>
      </c>
    </row>
    <row r="7112" spans="1:6" x14ac:dyDescent="0.55000000000000004">
      <c r="A7112" t="s">
        <v>183</v>
      </c>
      <c r="B7112" t="s">
        <v>29</v>
      </c>
      <c r="C7112">
        <v>14518.8837</v>
      </c>
      <c r="D7112" t="s">
        <v>309</v>
      </c>
      <c r="E7112">
        <v>2026</v>
      </c>
      <c r="F7112">
        <v>1</v>
      </c>
    </row>
    <row r="7113" spans="1:6" x14ac:dyDescent="0.55000000000000004">
      <c r="A7113" t="s">
        <v>183</v>
      </c>
      <c r="B7113" t="s">
        <v>30</v>
      </c>
      <c r="C7113">
        <v>0</v>
      </c>
      <c r="D7113" t="s">
        <v>309</v>
      </c>
      <c r="E7113">
        <v>2026</v>
      </c>
      <c r="F7113">
        <v>1</v>
      </c>
    </row>
    <row r="7114" spans="1:6" x14ac:dyDescent="0.55000000000000004">
      <c r="A7114" t="s">
        <v>183</v>
      </c>
      <c r="B7114" t="s">
        <v>31</v>
      </c>
      <c r="C7114">
        <v>50</v>
      </c>
      <c r="D7114" t="s">
        <v>309</v>
      </c>
      <c r="E7114">
        <v>2026</v>
      </c>
      <c r="F7114">
        <v>1</v>
      </c>
    </row>
    <row r="7115" spans="1:6" x14ac:dyDescent="0.55000000000000004">
      <c r="A7115" t="s">
        <v>183</v>
      </c>
      <c r="B7115" t="s">
        <v>32</v>
      </c>
      <c r="C7115">
        <v>638298.51</v>
      </c>
      <c r="D7115" t="s">
        <v>309</v>
      </c>
      <c r="E7115">
        <v>2026</v>
      </c>
      <c r="F7115">
        <v>1</v>
      </c>
    </row>
    <row r="7116" spans="1:6" x14ac:dyDescent="0.55000000000000004">
      <c r="A7116" t="s">
        <v>183</v>
      </c>
      <c r="B7116" t="s">
        <v>33</v>
      </c>
      <c r="C7116">
        <v>564989.0858</v>
      </c>
      <c r="D7116" t="s">
        <v>309</v>
      </c>
      <c r="E7116">
        <v>2026</v>
      </c>
      <c r="F7116">
        <v>1</v>
      </c>
    </row>
    <row r="7117" spans="1:6" x14ac:dyDescent="0.55000000000000004">
      <c r="A7117" t="s">
        <v>183</v>
      </c>
      <c r="B7117" t="s">
        <v>34</v>
      </c>
      <c r="C7117">
        <v>561408.74230000004</v>
      </c>
      <c r="D7117" t="s">
        <v>309</v>
      </c>
      <c r="E7117">
        <v>2026</v>
      </c>
      <c r="F7117">
        <v>1</v>
      </c>
    </row>
    <row r="7118" spans="1:6" x14ac:dyDescent="0.55000000000000004">
      <c r="A7118" t="s">
        <v>183</v>
      </c>
      <c r="B7118" t="s">
        <v>35</v>
      </c>
      <c r="C7118">
        <v>754.60509999999999</v>
      </c>
      <c r="D7118" t="s">
        <v>309</v>
      </c>
      <c r="E7118">
        <v>2026</v>
      </c>
      <c r="F7118">
        <v>1</v>
      </c>
    </row>
    <row r="7119" spans="1:6" x14ac:dyDescent="0.55000000000000004">
      <c r="A7119" t="s">
        <v>183</v>
      </c>
      <c r="B7119" t="s">
        <v>36</v>
      </c>
      <c r="C7119">
        <v>67332.000199999995</v>
      </c>
      <c r="D7119" t="s">
        <v>309</v>
      </c>
      <c r="E7119">
        <v>2026</v>
      </c>
      <c r="F7119">
        <v>1</v>
      </c>
    </row>
    <row r="7120" spans="1:6" x14ac:dyDescent="0.55000000000000004">
      <c r="A7120" t="s">
        <v>183</v>
      </c>
      <c r="B7120" t="s">
        <v>37</v>
      </c>
      <c r="C7120">
        <v>124830.76549999999</v>
      </c>
      <c r="D7120" t="s">
        <v>309</v>
      </c>
      <c r="E7120">
        <v>2026</v>
      </c>
      <c r="F7120">
        <v>1</v>
      </c>
    </row>
    <row r="7121" spans="1:6" x14ac:dyDescent="0.55000000000000004">
      <c r="A7121" t="s">
        <v>183</v>
      </c>
      <c r="B7121" t="s">
        <v>39</v>
      </c>
      <c r="C7121">
        <v>321</v>
      </c>
      <c r="D7121" t="s">
        <v>309</v>
      </c>
      <c r="E7121">
        <v>2026</v>
      </c>
      <c r="F7121">
        <v>1</v>
      </c>
    </row>
    <row r="7122" spans="1:6" x14ac:dyDescent="0.55000000000000004">
      <c r="A7122" t="s">
        <v>183</v>
      </c>
      <c r="B7122" t="s">
        <v>40</v>
      </c>
      <c r="C7122">
        <v>850</v>
      </c>
      <c r="D7122" t="s">
        <v>309</v>
      </c>
      <c r="E7122">
        <v>2026</v>
      </c>
      <c r="F7122">
        <v>1</v>
      </c>
    </row>
    <row r="7123" spans="1:6" x14ac:dyDescent="0.55000000000000004">
      <c r="A7123" t="s">
        <v>183</v>
      </c>
      <c r="B7123" t="s">
        <v>41</v>
      </c>
      <c r="C7123">
        <v>201399.99540000001</v>
      </c>
      <c r="D7123" t="s">
        <v>309</v>
      </c>
      <c r="E7123">
        <v>2026</v>
      </c>
      <c r="F7123">
        <v>1</v>
      </c>
    </row>
    <row r="7124" spans="1:6" x14ac:dyDescent="0.55000000000000004">
      <c r="A7124" t="s">
        <v>183</v>
      </c>
      <c r="B7124" t="s">
        <v>42</v>
      </c>
      <c r="C7124">
        <v>29.621200000000002</v>
      </c>
      <c r="D7124" t="s">
        <v>309</v>
      </c>
      <c r="E7124">
        <v>2026</v>
      </c>
      <c r="F7124">
        <v>1</v>
      </c>
    </row>
    <row r="7125" spans="1:6" x14ac:dyDescent="0.55000000000000004">
      <c r="A7125" t="s">
        <v>183</v>
      </c>
      <c r="B7125" t="s">
        <v>43</v>
      </c>
      <c r="C7125">
        <v>333416.13209999999</v>
      </c>
      <c r="D7125" t="s">
        <v>309</v>
      </c>
      <c r="E7125">
        <v>2026</v>
      </c>
      <c r="F7125">
        <v>1</v>
      </c>
    </row>
    <row r="7126" spans="1:6" x14ac:dyDescent="0.55000000000000004">
      <c r="A7126" t="s">
        <v>183</v>
      </c>
      <c r="B7126" t="s">
        <v>45</v>
      </c>
      <c r="C7126">
        <v>1175.4639999999999</v>
      </c>
      <c r="D7126" t="s">
        <v>309</v>
      </c>
      <c r="E7126">
        <v>2026</v>
      </c>
      <c r="F7126">
        <v>1</v>
      </c>
    </row>
    <row r="7127" spans="1:6" x14ac:dyDescent="0.55000000000000004">
      <c r="A7127" t="s">
        <v>183</v>
      </c>
      <c r="B7127" t="s">
        <v>46</v>
      </c>
      <c r="C7127">
        <v>37216.25</v>
      </c>
      <c r="D7127" t="s">
        <v>309</v>
      </c>
      <c r="E7127">
        <v>2026</v>
      </c>
      <c r="F7127">
        <v>1</v>
      </c>
    </row>
    <row r="7128" spans="1:6" x14ac:dyDescent="0.55000000000000004">
      <c r="A7128" t="s">
        <v>183</v>
      </c>
      <c r="B7128" t="s">
        <v>47</v>
      </c>
      <c r="C7128">
        <v>0.5</v>
      </c>
      <c r="D7128" t="s">
        <v>309</v>
      </c>
      <c r="E7128">
        <v>2026</v>
      </c>
      <c r="F7128">
        <v>1</v>
      </c>
    </row>
    <row r="7129" spans="1:6" x14ac:dyDescent="0.55000000000000004">
      <c r="A7129" t="s">
        <v>183</v>
      </c>
      <c r="B7129" t="s">
        <v>48</v>
      </c>
      <c r="C7129">
        <v>189913.37109999999</v>
      </c>
      <c r="D7129" t="s">
        <v>309</v>
      </c>
      <c r="E7129">
        <v>2026</v>
      </c>
      <c r="F7129">
        <v>1</v>
      </c>
    </row>
    <row r="7130" spans="1:6" x14ac:dyDescent="0.55000000000000004">
      <c r="A7130" t="s">
        <v>183</v>
      </c>
      <c r="B7130" t="s">
        <v>49</v>
      </c>
      <c r="C7130">
        <v>446.80250000000001</v>
      </c>
      <c r="D7130" t="s">
        <v>309</v>
      </c>
      <c r="E7130">
        <v>2026</v>
      </c>
      <c r="F7130">
        <v>1</v>
      </c>
    </row>
    <row r="7131" spans="1:6" x14ac:dyDescent="0.55000000000000004">
      <c r="A7131" t="s">
        <v>183</v>
      </c>
      <c r="B7131" t="s">
        <v>50</v>
      </c>
      <c r="C7131">
        <v>25427</v>
      </c>
      <c r="D7131" t="s">
        <v>309</v>
      </c>
      <c r="E7131">
        <v>2026</v>
      </c>
      <c r="F7131">
        <v>1</v>
      </c>
    </row>
    <row r="7132" spans="1:6" x14ac:dyDescent="0.55000000000000004">
      <c r="A7132" t="s">
        <v>183</v>
      </c>
      <c r="B7132" t="s">
        <v>51</v>
      </c>
      <c r="C7132">
        <v>1800</v>
      </c>
      <c r="D7132" t="s">
        <v>309</v>
      </c>
      <c r="E7132">
        <v>2026</v>
      </c>
      <c r="F7132">
        <v>1</v>
      </c>
    </row>
    <row r="7133" spans="1:6" x14ac:dyDescent="0.55000000000000004">
      <c r="A7133" t="s">
        <v>183</v>
      </c>
      <c r="B7133" t="s">
        <v>52</v>
      </c>
      <c r="C7133">
        <v>1138.3713</v>
      </c>
      <c r="D7133" t="s">
        <v>309</v>
      </c>
      <c r="E7133">
        <v>2026</v>
      </c>
      <c r="F7133">
        <v>1</v>
      </c>
    </row>
    <row r="7134" spans="1:6" x14ac:dyDescent="0.55000000000000004">
      <c r="A7134" t="s">
        <v>183</v>
      </c>
      <c r="B7134" t="s">
        <v>53</v>
      </c>
      <c r="C7134">
        <v>105664</v>
      </c>
      <c r="D7134" t="s">
        <v>309</v>
      </c>
      <c r="E7134">
        <v>2026</v>
      </c>
      <c r="F7134">
        <v>1</v>
      </c>
    </row>
    <row r="7135" spans="1:6" x14ac:dyDescent="0.55000000000000004">
      <c r="A7135" t="s">
        <v>183</v>
      </c>
      <c r="B7135" t="s">
        <v>54</v>
      </c>
      <c r="C7135">
        <v>13403.6029</v>
      </c>
      <c r="D7135" t="s">
        <v>309</v>
      </c>
      <c r="E7135">
        <v>2026</v>
      </c>
      <c r="F7135">
        <v>1</v>
      </c>
    </row>
    <row r="7136" spans="1:6" x14ac:dyDescent="0.55000000000000004">
      <c r="A7136" t="s">
        <v>183</v>
      </c>
      <c r="B7136" t="s">
        <v>55</v>
      </c>
      <c r="C7136">
        <v>9273.7772999999997</v>
      </c>
      <c r="D7136" t="s">
        <v>309</v>
      </c>
      <c r="E7136">
        <v>2026</v>
      </c>
      <c r="F7136">
        <v>1</v>
      </c>
    </row>
    <row r="7137" spans="1:6" x14ac:dyDescent="0.55000000000000004">
      <c r="A7137" t="s">
        <v>183</v>
      </c>
      <c r="B7137" t="s">
        <v>56</v>
      </c>
      <c r="C7137">
        <v>11000</v>
      </c>
      <c r="D7137" t="s">
        <v>309</v>
      </c>
      <c r="E7137">
        <v>2026</v>
      </c>
      <c r="F7137">
        <v>1</v>
      </c>
    </row>
    <row r="7138" spans="1:6" x14ac:dyDescent="0.55000000000000004">
      <c r="A7138" t="s">
        <v>183</v>
      </c>
      <c r="B7138" t="s">
        <v>57</v>
      </c>
      <c r="C7138">
        <v>179.9999</v>
      </c>
      <c r="D7138" t="s">
        <v>309</v>
      </c>
      <c r="E7138">
        <v>2026</v>
      </c>
      <c r="F7138">
        <v>1</v>
      </c>
    </row>
    <row r="7139" spans="1:6" x14ac:dyDescent="0.55000000000000004">
      <c r="A7139" t="s">
        <v>183</v>
      </c>
      <c r="B7139" t="s">
        <v>58</v>
      </c>
      <c r="C7139">
        <v>569454</v>
      </c>
      <c r="D7139" t="s">
        <v>309</v>
      </c>
      <c r="E7139">
        <v>2026</v>
      </c>
      <c r="F7139">
        <v>1</v>
      </c>
    </row>
    <row r="7140" spans="1:6" x14ac:dyDescent="0.55000000000000004">
      <c r="A7140" t="s">
        <v>183</v>
      </c>
      <c r="B7140" t="s">
        <v>59</v>
      </c>
      <c r="C7140">
        <v>23000</v>
      </c>
      <c r="D7140" t="s">
        <v>309</v>
      </c>
      <c r="E7140">
        <v>2026</v>
      </c>
      <c r="F7140">
        <v>1</v>
      </c>
    </row>
    <row r="7141" spans="1:6" x14ac:dyDescent="0.55000000000000004">
      <c r="A7141" t="s">
        <v>183</v>
      </c>
      <c r="B7141" t="s">
        <v>60</v>
      </c>
      <c r="C7141">
        <v>4329999.9985999996</v>
      </c>
      <c r="D7141" t="s">
        <v>309</v>
      </c>
      <c r="E7141">
        <v>2026</v>
      </c>
      <c r="F7141">
        <v>1</v>
      </c>
    </row>
    <row r="7142" spans="1:6" x14ac:dyDescent="0.55000000000000004">
      <c r="A7142" t="s">
        <v>183</v>
      </c>
      <c r="B7142" t="s">
        <v>61</v>
      </c>
      <c r="C7142">
        <v>5700.0033000000003</v>
      </c>
      <c r="D7142" t="s">
        <v>309</v>
      </c>
      <c r="E7142">
        <v>2026</v>
      </c>
      <c r="F7142">
        <v>1</v>
      </c>
    </row>
    <row r="7143" spans="1:6" x14ac:dyDescent="0.55000000000000004">
      <c r="A7143" t="s">
        <v>183</v>
      </c>
      <c r="B7143" t="s">
        <v>62</v>
      </c>
      <c r="C7143">
        <v>8332.7667000000001</v>
      </c>
      <c r="D7143" t="s">
        <v>309</v>
      </c>
      <c r="E7143">
        <v>2026</v>
      </c>
      <c r="F7143">
        <v>1</v>
      </c>
    </row>
    <row r="7144" spans="1:6" x14ac:dyDescent="0.55000000000000004">
      <c r="A7144" t="s">
        <v>183</v>
      </c>
      <c r="B7144" t="s">
        <v>63</v>
      </c>
      <c r="C7144">
        <v>689</v>
      </c>
      <c r="D7144" t="s">
        <v>309</v>
      </c>
      <c r="E7144">
        <v>2026</v>
      </c>
      <c r="F7144">
        <v>1</v>
      </c>
    </row>
    <row r="7145" spans="1:6" x14ac:dyDescent="0.55000000000000004">
      <c r="A7145" t="s">
        <v>184</v>
      </c>
      <c r="B7145" t="s">
        <v>4</v>
      </c>
      <c r="C7145">
        <v>11147236.9352</v>
      </c>
      <c r="D7145" t="s">
        <v>310</v>
      </c>
      <c r="E7145">
        <v>2026</v>
      </c>
      <c r="F7145">
        <v>2</v>
      </c>
    </row>
    <row r="7146" spans="1:6" x14ac:dyDescent="0.55000000000000004">
      <c r="A7146" t="s">
        <v>184</v>
      </c>
      <c r="B7146" t="s">
        <v>5</v>
      </c>
      <c r="C7146">
        <v>1016758.4134</v>
      </c>
      <c r="D7146" t="s">
        <v>310</v>
      </c>
      <c r="E7146">
        <v>2026</v>
      </c>
      <c r="F7146">
        <v>2</v>
      </c>
    </row>
    <row r="7147" spans="1:6" x14ac:dyDescent="0.55000000000000004">
      <c r="A7147" t="s">
        <v>184</v>
      </c>
      <c r="B7147" t="s">
        <v>6</v>
      </c>
      <c r="C7147">
        <v>2686274.2233000002</v>
      </c>
      <c r="D7147" t="s">
        <v>310</v>
      </c>
      <c r="E7147">
        <v>2026</v>
      </c>
      <c r="F7147">
        <v>2</v>
      </c>
    </row>
    <row r="7148" spans="1:6" x14ac:dyDescent="0.55000000000000004">
      <c r="A7148" t="s">
        <v>184</v>
      </c>
      <c r="B7148" t="s">
        <v>7</v>
      </c>
      <c r="C7148">
        <v>2706994.0353000001</v>
      </c>
      <c r="D7148" t="s">
        <v>310</v>
      </c>
      <c r="E7148">
        <v>2026</v>
      </c>
      <c r="F7148">
        <v>2</v>
      </c>
    </row>
    <row r="7149" spans="1:6" x14ac:dyDescent="0.55000000000000004">
      <c r="A7149" t="s">
        <v>184</v>
      </c>
      <c r="B7149" t="s">
        <v>8</v>
      </c>
      <c r="C7149">
        <v>4737210.2631999999</v>
      </c>
      <c r="D7149" t="s">
        <v>310</v>
      </c>
      <c r="E7149">
        <v>2026</v>
      </c>
      <c r="F7149">
        <v>2</v>
      </c>
    </row>
    <row r="7150" spans="1:6" x14ac:dyDescent="0.55000000000000004">
      <c r="A7150" t="s">
        <v>184</v>
      </c>
      <c r="B7150" t="s">
        <v>9</v>
      </c>
      <c r="C7150">
        <v>1500</v>
      </c>
      <c r="D7150" t="s">
        <v>310</v>
      </c>
      <c r="E7150">
        <v>2026</v>
      </c>
      <c r="F7150">
        <v>2</v>
      </c>
    </row>
    <row r="7151" spans="1:6" x14ac:dyDescent="0.55000000000000004">
      <c r="A7151" t="s">
        <v>184</v>
      </c>
      <c r="B7151" t="s">
        <v>10</v>
      </c>
      <c r="C7151">
        <v>3000</v>
      </c>
      <c r="D7151" t="s">
        <v>310</v>
      </c>
      <c r="E7151">
        <v>2026</v>
      </c>
      <c r="F7151">
        <v>2</v>
      </c>
    </row>
    <row r="7152" spans="1:6" x14ac:dyDescent="0.55000000000000004">
      <c r="A7152" t="s">
        <v>184</v>
      </c>
      <c r="B7152" t="s">
        <v>11</v>
      </c>
      <c r="C7152">
        <v>2618119.8382000001</v>
      </c>
      <c r="D7152" t="s">
        <v>310</v>
      </c>
      <c r="E7152">
        <v>2026</v>
      </c>
      <c r="F7152">
        <v>2</v>
      </c>
    </row>
    <row r="7153" spans="1:6" x14ac:dyDescent="0.55000000000000004">
      <c r="A7153" t="s">
        <v>184</v>
      </c>
      <c r="B7153" t="s">
        <v>12</v>
      </c>
      <c r="C7153">
        <v>17000</v>
      </c>
      <c r="D7153" t="s">
        <v>310</v>
      </c>
      <c r="E7153">
        <v>2026</v>
      </c>
      <c r="F7153">
        <v>2</v>
      </c>
    </row>
    <row r="7154" spans="1:6" x14ac:dyDescent="0.55000000000000004">
      <c r="A7154" t="s">
        <v>184</v>
      </c>
      <c r="B7154" t="s">
        <v>13</v>
      </c>
      <c r="C7154">
        <v>6695.2</v>
      </c>
      <c r="D7154" t="s">
        <v>310</v>
      </c>
      <c r="E7154">
        <v>2026</v>
      </c>
      <c r="F7154">
        <v>2</v>
      </c>
    </row>
    <row r="7155" spans="1:6" x14ac:dyDescent="0.55000000000000004">
      <c r="A7155" t="s">
        <v>184</v>
      </c>
      <c r="B7155" t="s">
        <v>14</v>
      </c>
      <c r="C7155">
        <v>1200</v>
      </c>
      <c r="D7155" t="s">
        <v>310</v>
      </c>
      <c r="E7155">
        <v>2026</v>
      </c>
      <c r="F7155">
        <v>2</v>
      </c>
    </row>
    <row r="7156" spans="1:6" x14ac:dyDescent="0.55000000000000004">
      <c r="A7156" t="s">
        <v>184</v>
      </c>
      <c r="B7156" t="s">
        <v>15</v>
      </c>
      <c r="C7156">
        <v>859034.41330000001</v>
      </c>
      <c r="D7156" t="s">
        <v>310</v>
      </c>
      <c r="E7156">
        <v>2026</v>
      </c>
      <c r="F7156">
        <v>2</v>
      </c>
    </row>
    <row r="7157" spans="1:6" x14ac:dyDescent="0.55000000000000004">
      <c r="A7157" t="s">
        <v>184</v>
      </c>
      <c r="B7157" t="s">
        <v>17</v>
      </c>
      <c r="C7157">
        <v>78060.615999999995</v>
      </c>
      <c r="D7157" t="s">
        <v>310</v>
      </c>
      <c r="E7157">
        <v>2026</v>
      </c>
      <c r="F7157">
        <v>2</v>
      </c>
    </row>
    <row r="7158" spans="1:6" x14ac:dyDescent="0.55000000000000004">
      <c r="A7158" t="s">
        <v>184</v>
      </c>
      <c r="B7158" t="s">
        <v>18</v>
      </c>
      <c r="C7158">
        <v>27836.5501</v>
      </c>
      <c r="D7158" t="s">
        <v>310</v>
      </c>
      <c r="E7158">
        <v>2026</v>
      </c>
      <c r="F7158">
        <v>2</v>
      </c>
    </row>
    <row r="7159" spans="1:6" x14ac:dyDescent="0.55000000000000004">
      <c r="A7159" t="s">
        <v>184</v>
      </c>
      <c r="B7159" t="s">
        <v>19</v>
      </c>
      <c r="C7159">
        <v>3599.9827</v>
      </c>
      <c r="D7159" t="s">
        <v>310</v>
      </c>
      <c r="E7159">
        <v>2026</v>
      </c>
      <c r="F7159">
        <v>2</v>
      </c>
    </row>
    <row r="7160" spans="1:6" x14ac:dyDescent="0.55000000000000004">
      <c r="A7160" t="s">
        <v>184</v>
      </c>
      <c r="B7160" t="s">
        <v>20</v>
      </c>
      <c r="C7160">
        <v>15000</v>
      </c>
      <c r="D7160" t="s">
        <v>310</v>
      </c>
      <c r="E7160">
        <v>2026</v>
      </c>
      <c r="F7160">
        <v>2</v>
      </c>
    </row>
    <row r="7161" spans="1:6" x14ac:dyDescent="0.55000000000000004">
      <c r="A7161" t="s">
        <v>184</v>
      </c>
      <c r="B7161" t="s">
        <v>21</v>
      </c>
      <c r="C7161">
        <v>3744.4047</v>
      </c>
      <c r="D7161" t="s">
        <v>310</v>
      </c>
      <c r="E7161">
        <v>2026</v>
      </c>
      <c r="F7161">
        <v>2</v>
      </c>
    </row>
    <row r="7162" spans="1:6" x14ac:dyDescent="0.55000000000000004">
      <c r="A7162" t="s">
        <v>184</v>
      </c>
      <c r="B7162" t="s">
        <v>22</v>
      </c>
      <c r="C7162">
        <v>45263.673999999999</v>
      </c>
      <c r="D7162" t="s">
        <v>310</v>
      </c>
      <c r="E7162">
        <v>2026</v>
      </c>
      <c r="F7162">
        <v>2</v>
      </c>
    </row>
    <row r="7163" spans="1:6" x14ac:dyDescent="0.55000000000000004">
      <c r="A7163" t="s">
        <v>184</v>
      </c>
      <c r="B7163" t="s">
        <v>23</v>
      </c>
      <c r="C7163">
        <v>65900.003299999997</v>
      </c>
      <c r="D7163" t="s">
        <v>310</v>
      </c>
      <c r="E7163">
        <v>2026</v>
      </c>
      <c r="F7163">
        <v>2</v>
      </c>
    </row>
    <row r="7164" spans="1:6" x14ac:dyDescent="0.55000000000000004">
      <c r="A7164" t="s">
        <v>184</v>
      </c>
      <c r="B7164" t="s">
        <v>25</v>
      </c>
      <c r="C7164">
        <v>385000</v>
      </c>
      <c r="D7164" t="s">
        <v>310</v>
      </c>
      <c r="E7164">
        <v>2026</v>
      </c>
      <c r="F7164">
        <v>2</v>
      </c>
    </row>
    <row r="7165" spans="1:6" x14ac:dyDescent="0.55000000000000004">
      <c r="A7165" t="s">
        <v>184</v>
      </c>
      <c r="B7165" t="s">
        <v>27</v>
      </c>
      <c r="C7165">
        <v>499.988</v>
      </c>
      <c r="D7165" t="s">
        <v>310</v>
      </c>
      <c r="E7165">
        <v>2026</v>
      </c>
      <c r="F7165">
        <v>2</v>
      </c>
    </row>
    <row r="7166" spans="1:6" x14ac:dyDescent="0.55000000000000004">
      <c r="A7166" t="s">
        <v>184</v>
      </c>
      <c r="B7166" t="s">
        <v>28</v>
      </c>
      <c r="C7166">
        <v>392499.99040000001</v>
      </c>
      <c r="D7166" t="s">
        <v>310</v>
      </c>
      <c r="E7166">
        <v>2026</v>
      </c>
      <c r="F7166">
        <v>2</v>
      </c>
    </row>
    <row r="7167" spans="1:6" x14ac:dyDescent="0.55000000000000004">
      <c r="A7167" t="s">
        <v>184</v>
      </c>
      <c r="B7167" t="s">
        <v>29</v>
      </c>
      <c r="C7167">
        <v>15368.000400000001</v>
      </c>
      <c r="D7167" t="s">
        <v>310</v>
      </c>
      <c r="E7167">
        <v>2026</v>
      </c>
      <c r="F7167">
        <v>2</v>
      </c>
    </row>
    <row r="7168" spans="1:6" x14ac:dyDescent="0.55000000000000004">
      <c r="A7168" t="s">
        <v>184</v>
      </c>
      <c r="B7168" t="s">
        <v>30</v>
      </c>
      <c r="C7168">
        <v>30.004000000000001</v>
      </c>
      <c r="D7168" t="s">
        <v>310</v>
      </c>
      <c r="E7168">
        <v>2026</v>
      </c>
      <c r="F7168">
        <v>2</v>
      </c>
    </row>
    <row r="7169" spans="1:6" x14ac:dyDescent="0.55000000000000004">
      <c r="A7169" t="s">
        <v>184</v>
      </c>
      <c r="B7169" t="s">
        <v>31</v>
      </c>
      <c r="C7169">
        <v>40</v>
      </c>
      <c r="D7169" t="s">
        <v>310</v>
      </c>
      <c r="E7169">
        <v>2026</v>
      </c>
      <c r="F7169">
        <v>2</v>
      </c>
    </row>
    <row r="7170" spans="1:6" x14ac:dyDescent="0.55000000000000004">
      <c r="A7170" t="s">
        <v>184</v>
      </c>
      <c r="B7170" t="s">
        <v>32</v>
      </c>
      <c r="C7170">
        <v>935742.34</v>
      </c>
      <c r="D7170" t="s">
        <v>310</v>
      </c>
      <c r="E7170">
        <v>2026</v>
      </c>
      <c r="F7170">
        <v>2</v>
      </c>
    </row>
    <row r="7171" spans="1:6" x14ac:dyDescent="0.55000000000000004">
      <c r="A7171" t="s">
        <v>184</v>
      </c>
      <c r="B7171" t="s">
        <v>33</v>
      </c>
      <c r="C7171">
        <v>780393.19590000005</v>
      </c>
      <c r="D7171" t="s">
        <v>310</v>
      </c>
      <c r="E7171">
        <v>2026</v>
      </c>
      <c r="F7171">
        <v>2</v>
      </c>
    </row>
    <row r="7172" spans="1:6" x14ac:dyDescent="0.55000000000000004">
      <c r="A7172" t="s">
        <v>184</v>
      </c>
      <c r="B7172" t="s">
        <v>34</v>
      </c>
      <c r="C7172">
        <v>533058.05870000005</v>
      </c>
      <c r="D7172" t="s">
        <v>310</v>
      </c>
      <c r="E7172">
        <v>2026</v>
      </c>
      <c r="F7172">
        <v>2</v>
      </c>
    </row>
    <row r="7173" spans="1:6" x14ac:dyDescent="0.55000000000000004">
      <c r="A7173" t="s">
        <v>184</v>
      </c>
      <c r="B7173" t="s">
        <v>35</v>
      </c>
      <c r="C7173">
        <v>1309.5235</v>
      </c>
      <c r="D7173" t="s">
        <v>310</v>
      </c>
      <c r="E7173">
        <v>2026</v>
      </c>
      <c r="F7173">
        <v>2</v>
      </c>
    </row>
    <row r="7174" spans="1:6" x14ac:dyDescent="0.55000000000000004">
      <c r="A7174" t="s">
        <v>184</v>
      </c>
      <c r="B7174" t="s">
        <v>36</v>
      </c>
      <c r="C7174">
        <v>84518.000100000005</v>
      </c>
      <c r="D7174" t="s">
        <v>310</v>
      </c>
      <c r="E7174">
        <v>2026</v>
      </c>
      <c r="F7174">
        <v>2</v>
      </c>
    </row>
    <row r="7175" spans="1:6" x14ac:dyDescent="0.55000000000000004">
      <c r="A7175" t="s">
        <v>184</v>
      </c>
      <c r="B7175" t="s">
        <v>37</v>
      </c>
      <c r="C7175">
        <v>75999.9954</v>
      </c>
      <c r="D7175" t="s">
        <v>310</v>
      </c>
      <c r="E7175">
        <v>2026</v>
      </c>
      <c r="F7175">
        <v>2</v>
      </c>
    </row>
    <row r="7176" spans="1:6" x14ac:dyDescent="0.55000000000000004">
      <c r="A7176" t="s">
        <v>184</v>
      </c>
      <c r="B7176" t="s">
        <v>39</v>
      </c>
      <c r="C7176">
        <v>928.10530000000006</v>
      </c>
      <c r="D7176" t="s">
        <v>310</v>
      </c>
      <c r="E7176">
        <v>2026</v>
      </c>
      <c r="F7176">
        <v>2</v>
      </c>
    </row>
    <row r="7177" spans="1:6" x14ac:dyDescent="0.55000000000000004">
      <c r="A7177" t="s">
        <v>184</v>
      </c>
      <c r="B7177" t="s">
        <v>40</v>
      </c>
      <c r="C7177">
        <v>2190.0001000000002</v>
      </c>
      <c r="D7177" t="s">
        <v>310</v>
      </c>
      <c r="E7177">
        <v>2026</v>
      </c>
      <c r="F7177">
        <v>2</v>
      </c>
    </row>
    <row r="7178" spans="1:6" x14ac:dyDescent="0.55000000000000004">
      <c r="A7178" t="s">
        <v>184</v>
      </c>
      <c r="B7178" t="s">
        <v>41</v>
      </c>
      <c r="C7178">
        <v>229199.99830000001</v>
      </c>
      <c r="D7178" t="s">
        <v>310</v>
      </c>
      <c r="E7178">
        <v>2026</v>
      </c>
      <c r="F7178">
        <v>2</v>
      </c>
    </row>
    <row r="7179" spans="1:6" x14ac:dyDescent="0.55000000000000004">
      <c r="A7179" t="s">
        <v>184</v>
      </c>
      <c r="B7179" t="s">
        <v>42</v>
      </c>
      <c r="C7179">
        <v>10.339700000000001</v>
      </c>
      <c r="D7179" t="s">
        <v>310</v>
      </c>
      <c r="E7179">
        <v>2026</v>
      </c>
      <c r="F7179">
        <v>2</v>
      </c>
    </row>
    <row r="7180" spans="1:6" x14ac:dyDescent="0.55000000000000004">
      <c r="A7180" t="s">
        <v>184</v>
      </c>
      <c r="B7180" t="s">
        <v>43</v>
      </c>
      <c r="C7180">
        <v>268861.31949999998</v>
      </c>
      <c r="D7180" t="s">
        <v>310</v>
      </c>
      <c r="E7180">
        <v>2026</v>
      </c>
      <c r="F7180">
        <v>2</v>
      </c>
    </row>
    <row r="7181" spans="1:6" x14ac:dyDescent="0.55000000000000004">
      <c r="A7181" t="s">
        <v>184</v>
      </c>
      <c r="B7181" t="s">
        <v>45</v>
      </c>
      <c r="C7181">
        <v>1633.6085</v>
      </c>
      <c r="D7181" t="s">
        <v>310</v>
      </c>
      <c r="E7181">
        <v>2026</v>
      </c>
      <c r="F7181">
        <v>2</v>
      </c>
    </row>
    <row r="7182" spans="1:6" x14ac:dyDescent="0.55000000000000004">
      <c r="A7182" t="s">
        <v>184</v>
      </c>
      <c r="B7182" t="s">
        <v>46</v>
      </c>
      <c r="C7182">
        <v>20577.41</v>
      </c>
      <c r="D7182" t="s">
        <v>310</v>
      </c>
      <c r="E7182">
        <v>2026</v>
      </c>
      <c r="F7182">
        <v>2</v>
      </c>
    </row>
    <row r="7183" spans="1:6" x14ac:dyDescent="0.55000000000000004">
      <c r="A7183" t="s">
        <v>184</v>
      </c>
      <c r="B7183" t="s">
        <v>47</v>
      </c>
      <c r="C7183">
        <v>0.5</v>
      </c>
      <c r="D7183" t="s">
        <v>310</v>
      </c>
      <c r="E7183">
        <v>2026</v>
      </c>
      <c r="F7183">
        <v>2</v>
      </c>
    </row>
    <row r="7184" spans="1:6" x14ac:dyDescent="0.55000000000000004">
      <c r="A7184" t="s">
        <v>184</v>
      </c>
      <c r="B7184" t="s">
        <v>48</v>
      </c>
      <c r="C7184">
        <v>74370.458599999998</v>
      </c>
      <c r="D7184" t="s">
        <v>310</v>
      </c>
      <c r="E7184">
        <v>2026</v>
      </c>
      <c r="F7184">
        <v>2</v>
      </c>
    </row>
    <row r="7185" spans="1:6" x14ac:dyDescent="0.55000000000000004">
      <c r="A7185" t="s">
        <v>184</v>
      </c>
      <c r="B7185" t="s">
        <v>49</v>
      </c>
      <c r="C7185">
        <v>319.2627</v>
      </c>
      <c r="D7185" t="s">
        <v>310</v>
      </c>
      <c r="E7185">
        <v>2026</v>
      </c>
      <c r="F7185">
        <v>2</v>
      </c>
    </row>
    <row r="7186" spans="1:6" x14ac:dyDescent="0.55000000000000004">
      <c r="A7186" t="s">
        <v>184</v>
      </c>
      <c r="B7186" t="s">
        <v>50</v>
      </c>
      <c r="C7186">
        <v>11635</v>
      </c>
      <c r="D7186" t="s">
        <v>310</v>
      </c>
      <c r="E7186">
        <v>2026</v>
      </c>
      <c r="F7186">
        <v>2</v>
      </c>
    </row>
    <row r="7187" spans="1:6" x14ac:dyDescent="0.55000000000000004">
      <c r="A7187" t="s">
        <v>184</v>
      </c>
      <c r="B7187" t="s">
        <v>51</v>
      </c>
      <c r="C7187">
        <v>2300</v>
      </c>
      <c r="D7187" t="s">
        <v>310</v>
      </c>
      <c r="E7187">
        <v>2026</v>
      </c>
      <c r="F7187">
        <v>2</v>
      </c>
    </row>
    <row r="7188" spans="1:6" x14ac:dyDescent="0.55000000000000004">
      <c r="A7188" t="s">
        <v>184</v>
      </c>
      <c r="B7188" t="s">
        <v>52</v>
      </c>
      <c r="C7188">
        <v>40.7851</v>
      </c>
      <c r="D7188" t="s">
        <v>310</v>
      </c>
      <c r="E7188">
        <v>2026</v>
      </c>
      <c r="F7188">
        <v>2</v>
      </c>
    </row>
    <row r="7189" spans="1:6" x14ac:dyDescent="0.55000000000000004">
      <c r="A7189" t="s">
        <v>184</v>
      </c>
      <c r="B7189" t="s">
        <v>53</v>
      </c>
      <c r="C7189">
        <v>108812</v>
      </c>
      <c r="D7189" t="s">
        <v>310</v>
      </c>
      <c r="E7189">
        <v>2026</v>
      </c>
      <c r="F7189">
        <v>2</v>
      </c>
    </row>
    <row r="7190" spans="1:6" x14ac:dyDescent="0.55000000000000004">
      <c r="A7190" t="s">
        <v>184</v>
      </c>
      <c r="B7190" t="s">
        <v>54</v>
      </c>
      <c r="C7190">
        <v>20780.989799999999</v>
      </c>
      <c r="D7190" t="s">
        <v>310</v>
      </c>
      <c r="E7190">
        <v>2026</v>
      </c>
      <c r="F7190">
        <v>2</v>
      </c>
    </row>
    <row r="7191" spans="1:6" x14ac:dyDescent="0.55000000000000004">
      <c r="A7191" t="s">
        <v>184</v>
      </c>
      <c r="B7191" t="s">
        <v>55</v>
      </c>
      <c r="C7191">
        <v>4838</v>
      </c>
      <c r="D7191" t="s">
        <v>310</v>
      </c>
      <c r="E7191">
        <v>2026</v>
      </c>
      <c r="F7191">
        <v>2</v>
      </c>
    </row>
    <row r="7192" spans="1:6" x14ac:dyDescent="0.55000000000000004">
      <c r="A7192" t="s">
        <v>184</v>
      </c>
      <c r="B7192" t="s">
        <v>56</v>
      </c>
      <c r="C7192">
        <v>7000</v>
      </c>
      <c r="D7192" t="s">
        <v>310</v>
      </c>
      <c r="E7192">
        <v>2026</v>
      </c>
      <c r="F7192">
        <v>2</v>
      </c>
    </row>
    <row r="7193" spans="1:6" x14ac:dyDescent="0.55000000000000004">
      <c r="A7193" t="s">
        <v>184</v>
      </c>
      <c r="B7193" t="s">
        <v>57</v>
      </c>
      <c r="C7193">
        <v>389.99380000000002</v>
      </c>
      <c r="D7193" t="s">
        <v>310</v>
      </c>
      <c r="E7193">
        <v>2026</v>
      </c>
      <c r="F7193">
        <v>2</v>
      </c>
    </row>
    <row r="7194" spans="1:6" x14ac:dyDescent="0.55000000000000004">
      <c r="A7194" t="s">
        <v>184</v>
      </c>
      <c r="B7194" t="s">
        <v>58</v>
      </c>
      <c r="C7194">
        <v>651933</v>
      </c>
      <c r="D7194" t="s">
        <v>310</v>
      </c>
      <c r="E7194">
        <v>2026</v>
      </c>
      <c r="F7194">
        <v>2</v>
      </c>
    </row>
    <row r="7195" spans="1:6" x14ac:dyDescent="0.55000000000000004">
      <c r="A7195" t="s">
        <v>184</v>
      </c>
      <c r="B7195" t="s">
        <v>59</v>
      </c>
      <c r="C7195">
        <v>17000</v>
      </c>
      <c r="D7195" t="s">
        <v>310</v>
      </c>
      <c r="E7195">
        <v>2026</v>
      </c>
      <c r="F7195">
        <v>2</v>
      </c>
    </row>
    <row r="7196" spans="1:6" x14ac:dyDescent="0.55000000000000004">
      <c r="A7196" t="s">
        <v>184</v>
      </c>
      <c r="B7196" t="s">
        <v>60</v>
      </c>
      <c r="C7196">
        <v>2760000.0018000002</v>
      </c>
      <c r="D7196" t="s">
        <v>310</v>
      </c>
      <c r="E7196">
        <v>2026</v>
      </c>
      <c r="F7196">
        <v>2</v>
      </c>
    </row>
    <row r="7197" spans="1:6" x14ac:dyDescent="0.55000000000000004">
      <c r="A7197" t="s">
        <v>184</v>
      </c>
      <c r="B7197" t="s">
        <v>61</v>
      </c>
      <c r="C7197">
        <v>5200.0033000000003</v>
      </c>
      <c r="D7197" t="s">
        <v>310</v>
      </c>
      <c r="E7197">
        <v>2026</v>
      </c>
      <c r="F7197">
        <v>2</v>
      </c>
    </row>
    <row r="7198" spans="1:6" x14ac:dyDescent="0.55000000000000004">
      <c r="A7198" t="s">
        <v>184</v>
      </c>
      <c r="B7198" t="s">
        <v>62</v>
      </c>
      <c r="C7198">
        <v>8802.3799999999992</v>
      </c>
      <c r="D7198" t="s">
        <v>310</v>
      </c>
      <c r="E7198">
        <v>2026</v>
      </c>
      <c r="F7198">
        <v>2</v>
      </c>
    </row>
    <row r="7199" spans="1:6" x14ac:dyDescent="0.55000000000000004">
      <c r="A7199" t="s">
        <v>184</v>
      </c>
      <c r="B7199" t="s">
        <v>63</v>
      </c>
      <c r="C7199">
        <v>0</v>
      </c>
      <c r="D7199" t="s">
        <v>310</v>
      </c>
      <c r="E7199">
        <v>2026</v>
      </c>
      <c r="F7199">
        <v>2</v>
      </c>
    </row>
    <row r="7200" spans="1:6" x14ac:dyDescent="0.55000000000000004">
      <c r="A7200" t="s">
        <v>185</v>
      </c>
      <c r="B7200" t="s">
        <v>4</v>
      </c>
      <c r="C7200">
        <v>13589607.434</v>
      </c>
      <c r="D7200" t="s">
        <v>311</v>
      </c>
      <c r="E7200">
        <v>2026</v>
      </c>
      <c r="F7200">
        <v>3</v>
      </c>
    </row>
    <row r="7201" spans="1:6" x14ac:dyDescent="0.55000000000000004">
      <c r="A7201" t="s">
        <v>185</v>
      </c>
      <c r="B7201" t="s">
        <v>5</v>
      </c>
      <c r="C7201">
        <v>1060409.1336000001</v>
      </c>
      <c r="D7201" t="s">
        <v>311</v>
      </c>
      <c r="E7201">
        <v>2026</v>
      </c>
      <c r="F7201">
        <v>3</v>
      </c>
    </row>
    <row r="7202" spans="1:6" x14ac:dyDescent="0.55000000000000004">
      <c r="A7202" t="s">
        <v>185</v>
      </c>
      <c r="B7202" t="s">
        <v>6</v>
      </c>
      <c r="C7202">
        <v>2885111.6789000002</v>
      </c>
      <c r="D7202" t="s">
        <v>311</v>
      </c>
      <c r="E7202">
        <v>2026</v>
      </c>
      <c r="F7202">
        <v>3</v>
      </c>
    </row>
    <row r="7203" spans="1:6" x14ac:dyDescent="0.55000000000000004">
      <c r="A7203" t="s">
        <v>185</v>
      </c>
      <c r="B7203" t="s">
        <v>7</v>
      </c>
      <c r="C7203">
        <v>3007906.1560999998</v>
      </c>
      <c r="D7203" t="s">
        <v>311</v>
      </c>
      <c r="E7203">
        <v>2026</v>
      </c>
      <c r="F7203">
        <v>3</v>
      </c>
    </row>
    <row r="7204" spans="1:6" x14ac:dyDescent="0.55000000000000004">
      <c r="A7204" t="s">
        <v>185</v>
      </c>
      <c r="B7204" t="s">
        <v>8</v>
      </c>
      <c r="C7204">
        <v>6636180.4654000001</v>
      </c>
      <c r="D7204" t="s">
        <v>311</v>
      </c>
      <c r="E7204">
        <v>2026</v>
      </c>
      <c r="F7204">
        <v>3</v>
      </c>
    </row>
    <row r="7205" spans="1:6" x14ac:dyDescent="0.55000000000000004">
      <c r="A7205" t="s">
        <v>185</v>
      </c>
      <c r="B7205" t="s">
        <v>9</v>
      </c>
      <c r="C7205">
        <v>2800</v>
      </c>
      <c r="D7205" t="s">
        <v>311</v>
      </c>
      <c r="E7205">
        <v>2026</v>
      </c>
      <c r="F7205">
        <v>3</v>
      </c>
    </row>
    <row r="7206" spans="1:6" x14ac:dyDescent="0.55000000000000004">
      <c r="A7206" t="s">
        <v>185</v>
      </c>
      <c r="B7206" t="s">
        <v>10</v>
      </c>
      <c r="C7206">
        <v>2500</v>
      </c>
      <c r="D7206" t="s">
        <v>311</v>
      </c>
      <c r="E7206">
        <v>2026</v>
      </c>
      <c r="F7206">
        <v>3</v>
      </c>
    </row>
    <row r="7207" spans="1:6" x14ac:dyDescent="0.55000000000000004">
      <c r="A7207" t="s">
        <v>185</v>
      </c>
      <c r="B7207" t="s">
        <v>11</v>
      </c>
      <c r="C7207">
        <v>3058938.5846000002</v>
      </c>
      <c r="D7207" t="s">
        <v>311</v>
      </c>
      <c r="E7207">
        <v>2026</v>
      </c>
      <c r="F7207">
        <v>3</v>
      </c>
    </row>
    <row r="7208" spans="1:6" x14ac:dyDescent="0.55000000000000004">
      <c r="A7208" t="s">
        <v>185</v>
      </c>
      <c r="B7208" t="s">
        <v>12</v>
      </c>
      <c r="C7208">
        <v>24000</v>
      </c>
      <c r="D7208" t="s">
        <v>311</v>
      </c>
      <c r="E7208">
        <v>2026</v>
      </c>
      <c r="F7208">
        <v>3</v>
      </c>
    </row>
    <row r="7209" spans="1:6" x14ac:dyDescent="0.55000000000000004">
      <c r="A7209" t="s">
        <v>185</v>
      </c>
      <c r="B7209" t="s">
        <v>13</v>
      </c>
      <c r="C7209">
        <v>10000.0034</v>
      </c>
      <c r="D7209" t="s">
        <v>311</v>
      </c>
      <c r="E7209">
        <v>2026</v>
      </c>
      <c r="F7209">
        <v>3</v>
      </c>
    </row>
    <row r="7210" spans="1:6" x14ac:dyDescent="0.55000000000000004">
      <c r="A7210" t="s">
        <v>185</v>
      </c>
      <c r="B7210" t="s">
        <v>14</v>
      </c>
      <c r="C7210">
        <v>3000</v>
      </c>
      <c r="D7210" t="s">
        <v>311</v>
      </c>
      <c r="E7210">
        <v>2026</v>
      </c>
      <c r="F7210">
        <v>3</v>
      </c>
    </row>
    <row r="7211" spans="1:6" x14ac:dyDescent="0.55000000000000004">
      <c r="A7211" t="s">
        <v>185</v>
      </c>
      <c r="B7211" t="s">
        <v>15</v>
      </c>
      <c r="C7211">
        <v>899959.12780000002</v>
      </c>
      <c r="D7211" t="s">
        <v>311</v>
      </c>
      <c r="E7211">
        <v>2026</v>
      </c>
      <c r="F7211">
        <v>3</v>
      </c>
    </row>
    <row r="7212" spans="1:6" x14ac:dyDescent="0.55000000000000004">
      <c r="A7212" t="s">
        <v>185</v>
      </c>
      <c r="B7212" t="s">
        <v>17</v>
      </c>
      <c r="C7212">
        <v>147363.72440000001</v>
      </c>
      <c r="D7212" t="s">
        <v>311</v>
      </c>
      <c r="E7212">
        <v>2026</v>
      </c>
      <c r="F7212">
        <v>3</v>
      </c>
    </row>
    <row r="7213" spans="1:6" x14ac:dyDescent="0.55000000000000004">
      <c r="A7213" t="s">
        <v>185</v>
      </c>
      <c r="B7213" t="s">
        <v>18</v>
      </c>
      <c r="C7213">
        <v>59521.132799999999</v>
      </c>
      <c r="D7213" t="s">
        <v>311</v>
      </c>
      <c r="E7213">
        <v>2026</v>
      </c>
      <c r="F7213">
        <v>3</v>
      </c>
    </row>
    <row r="7214" spans="1:6" x14ac:dyDescent="0.55000000000000004">
      <c r="A7214" t="s">
        <v>185</v>
      </c>
      <c r="B7214" t="s">
        <v>19</v>
      </c>
      <c r="C7214">
        <v>2199.991</v>
      </c>
      <c r="D7214" t="s">
        <v>311</v>
      </c>
      <c r="E7214">
        <v>2026</v>
      </c>
      <c r="F7214">
        <v>3</v>
      </c>
    </row>
    <row r="7215" spans="1:6" x14ac:dyDescent="0.55000000000000004">
      <c r="A7215" t="s">
        <v>185</v>
      </c>
      <c r="B7215" t="s">
        <v>20</v>
      </c>
      <c r="C7215">
        <v>14000</v>
      </c>
      <c r="D7215" t="s">
        <v>311</v>
      </c>
      <c r="E7215">
        <v>2026</v>
      </c>
      <c r="F7215">
        <v>3</v>
      </c>
    </row>
    <row r="7216" spans="1:6" x14ac:dyDescent="0.55000000000000004">
      <c r="A7216" t="s">
        <v>185</v>
      </c>
      <c r="B7216" t="s">
        <v>21</v>
      </c>
      <c r="C7216">
        <v>8495.7222999999994</v>
      </c>
      <c r="D7216" t="s">
        <v>311</v>
      </c>
      <c r="E7216">
        <v>2026</v>
      </c>
      <c r="F7216">
        <v>3</v>
      </c>
    </row>
    <row r="7217" spans="1:6" x14ac:dyDescent="0.55000000000000004">
      <c r="A7217" t="s">
        <v>185</v>
      </c>
      <c r="B7217" t="s">
        <v>22</v>
      </c>
      <c r="C7217">
        <v>38268.71</v>
      </c>
      <c r="D7217" t="s">
        <v>311</v>
      </c>
      <c r="E7217">
        <v>2026</v>
      </c>
      <c r="F7217">
        <v>3</v>
      </c>
    </row>
    <row r="7218" spans="1:6" x14ac:dyDescent="0.55000000000000004">
      <c r="A7218" t="s">
        <v>185</v>
      </c>
      <c r="B7218" t="s">
        <v>23</v>
      </c>
      <c r="C7218">
        <v>64699.999300000003</v>
      </c>
      <c r="D7218" t="s">
        <v>311</v>
      </c>
      <c r="E7218">
        <v>2026</v>
      </c>
      <c r="F7218">
        <v>3</v>
      </c>
    </row>
    <row r="7219" spans="1:6" x14ac:dyDescent="0.55000000000000004">
      <c r="A7219" t="s">
        <v>185</v>
      </c>
      <c r="B7219" t="s">
        <v>25</v>
      </c>
      <c r="C7219">
        <v>443143.77279999998</v>
      </c>
      <c r="D7219" t="s">
        <v>311</v>
      </c>
      <c r="E7219">
        <v>2026</v>
      </c>
      <c r="F7219">
        <v>3</v>
      </c>
    </row>
    <row r="7220" spans="1:6" x14ac:dyDescent="0.55000000000000004">
      <c r="A7220" t="s">
        <v>185</v>
      </c>
      <c r="B7220" t="s">
        <v>27</v>
      </c>
      <c r="C7220">
        <v>1000.006</v>
      </c>
      <c r="D7220" t="s">
        <v>311</v>
      </c>
      <c r="E7220">
        <v>2026</v>
      </c>
      <c r="F7220">
        <v>3</v>
      </c>
    </row>
    <row r="7221" spans="1:6" x14ac:dyDescent="0.55000000000000004">
      <c r="A7221" t="s">
        <v>185</v>
      </c>
      <c r="B7221" t="s">
        <v>28</v>
      </c>
      <c r="C7221">
        <v>495700.00770000002</v>
      </c>
      <c r="D7221" t="s">
        <v>311</v>
      </c>
      <c r="E7221">
        <v>2026</v>
      </c>
      <c r="F7221">
        <v>3</v>
      </c>
    </row>
    <row r="7222" spans="1:6" x14ac:dyDescent="0.55000000000000004">
      <c r="A7222" t="s">
        <v>185</v>
      </c>
      <c r="B7222" t="s">
        <v>29</v>
      </c>
      <c r="C7222">
        <v>11985.715099999999</v>
      </c>
      <c r="D7222" t="s">
        <v>311</v>
      </c>
      <c r="E7222">
        <v>2026</v>
      </c>
      <c r="F7222">
        <v>3</v>
      </c>
    </row>
    <row r="7223" spans="1:6" x14ac:dyDescent="0.55000000000000004">
      <c r="A7223" t="s">
        <v>185</v>
      </c>
      <c r="B7223" t="s">
        <v>30</v>
      </c>
      <c r="C7223">
        <v>30.004000000000001</v>
      </c>
      <c r="D7223" t="s">
        <v>311</v>
      </c>
      <c r="E7223">
        <v>2026</v>
      </c>
      <c r="F7223">
        <v>3</v>
      </c>
    </row>
    <row r="7224" spans="1:6" x14ac:dyDescent="0.55000000000000004">
      <c r="A7224" t="s">
        <v>185</v>
      </c>
      <c r="B7224" t="s">
        <v>31</v>
      </c>
      <c r="C7224">
        <v>40</v>
      </c>
      <c r="D7224" t="s">
        <v>311</v>
      </c>
      <c r="E7224">
        <v>2026</v>
      </c>
      <c r="F7224">
        <v>3</v>
      </c>
    </row>
    <row r="7225" spans="1:6" x14ac:dyDescent="0.55000000000000004">
      <c r="A7225" t="s">
        <v>185</v>
      </c>
      <c r="B7225" t="s">
        <v>32</v>
      </c>
      <c r="C7225">
        <v>969419.43</v>
      </c>
      <c r="D7225" t="s">
        <v>311</v>
      </c>
      <c r="E7225">
        <v>2026</v>
      </c>
      <c r="F7225">
        <v>3</v>
      </c>
    </row>
    <row r="7226" spans="1:6" x14ac:dyDescent="0.55000000000000004">
      <c r="A7226" t="s">
        <v>185</v>
      </c>
      <c r="B7226" t="s">
        <v>33</v>
      </c>
      <c r="C7226">
        <v>832000.01060000004</v>
      </c>
      <c r="D7226" t="s">
        <v>311</v>
      </c>
      <c r="E7226">
        <v>2026</v>
      </c>
      <c r="F7226">
        <v>3</v>
      </c>
    </row>
    <row r="7227" spans="1:6" x14ac:dyDescent="0.55000000000000004">
      <c r="A7227" t="s">
        <v>185</v>
      </c>
      <c r="B7227" t="s">
        <v>34</v>
      </c>
      <c r="C7227">
        <v>452642.84139999998</v>
      </c>
      <c r="D7227" t="s">
        <v>311</v>
      </c>
      <c r="E7227">
        <v>2026</v>
      </c>
      <c r="F7227">
        <v>3</v>
      </c>
    </row>
    <row r="7228" spans="1:6" x14ac:dyDescent="0.55000000000000004">
      <c r="A7228" t="s">
        <v>185</v>
      </c>
      <c r="B7228" t="s">
        <v>35</v>
      </c>
      <c r="C7228">
        <v>737.6105</v>
      </c>
      <c r="D7228" t="s">
        <v>311</v>
      </c>
      <c r="E7228">
        <v>2026</v>
      </c>
      <c r="F7228">
        <v>3</v>
      </c>
    </row>
    <row r="7229" spans="1:6" x14ac:dyDescent="0.55000000000000004">
      <c r="A7229" t="s">
        <v>185</v>
      </c>
      <c r="B7229" t="s">
        <v>36</v>
      </c>
      <c r="C7229">
        <v>97000.002999999997</v>
      </c>
      <c r="D7229" t="s">
        <v>311</v>
      </c>
      <c r="E7229">
        <v>2026</v>
      </c>
      <c r="F7229">
        <v>3</v>
      </c>
    </row>
    <row r="7230" spans="1:6" x14ac:dyDescent="0.55000000000000004">
      <c r="A7230" t="s">
        <v>185</v>
      </c>
      <c r="B7230" t="s">
        <v>37</v>
      </c>
      <c r="C7230">
        <v>162000.00279999999</v>
      </c>
      <c r="D7230" t="s">
        <v>311</v>
      </c>
      <c r="E7230">
        <v>2026</v>
      </c>
      <c r="F7230">
        <v>3</v>
      </c>
    </row>
    <row r="7231" spans="1:6" x14ac:dyDescent="0.55000000000000004">
      <c r="A7231" t="s">
        <v>185</v>
      </c>
      <c r="B7231" t="s">
        <v>39</v>
      </c>
      <c r="C7231">
        <v>0.38</v>
      </c>
      <c r="D7231" t="s">
        <v>311</v>
      </c>
      <c r="E7231">
        <v>2026</v>
      </c>
      <c r="F7231">
        <v>3</v>
      </c>
    </row>
    <row r="7232" spans="1:6" x14ac:dyDescent="0.55000000000000004">
      <c r="A7232" t="s">
        <v>185</v>
      </c>
      <c r="B7232" t="s">
        <v>40</v>
      </c>
      <c r="C7232">
        <v>999.99469999999997</v>
      </c>
      <c r="D7232" t="s">
        <v>311</v>
      </c>
      <c r="E7232">
        <v>2026</v>
      </c>
      <c r="F7232">
        <v>3</v>
      </c>
    </row>
    <row r="7233" spans="1:6" x14ac:dyDescent="0.55000000000000004">
      <c r="A7233" t="s">
        <v>185</v>
      </c>
      <c r="B7233" t="s">
        <v>41</v>
      </c>
      <c r="C7233">
        <v>309899.99859999999</v>
      </c>
      <c r="D7233" t="s">
        <v>311</v>
      </c>
      <c r="E7233">
        <v>2026</v>
      </c>
      <c r="F7233">
        <v>3</v>
      </c>
    </row>
    <row r="7234" spans="1:6" x14ac:dyDescent="0.55000000000000004">
      <c r="A7234" t="s">
        <v>185</v>
      </c>
      <c r="B7234" t="s">
        <v>42</v>
      </c>
      <c r="C7234">
        <v>154.2833</v>
      </c>
      <c r="D7234" t="s">
        <v>311</v>
      </c>
      <c r="E7234">
        <v>2026</v>
      </c>
      <c r="F7234">
        <v>3</v>
      </c>
    </row>
    <row r="7235" spans="1:6" x14ac:dyDescent="0.55000000000000004">
      <c r="A7235" t="s">
        <v>185</v>
      </c>
      <c r="B7235" t="s">
        <v>43</v>
      </c>
      <c r="C7235">
        <v>297910.94300000003</v>
      </c>
      <c r="D7235" t="s">
        <v>311</v>
      </c>
      <c r="E7235">
        <v>2026</v>
      </c>
      <c r="F7235">
        <v>3</v>
      </c>
    </row>
    <row r="7236" spans="1:6" x14ac:dyDescent="0.55000000000000004">
      <c r="A7236" t="s">
        <v>185</v>
      </c>
      <c r="B7236" t="s">
        <v>45</v>
      </c>
      <c r="C7236">
        <v>3371.1677</v>
      </c>
      <c r="D7236" t="s">
        <v>311</v>
      </c>
      <c r="E7236">
        <v>2026</v>
      </c>
      <c r="F7236">
        <v>3</v>
      </c>
    </row>
    <row r="7237" spans="1:6" x14ac:dyDescent="0.55000000000000004">
      <c r="A7237" t="s">
        <v>185</v>
      </c>
      <c r="B7237" t="s">
        <v>46</v>
      </c>
      <c r="C7237">
        <v>27000</v>
      </c>
      <c r="D7237" t="s">
        <v>311</v>
      </c>
      <c r="E7237">
        <v>2026</v>
      </c>
      <c r="F7237">
        <v>3</v>
      </c>
    </row>
    <row r="7238" spans="1:6" x14ac:dyDescent="0.55000000000000004">
      <c r="A7238" t="s">
        <v>185</v>
      </c>
      <c r="B7238" t="s">
        <v>47</v>
      </c>
      <c r="C7238">
        <v>0</v>
      </c>
      <c r="D7238" t="s">
        <v>311</v>
      </c>
      <c r="E7238">
        <v>2026</v>
      </c>
      <c r="F7238">
        <v>3</v>
      </c>
    </row>
    <row r="7239" spans="1:6" x14ac:dyDescent="0.55000000000000004">
      <c r="A7239" t="s">
        <v>185</v>
      </c>
      <c r="B7239" t="s">
        <v>48</v>
      </c>
      <c r="C7239">
        <v>51473.9254</v>
      </c>
      <c r="D7239" t="s">
        <v>311</v>
      </c>
      <c r="E7239">
        <v>2026</v>
      </c>
      <c r="F7239">
        <v>3</v>
      </c>
    </row>
    <row r="7240" spans="1:6" x14ac:dyDescent="0.55000000000000004">
      <c r="A7240" t="s">
        <v>185</v>
      </c>
      <c r="B7240" t="s">
        <v>49</v>
      </c>
      <c r="C7240">
        <v>138.8373</v>
      </c>
      <c r="D7240" t="s">
        <v>311</v>
      </c>
      <c r="E7240">
        <v>2026</v>
      </c>
      <c r="F7240">
        <v>3</v>
      </c>
    </row>
    <row r="7241" spans="1:6" x14ac:dyDescent="0.55000000000000004">
      <c r="A7241" t="s">
        <v>185</v>
      </c>
      <c r="B7241" t="s">
        <v>50</v>
      </c>
      <c r="C7241">
        <v>8000.0023000000001</v>
      </c>
      <c r="D7241" t="s">
        <v>311</v>
      </c>
      <c r="E7241">
        <v>2026</v>
      </c>
      <c r="F7241">
        <v>3</v>
      </c>
    </row>
    <row r="7242" spans="1:6" x14ac:dyDescent="0.55000000000000004">
      <c r="A7242" t="s">
        <v>185</v>
      </c>
      <c r="B7242" t="s">
        <v>51</v>
      </c>
      <c r="C7242">
        <v>3000</v>
      </c>
      <c r="D7242" t="s">
        <v>311</v>
      </c>
      <c r="E7242">
        <v>2026</v>
      </c>
      <c r="F7242">
        <v>3</v>
      </c>
    </row>
    <row r="7243" spans="1:6" x14ac:dyDescent="0.55000000000000004">
      <c r="A7243" t="s">
        <v>185</v>
      </c>
      <c r="B7243" t="s">
        <v>52</v>
      </c>
      <c r="C7243">
        <v>38.936500000000002</v>
      </c>
      <c r="D7243" t="s">
        <v>311</v>
      </c>
      <c r="E7243">
        <v>2026</v>
      </c>
      <c r="F7243">
        <v>3</v>
      </c>
    </row>
    <row r="7244" spans="1:6" x14ac:dyDescent="0.55000000000000004">
      <c r="A7244" t="s">
        <v>185</v>
      </c>
      <c r="B7244" t="s">
        <v>53</v>
      </c>
      <c r="C7244">
        <v>94000.005600000004</v>
      </c>
      <c r="D7244" t="s">
        <v>311</v>
      </c>
      <c r="E7244">
        <v>2026</v>
      </c>
      <c r="F7244">
        <v>3</v>
      </c>
    </row>
    <row r="7245" spans="1:6" x14ac:dyDescent="0.55000000000000004">
      <c r="A7245" t="s">
        <v>185</v>
      </c>
      <c r="B7245" t="s">
        <v>54</v>
      </c>
      <c r="C7245">
        <v>25167.1404</v>
      </c>
      <c r="D7245" t="s">
        <v>311</v>
      </c>
      <c r="E7245">
        <v>2026</v>
      </c>
      <c r="F7245">
        <v>3</v>
      </c>
    </row>
    <row r="7246" spans="1:6" x14ac:dyDescent="0.55000000000000004">
      <c r="A7246" t="s">
        <v>185</v>
      </c>
      <c r="B7246" t="s">
        <v>55</v>
      </c>
      <c r="C7246">
        <v>15555.402</v>
      </c>
      <c r="D7246" t="s">
        <v>311</v>
      </c>
      <c r="E7246">
        <v>2026</v>
      </c>
      <c r="F7246">
        <v>3</v>
      </c>
    </row>
    <row r="7247" spans="1:6" x14ac:dyDescent="0.55000000000000004">
      <c r="A7247" t="s">
        <v>185</v>
      </c>
      <c r="B7247" t="s">
        <v>56</v>
      </c>
      <c r="C7247">
        <v>7000</v>
      </c>
      <c r="D7247" t="s">
        <v>311</v>
      </c>
      <c r="E7247">
        <v>2026</v>
      </c>
      <c r="F7247">
        <v>3</v>
      </c>
    </row>
    <row r="7248" spans="1:6" x14ac:dyDescent="0.55000000000000004">
      <c r="A7248" t="s">
        <v>185</v>
      </c>
      <c r="B7248" t="s">
        <v>57</v>
      </c>
      <c r="C7248">
        <v>350.00580000000002</v>
      </c>
      <c r="D7248" t="s">
        <v>311</v>
      </c>
      <c r="E7248">
        <v>2026</v>
      </c>
      <c r="F7248">
        <v>3</v>
      </c>
    </row>
    <row r="7249" spans="1:6" x14ac:dyDescent="0.55000000000000004">
      <c r="A7249" t="s">
        <v>185</v>
      </c>
      <c r="B7249" t="s">
        <v>58</v>
      </c>
      <c r="C7249">
        <v>609600</v>
      </c>
      <c r="D7249" t="s">
        <v>311</v>
      </c>
      <c r="E7249">
        <v>2026</v>
      </c>
      <c r="F7249">
        <v>3</v>
      </c>
    </row>
    <row r="7250" spans="1:6" x14ac:dyDescent="0.55000000000000004">
      <c r="A7250" t="s">
        <v>185</v>
      </c>
      <c r="B7250" t="s">
        <v>59</v>
      </c>
      <c r="C7250">
        <v>18000</v>
      </c>
      <c r="D7250" t="s">
        <v>311</v>
      </c>
      <c r="E7250">
        <v>2026</v>
      </c>
      <c r="F7250">
        <v>3</v>
      </c>
    </row>
    <row r="7251" spans="1:6" x14ac:dyDescent="0.55000000000000004">
      <c r="A7251" t="s">
        <v>185</v>
      </c>
      <c r="B7251" t="s">
        <v>60</v>
      </c>
      <c r="C7251">
        <v>4300000.0086000003</v>
      </c>
      <c r="D7251" t="s">
        <v>311</v>
      </c>
      <c r="E7251">
        <v>2026</v>
      </c>
      <c r="F7251">
        <v>3</v>
      </c>
    </row>
    <row r="7252" spans="1:6" x14ac:dyDescent="0.55000000000000004">
      <c r="A7252" t="s">
        <v>185</v>
      </c>
      <c r="B7252" t="s">
        <v>61</v>
      </c>
      <c r="C7252">
        <v>6500.0033000000003</v>
      </c>
      <c r="D7252" t="s">
        <v>311</v>
      </c>
      <c r="E7252">
        <v>2026</v>
      </c>
      <c r="F7252">
        <v>3</v>
      </c>
    </row>
    <row r="7253" spans="1:6" x14ac:dyDescent="0.55000000000000004">
      <c r="A7253" t="s">
        <v>185</v>
      </c>
      <c r="B7253" t="s">
        <v>62</v>
      </c>
      <c r="C7253">
        <v>10000</v>
      </c>
      <c r="D7253" t="s">
        <v>311</v>
      </c>
      <c r="E7253">
        <v>2026</v>
      </c>
      <c r="F7253">
        <v>3</v>
      </c>
    </row>
    <row r="7254" spans="1:6" x14ac:dyDescent="0.55000000000000004">
      <c r="A7254" t="s">
        <v>185</v>
      </c>
      <c r="B7254" t="s">
        <v>63</v>
      </c>
      <c r="C7254">
        <v>0</v>
      </c>
      <c r="D7254" t="s">
        <v>311</v>
      </c>
      <c r="E7254">
        <v>2026</v>
      </c>
      <c r="F7254">
        <v>3</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9CF2C-7FBF-4280-A2EE-D3D7827F4CF5}">
  <dimension ref="A1"/>
  <sheetViews>
    <sheetView workbookViewId="0"/>
  </sheetViews>
  <sheetFormatPr defaultRowHeight="14.4" x14ac:dyDescent="0.55000000000000004"/>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0C2D5-EFE6-4A1D-9FAB-9E9E1CC040FB}">
  <dimension ref="A1:AI229"/>
  <sheetViews>
    <sheetView showGridLines="0" zoomScale="55" zoomScaleNormal="55" workbookViewId="0">
      <selection activeCell="F61" sqref="F61"/>
    </sheetView>
  </sheetViews>
  <sheetFormatPr defaultColWidth="8.83984375" defaultRowHeight="14.4" x14ac:dyDescent="0.55000000000000004"/>
  <cols>
    <col min="1" max="1" width="8.83984375" style="5" customWidth="1"/>
    <col min="2" max="5" width="8.83984375" style="5"/>
    <col min="6" max="8" width="11.15625" style="5" bestFit="1" customWidth="1"/>
    <col min="9" max="9" width="16.68359375" style="5" bestFit="1" customWidth="1"/>
    <col min="10" max="10" width="11.15625" style="5" bestFit="1" customWidth="1"/>
    <col min="11" max="11" width="11.26171875" style="5" customWidth="1"/>
    <col min="12" max="12" width="10.41796875" style="5" customWidth="1"/>
    <col min="13" max="13" width="10.68359375" style="5" customWidth="1"/>
    <col min="14" max="14" width="11.15625" style="5" customWidth="1"/>
    <col min="15" max="15" width="8.83984375" style="5"/>
    <col min="16" max="16" width="11.83984375" style="5" customWidth="1"/>
    <col min="17" max="19" width="8.83984375" style="5"/>
    <col min="20" max="20" width="12" style="5" customWidth="1"/>
    <col min="21" max="23" width="8.83984375" style="5"/>
    <col min="24" max="24" width="13.15625" style="5" bestFit="1" customWidth="1"/>
    <col min="25" max="16384" width="8.83984375" style="5"/>
  </cols>
  <sheetData>
    <row r="1" spans="1:35" s="9" customFormat="1" ht="25.8" x14ac:dyDescent="0.55000000000000004">
      <c r="A1" s="25" t="s">
        <v>350</v>
      </c>
      <c r="B1" s="25"/>
      <c r="C1" s="25"/>
      <c r="D1" s="25"/>
      <c r="E1" s="25"/>
      <c r="F1" s="25"/>
      <c r="G1" s="25"/>
      <c r="H1" s="25"/>
      <c r="I1" s="25"/>
      <c r="J1" s="25"/>
      <c r="K1" s="25"/>
      <c r="L1" s="25"/>
      <c r="M1" s="25"/>
      <c r="N1" s="25"/>
      <c r="O1" s="25"/>
      <c r="P1" s="25"/>
      <c r="Q1" s="25"/>
      <c r="R1" s="25"/>
      <c r="S1" s="25"/>
      <c r="T1" s="25"/>
      <c r="U1" s="25"/>
      <c r="V1" s="25"/>
      <c r="W1" s="25"/>
      <c r="X1" s="25"/>
      <c r="Y1" s="25"/>
      <c r="Z1" s="8"/>
      <c r="AA1" s="8"/>
    </row>
    <row r="2" spans="1:35" s="9" customFormat="1" ht="16.899999999999999" customHeight="1" x14ac:dyDescent="0.55000000000000004">
      <c r="A2" s="25"/>
      <c r="B2" s="25"/>
      <c r="C2" s="25"/>
      <c r="D2" s="25"/>
      <c r="E2" s="25"/>
      <c r="F2" s="25"/>
      <c r="G2" s="25"/>
      <c r="H2" s="25"/>
      <c r="I2" s="25"/>
      <c r="J2" s="25"/>
      <c r="K2" s="25"/>
      <c r="L2" s="25"/>
      <c r="M2" s="25"/>
      <c r="N2" s="25"/>
      <c r="O2" s="25"/>
      <c r="P2" s="25"/>
      <c r="Q2" s="25"/>
      <c r="R2" s="25"/>
      <c r="S2" s="25"/>
      <c r="T2" s="25"/>
      <c r="U2" s="25"/>
      <c r="V2" s="25"/>
      <c r="W2" s="25"/>
      <c r="X2" s="25"/>
      <c r="Y2" s="25"/>
      <c r="Z2" s="8"/>
      <c r="AA2" s="8"/>
      <c r="AB2" s="10"/>
      <c r="AC2" s="10"/>
      <c r="AH2" s="11" t="s">
        <v>339</v>
      </c>
      <c r="AI2" s="9" t="str">
        <f ca="1">_xlfn.CONCAT(AE5," | ",S6)</f>
        <v xml:space="preserve"> | YTD : Oct-Mar</v>
      </c>
    </row>
    <row r="3" spans="1:35" s="12" customFormat="1" ht="3.6" customHeight="1" x14ac:dyDescent="0.55000000000000004"/>
    <row r="4" spans="1:35" ht="16.5" customHeight="1" x14ac:dyDescent="0.55000000000000004">
      <c r="B4" s="13"/>
      <c r="C4" s="13">
        <v>1</v>
      </c>
      <c r="D4" s="13">
        <v>2</v>
      </c>
      <c r="E4" s="13">
        <v>3</v>
      </c>
      <c r="F4" s="13">
        <v>4</v>
      </c>
      <c r="G4" s="13">
        <v>5</v>
      </c>
      <c r="H4" s="13">
        <v>6</v>
      </c>
      <c r="I4" s="13">
        <v>7</v>
      </c>
      <c r="J4" s="13">
        <v>8</v>
      </c>
      <c r="K4" s="13">
        <v>9</v>
      </c>
      <c r="L4" s="13">
        <v>10</v>
      </c>
      <c r="M4" s="13">
        <v>11</v>
      </c>
      <c r="N4" s="13">
        <v>12</v>
      </c>
    </row>
    <row r="5" spans="1:35" ht="11.5" customHeight="1" x14ac:dyDescent="0.55000000000000004">
      <c r="B5" s="14"/>
      <c r="C5" s="26" t="s">
        <v>350</v>
      </c>
      <c r="D5" s="26"/>
      <c r="E5" s="26"/>
      <c r="F5" s="26"/>
      <c r="G5" s="26"/>
      <c r="H5" s="26"/>
      <c r="I5" s="26"/>
      <c r="J5" s="26"/>
      <c r="K5" s="26"/>
      <c r="L5" s="26"/>
      <c r="M5" s="26"/>
      <c r="N5" s="26"/>
      <c r="O5" s="14"/>
      <c r="P5" s="14"/>
      <c r="Q5" s="14"/>
      <c r="R5" s="14"/>
      <c r="S5" s="14"/>
      <c r="T5" s="14"/>
      <c r="U5" s="14"/>
    </row>
    <row r="6" spans="1:35" x14ac:dyDescent="0.55000000000000004">
      <c r="B6" s="14"/>
      <c r="C6" s="7" t="s">
        <v>327</v>
      </c>
      <c r="D6" s="7" t="s">
        <v>328</v>
      </c>
      <c r="E6" s="7" t="s">
        <v>329</v>
      </c>
      <c r="F6" s="7" t="s">
        <v>330</v>
      </c>
      <c r="G6" s="7" t="s">
        <v>331</v>
      </c>
      <c r="H6" s="7" t="s">
        <v>332</v>
      </c>
      <c r="I6" s="7" t="s">
        <v>333</v>
      </c>
      <c r="J6" s="7" t="s">
        <v>334</v>
      </c>
      <c r="K6" s="7" t="s">
        <v>335</v>
      </c>
      <c r="L6" s="7" t="s">
        <v>336</v>
      </c>
      <c r="M6" s="7" t="s">
        <v>337</v>
      </c>
      <c r="N6" s="7" t="s">
        <v>338</v>
      </c>
      <c r="O6" s="14"/>
      <c r="P6" s="15" t="s">
        <v>4</v>
      </c>
      <c r="Q6" s="15" t="s">
        <v>340</v>
      </c>
      <c r="R6" s="14"/>
      <c r="S6" s="27" t="str">
        <f ca="1">_xlfn.CONCAT("YTD : ",IF(C56=1,"Oct Only",_xlfn.CONCAT("Oct-",OFFSET(B6,0,$C$56,1,1))))</f>
        <v>YTD : Oct-Mar</v>
      </c>
      <c r="T6" s="27"/>
      <c r="U6" s="27"/>
    </row>
    <row r="7" spans="1:35" x14ac:dyDescent="0.55000000000000004">
      <c r="A7" s="13">
        <v>1</v>
      </c>
      <c r="B7" s="6" t="s">
        <v>341</v>
      </c>
      <c r="C7" s="16"/>
      <c r="D7" s="16"/>
      <c r="E7" s="16"/>
      <c r="F7" s="16"/>
      <c r="G7" s="16"/>
      <c r="H7" s="16"/>
      <c r="I7" s="16"/>
      <c r="J7" s="16"/>
      <c r="K7" s="16"/>
      <c r="L7" s="16"/>
      <c r="M7" s="16"/>
      <c r="N7" s="16"/>
      <c r="O7" s="6" t="s">
        <v>341</v>
      </c>
      <c r="P7" s="17" t="str">
        <f t="shared" ref="P7:P19" si="0">IF(COUNT(C7:N7)=12,SUM(C7:N7),"")</f>
        <v/>
      </c>
      <c r="Q7" s="14"/>
      <c r="R7" s="14"/>
      <c r="S7" s="6" t="s">
        <v>341</v>
      </c>
      <c r="T7" s="17" t="str">
        <f t="shared" ref="T7:T8" ca="1" si="1">IFERROR(IF(SUM(OFFSET(C7,0,0,1,$C$56))=0,"",SUM(OFFSET(C7,0,0,1,$C$56))),"")</f>
        <v/>
      </c>
      <c r="U7" s="14"/>
    </row>
    <row r="8" spans="1:35" x14ac:dyDescent="0.55000000000000004">
      <c r="A8" s="13">
        <v>2</v>
      </c>
      <c r="B8" s="6" t="s">
        <v>342</v>
      </c>
      <c r="C8" s="16"/>
      <c r="D8" s="16"/>
      <c r="E8" s="16"/>
      <c r="F8" s="16"/>
      <c r="G8" s="16"/>
      <c r="H8" s="16"/>
      <c r="I8" s="16"/>
      <c r="J8" s="16"/>
      <c r="K8" s="16"/>
      <c r="L8" s="16"/>
      <c r="M8" s="16"/>
      <c r="N8" s="16"/>
      <c r="O8" s="6" t="s">
        <v>342</v>
      </c>
      <c r="P8" s="17" t="str">
        <f t="shared" si="0"/>
        <v/>
      </c>
      <c r="Q8" s="18" t="str">
        <f t="shared" ref="Q8:Q16" si="2">IFERROR(P8/P7-1,"")</f>
        <v/>
      </c>
      <c r="R8" s="14"/>
      <c r="S8" s="6" t="s">
        <v>342</v>
      </c>
      <c r="T8" s="17" t="str">
        <f t="shared" ca="1" si="1"/>
        <v/>
      </c>
      <c r="U8" s="18" t="str">
        <f t="shared" ref="U8:U18" ca="1" si="3">IFERROR(T8/T7-1,"")</f>
        <v/>
      </c>
    </row>
    <row r="9" spans="1:35" x14ac:dyDescent="0.55000000000000004">
      <c r="A9" s="13">
        <v>3</v>
      </c>
      <c r="B9" s="6" t="s">
        <v>316</v>
      </c>
      <c r="C9" s="16">
        <f>Pivot!U39</f>
        <v>3362927.9485999998</v>
      </c>
      <c r="D9" s="16">
        <f>Pivot!V39</f>
        <v>3276941.2110000001</v>
      </c>
      <c r="E9" s="16">
        <f>Pivot!W39</f>
        <v>3261882.1011999999</v>
      </c>
      <c r="F9" s="16">
        <f>Pivot!X39</f>
        <v>2646464.4473999999</v>
      </c>
      <c r="G9" s="16">
        <f>Pivot!Y39</f>
        <v>2590825.4108000002</v>
      </c>
      <c r="H9" s="16">
        <f>Pivot!Z39</f>
        <v>2834349.1150000002</v>
      </c>
      <c r="I9" s="16">
        <f>Pivot!AA39</f>
        <v>2240098.304</v>
      </c>
      <c r="J9" s="16">
        <f>Pivot!AB39</f>
        <v>2602453.3553999998</v>
      </c>
      <c r="K9" s="16">
        <f>Pivot!AC39</f>
        <v>2191499.2459999998</v>
      </c>
      <c r="L9" s="16">
        <f>Pivot!AD39</f>
        <v>1873670.733</v>
      </c>
      <c r="M9" s="16">
        <f>Pivot!AE39</f>
        <v>2610143.5789999999</v>
      </c>
      <c r="N9" s="16">
        <f>Pivot!AF39</f>
        <v>2441617.8768000002</v>
      </c>
      <c r="O9" s="6" t="s">
        <v>316</v>
      </c>
      <c r="P9" s="17">
        <f t="shared" si="0"/>
        <v>31932873.328200001</v>
      </c>
      <c r="Q9" s="18" t="str">
        <f>IFERROR(P9/P8-1,"")</f>
        <v/>
      </c>
      <c r="R9" s="14"/>
      <c r="S9" s="6" t="s">
        <v>316</v>
      </c>
      <c r="T9" s="17">
        <f t="shared" ref="T9:T19" ca="1" si="4">IFERROR(IF(SUM(OFFSET(C9,0,0,1,$C$56))=0,"",SUM(OFFSET(C9,0,0,1,$C$56))),"")</f>
        <v>17973390.234000001</v>
      </c>
      <c r="U9" s="18" t="str">
        <f ca="1">IFERROR(T9/T8-1,"")</f>
        <v/>
      </c>
    </row>
    <row r="10" spans="1:35" x14ac:dyDescent="0.55000000000000004">
      <c r="A10" s="13">
        <v>4</v>
      </c>
      <c r="B10" s="6" t="s">
        <v>317</v>
      </c>
      <c r="C10" s="16">
        <f>Pivot!U40</f>
        <v>2901977.4898000001</v>
      </c>
      <c r="D10" s="16">
        <f>Pivot!V40</f>
        <v>2965514.0468000001</v>
      </c>
      <c r="E10" s="16">
        <f>Pivot!W40</f>
        <v>3025954.4840000002</v>
      </c>
      <c r="F10" s="16">
        <f>Pivot!X40</f>
        <v>2719936.3846</v>
      </c>
      <c r="G10" s="16">
        <f>Pivot!Y40</f>
        <v>2511588.3612000002</v>
      </c>
      <c r="H10" s="16">
        <f>Pivot!Z40</f>
        <v>2698364.4103999999</v>
      </c>
      <c r="I10" s="16">
        <f>Pivot!AA40</f>
        <v>2388754.861</v>
      </c>
      <c r="J10" s="16">
        <f>Pivot!AB40</f>
        <v>1729254.4069999999</v>
      </c>
      <c r="K10" s="16">
        <f>Pivot!AC40</f>
        <v>2583614.3931999998</v>
      </c>
      <c r="L10" s="16">
        <f>Pivot!AD40</f>
        <v>2465428.7014000001</v>
      </c>
      <c r="M10" s="16">
        <f>Pivot!AE40</f>
        <v>3544383.3996000001</v>
      </c>
      <c r="N10" s="16">
        <f>Pivot!AF40</f>
        <v>3150780.2096000002</v>
      </c>
      <c r="O10" s="6" t="s">
        <v>317</v>
      </c>
      <c r="P10" s="17">
        <f t="shared" si="0"/>
        <v>32685551.148600005</v>
      </c>
      <c r="Q10" s="18">
        <f t="shared" si="2"/>
        <v>2.35706261902624E-2</v>
      </c>
      <c r="R10" s="14"/>
      <c r="S10" s="6" t="s">
        <v>317</v>
      </c>
      <c r="T10" s="17">
        <f t="shared" ca="1" si="4"/>
        <v>16823335.176800001</v>
      </c>
      <c r="U10" s="18">
        <f t="shared" ca="1" si="3"/>
        <v>-6.3986540225697497E-2</v>
      </c>
    </row>
    <row r="11" spans="1:35" x14ac:dyDescent="0.55000000000000004">
      <c r="A11" s="13">
        <v>5</v>
      </c>
      <c r="B11" s="6" t="s">
        <v>318</v>
      </c>
      <c r="C11" s="16">
        <f>Pivot!U41</f>
        <v>3937859.0506000002</v>
      </c>
      <c r="D11" s="16">
        <f>Pivot!V41</f>
        <v>3902855.5162</v>
      </c>
      <c r="E11" s="16">
        <f>Pivot!W41</f>
        <v>4004539.2878</v>
      </c>
      <c r="F11" s="16">
        <f>Pivot!X41</f>
        <v>3470505.8177999998</v>
      </c>
      <c r="G11" s="16">
        <f>Pivot!Y41</f>
        <v>3574654.8465999998</v>
      </c>
      <c r="H11" s="16">
        <f>Pivot!Z41</f>
        <v>3117169.6312000002</v>
      </c>
      <c r="I11" s="16">
        <f>Pivot!AA41</f>
        <v>3267213.6825999999</v>
      </c>
      <c r="J11" s="16">
        <f>Pivot!AB41</f>
        <v>3886596.1047999999</v>
      </c>
      <c r="K11" s="16">
        <f>Pivot!AC41</f>
        <v>3102695.8480000002</v>
      </c>
      <c r="L11" s="16">
        <f>Pivot!AD41</f>
        <v>3390434.1798</v>
      </c>
      <c r="M11" s="16">
        <f>Pivot!AE41</f>
        <v>3368913.6296000001</v>
      </c>
      <c r="N11" s="16">
        <f>Pivot!AF41</f>
        <v>3495386.5614</v>
      </c>
      <c r="O11" s="6" t="s">
        <v>318</v>
      </c>
      <c r="P11" s="17">
        <f t="shared" si="0"/>
        <v>42518824.15640001</v>
      </c>
      <c r="Q11" s="18">
        <f t="shared" si="2"/>
        <v>0.30084464426175628</v>
      </c>
      <c r="R11" s="14"/>
      <c r="S11" s="6" t="s">
        <v>318</v>
      </c>
      <c r="T11" s="17">
        <f t="shared" ca="1" si="4"/>
        <v>22007584.150200002</v>
      </c>
      <c r="U11" s="18">
        <f t="shared" ca="1" si="3"/>
        <v>0.30815821707869628</v>
      </c>
    </row>
    <row r="12" spans="1:35" x14ac:dyDescent="0.55000000000000004">
      <c r="A12" s="13">
        <v>6</v>
      </c>
      <c r="B12" s="6" t="s">
        <v>319</v>
      </c>
      <c r="C12" s="16">
        <f>Pivot!U42</f>
        <v>3670113.2012</v>
      </c>
      <c r="D12" s="16">
        <f>Pivot!V42</f>
        <v>3281473.3001999999</v>
      </c>
      <c r="E12" s="16">
        <f>Pivot!W42</f>
        <v>3072707.0425999998</v>
      </c>
      <c r="F12" s="16">
        <f>Pivot!X42</f>
        <v>3474087.4794000001</v>
      </c>
      <c r="G12" s="16">
        <f>Pivot!Y42</f>
        <v>3007658.7954000002</v>
      </c>
      <c r="H12" s="16">
        <f>Pivot!Z42</f>
        <v>3493433.0885999999</v>
      </c>
      <c r="I12" s="16">
        <f>Pivot!AA42</f>
        <v>3599225.8709999998</v>
      </c>
      <c r="J12" s="16">
        <f>Pivot!AB42</f>
        <v>3282032.1993999998</v>
      </c>
      <c r="K12" s="16">
        <f>Pivot!AC42</f>
        <v>3075571.5262000002</v>
      </c>
      <c r="L12" s="16">
        <f>Pivot!AD42</f>
        <v>3242242.1192000001</v>
      </c>
      <c r="M12" s="16">
        <f>Pivot!AE42</f>
        <v>3574279.8295999998</v>
      </c>
      <c r="N12" s="16">
        <f>Pivot!AF42</f>
        <v>4232364.8622000003</v>
      </c>
      <c r="O12" s="6" t="s">
        <v>319</v>
      </c>
      <c r="P12" s="17">
        <f t="shared" si="0"/>
        <v>41005189.314999998</v>
      </c>
      <c r="Q12" s="18">
        <f t="shared" si="2"/>
        <v>-3.559916981317035E-2</v>
      </c>
      <c r="R12" s="14"/>
      <c r="S12" s="6" t="s">
        <v>319</v>
      </c>
      <c r="T12" s="17">
        <f t="shared" ca="1" si="4"/>
        <v>19999472.907399997</v>
      </c>
      <c r="U12" s="18">
        <f t="shared" ca="1" si="3"/>
        <v>-9.124632804286037E-2</v>
      </c>
    </row>
    <row r="13" spans="1:35" x14ac:dyDescent="0.55000000000000004">
      <c r="A13" s="13">
        <v>7</v>
      </c>
      <c r="B13" s="6" t="s">
        <v>320</v>
      </c>
      <c r="C13" s="16">
        <f>Pivot!U43</f>
        <v>4504376.8364000004</v>
      </c>
      <c r="D13" s="16">
        <f>Pivot!V43</f>
        <v>4770005.2665999997</v>
      </c>
      <c r="E13" s="16">
        <f>Pivot!W43</f>
        <v>4409066.4818000002</v>
      </c>
      <c r="F13" s="16">
        <f>Pivot!X43</f>
        <v>3657291.2108</v>
      </c>
      <c r="G13" s="16">
        <f>Pivot!Y43</f>
        <v>3972949.6107999999</v>
      </c>
      <c r="H13" s="16">
        <f>Pivot!Z43</f>
        <v>3833416.5669999998</v>
      </c>
      <c r="I13" s="16">
        <f>Pivot!AA43</f>
        <v>3575943.6504000002</v>
      </c>
      <c r="J13" s="16">
        <f>Pivot!AB43</f>
        <v>3443874.4443999999</v>
      </c>
      <c r="K13" s="16">
        <f>Pivot!AC43</f>
        <v>3210269.5298000001</v>
      </c>
      <c r="L13" s="16">
        <f>Pivot!AD43</f>
        <v>2813525.1768999998</v>
      </c>
      <c r="M13" s="16">
        <f>Pivot!AE43</f>
        <v>2859143.2895999998</v>
      </c>
      <c r="N13" s="16">
        <f>Pivot!AF43</f>
        <v>3291463.0134999999</v>
      </c>
      <c r="O13" s="6" t="s">
        <v>320</v>
      </c>
      <c r="P13" s="17">
        <f t="shared" si="0"/>
        <v>44341325.078000002</v>
      </c>
      <c r="Q13" s="18">
        <f t="shared" si="2"/>
        <v>8.1358867468503959E-2</v>
      </c>
      <c r="R13" s="14"/>
      <c r="S13" s="6" t="s">
        <v>320</v>
      </c>
      <c r="T13" s="17">
        <f t="shared" ca="1" si="4"/>
        <v>25147105.973400004</v>
      </c>
      <c r="U13" s="18">
        <f t="shared" ca="1" si="3"/>
        <v>0.25738843667701539</v>
      </c>
    </row>
    <row r="14" spans="1:35" x14ac:dyDescent="0.55000000000000004">
      <c r="A14" s="13">
        <v>8</v>
      </c>
      <c r="B14" s="6" t="s">
        <v>321</v>
      </c>
      <c r="C14" s="16">
        <f>Pivot!U44</f>
        <v>3289593.2513000001</v>
      </c>
      <c r="D14" s="16">
        <f>Pivot!V44</f>
        <v>3257808.9846000001</v>
      </c>
      <c r="E14" s="16">
        <f>Pivot!W44</f>
        <v>3944334.0693000001</v>
      </c>
      <c r="F14" s="16">
        <f>Pivot!X44</f>
        <v>3468385.6348999999</v>
      </c>
      <c r="G14" s="16">
        <f>Pivot!Y44</f>
        <v>3536274.5621000002</v>
      </c>
      <c r="H14" s="16">
        <f>Pivot!Z44</f>
        <v>3891975.7714</v>
      </c>
      <c r="I14" s="16">
        <f>Pivot!AA44</f>
        <v>3016609.1283</v>
      </c>
      <c r="J14" s="16">
        <f>Pivot!AB44</f>
        <v>2961676.3371000001</v>
      </c>
      <c r="K14" s="16">
        <f>Pivot!AC44</f>
        <v>3125362.9914000002</v>
      </c>
      <c r="L14" s="16">
        <f>Pivot!AD44</f>
        <v>2752356.7374999998</v>
      </c>
      <c r="M14" s="16">
        <f>Pivot!AE44</f>
        <v>2951452.1353000002</v>
      </c>
      <c r="N14" s="16">
        <f>Pivot!AF44</f>
        <v>3444289.5781</v>
      </c>
      <c r="O14" s="6" t="s">
        <v>321</v>
      </c>
      <c r="P14" s="17">
        <f t="shared" si="0"/>
        <v>39640119.181300007</v>
      </c>
      <c r="Q14" s="18">
        <f t="shared" si="2"/>
        <v>-0.10602312602138508</v>
      </c>
      <c r="R14" s="14"/>
      <c r="S14" s="6" t="s">
        <v>321</v>
      </c>
      <c r="T14" s="17">
        <f t="shared" ca="1" si="4"/>
        <v>21388372.273600001</v>
      </c>
      <c r="U14" s="18">
        <f t="shared" ca="1" si="3"/>
        <v>-0.14946983178803552</v>
      </c>
    </row>
    <row r="15" spans="1:35" x14ac:dyDescent="0.55000000000000004">
      <c r="A15" s="13">
        <v>9</v>
      </c>
      <c r="B15" s="6" t="s">
        <v>322</v>
      </c>
      <c r="C15" s="16">
        <f>Pivot!U45</f>
        <v>3589378.1941</v>
      </c>
      <c r="D15" s="16">
        <f>Pivot!V45</f>
        <v>3583957.5606</v>
      </c>
      <c r="E15" s="16">
        <f>Pivot!W45</f>
        <v>3137089.7341999998</v>
      </c>
      <c r="F15" s="16">
        <f>Pivot!X45</f>
        <v>2591523.6557</v>
      </c>
      <c r="G15" s="16">
        <f>Pivot!Y45</f>
        <v>2461834.4695000001</v>
      </c>
      <c r="H15" s="16">
        <f>Pivot!Z45</f>
        <v>3166636.1178000001</v>
      </c>
      <c r="I15" s="16">
        <f>Pivot!AA45</f>
        <v>2495688.7404</v>
      </c>
      <c r="J15" s="16">
        <f>Pivot!AB45</f>
        <v>2667981.5397999999</v>
      </c>
      <c r="K15" s="16">
        <f>Pivot!AC45</f>
        <v>2658586.2069000001</v>
      </c>
      <c r="L15" s="16">
        <f>Pivot!AD45</f>
        <v>3152174.0872</v>
      </c>
      <c r="M15" s="16">
        <f>Pivot!AE45</f>
        <v>3815631.5874999999</v>
      </c>
      <c r="N15" s="16">
        <f>Pivot!AF45</f>
        <v>3765915.8426000001</v>
      </c>
      <c r="O15" s="6" t="s">
        <v>322</v>
      </c>
      <c r="P15" s="17">
        <f t="shared" si="0"/>
        <v>37086397.736299999</v>
      </c>
      <c r="Q15" s="18">
        <f t="shared" si="2"/>
        <v>-6.4422648007695926E-2</v>
      </c>
      <c r="R15" s="14"/>
      <c r="S15" s="6" t="s">
        <v>322</v>
      </c>
      <c r="T15" s="17">
        <f t="shared" ca="1" si="4"/>
        <v>18530419.731899999</v>
      </c>
      <c r="U15" s="18">
        <f t="shared" ca="1" si="3"/>
        <v>-0.13362178781728129</v>
      </c>
    </row>
    <row r="16" spans="1:35" x14ac:dyDescent="0.55000000000000004">
      <c r="A16" s="13">
        <v>10</v>
      </c>
      <c r="B16" s="6" t="s">
        <v>323</v>
      </c>
      <c r="C16" s="16">
        <f>Pivot!U46</f>
        <v>4412709.4688999997</v>
      </c>
      <c r="D16" s="16">
        <f>Pivot!V46</f>
        <v>4329650.4085999997</v>
      </c>
      <c r="E16" s="16">
        <f>Pivot!W46</f>
        <v>4186199.7505999999</v>
      </c>
      <c r="F16" s="16">
        <f>Pivot!X46</f>
        <v>3998730.5814999999</v>
      </c>
      <c r="G16" s="16">
        <f>Pivot!Y46</f>
        <v>3742175.4912</v>
      </c>
      <c r="H16" s="16">
        <f>Pivot!Z46</f>
        <v>4308615.3492999999</v>
      </c>
      <c r="I16" s="16">
        <f>Pivot!AA46</f>
        <v>4276347.5065000001</v>
      </c>
      <c r="J16" s="16">
        <f>Pivot!AB46</f>
        <v>4446510.5935000004</v>
      </c>
      <c r="K16" s="16">
        <f>Pivot!AC46</f>
        <v>3770707.0170999998</v>
      </c>
      <c r="L16" s="16">
        <f>Pivot!AD46</f>
        <v>3881567.0380000002</v>
      </c>
      <c r="M16" s="16">
        <f>Pivot!AE46</f>
        <v>4092677.6348000001</v>
      </c>
      <c r="N16" s="16">
        <f>Pivot!AF46</f>
        <v>4921683.9052999998</v>
      </c>
      <c r="O16" s="6" t="s">
        <v>323</v>
      </c>
      <c r="P16" s="17">
        <f t="shared" si="0"/>
        <v>50367574.74530001</v>
      </c>
      <c r="Q16" s="18">
        <f t="shared" si="2"/>
        <v>0.35811450611717022</v>
      </c>
      <c r="R16" s="14"/>
      <c r="S16" s="6" t="s">
        <v>323</v>
      </c>
      <c r="T16" s="17">
        <f t="shared" ca="1" si="4"/>
        <v>24978081.050100002</v>
      </c>
      <c r="U16" s="18">
        <f t="shared" ca="1" si="3"/>
        <v>0.34795009565273882</v>
      </c>
    </row>
    <row r="17" spans="1:21" x14ac:dyDescent="0.55000000000000004">
      <c r="A17" s="13">
        <v>11</v>
      </c>
      <c r="B17" s="6" t="s">
        <v>324</v>
      </c>
      <c r="C17" s="16">
        <f>Pivot!U47</f>
        <v>5112274.1502</v>
      </c>
      <c r="D17" s="16">
        <f>Pivot!V47</f>
        <v>4323717.0991000002</v>
      </c>
      <c r="E17" s="16">
        <f>Pivot!W47</f>
        <v>3872441.9127000002</v>
      </c>
      <c r="F17" s="16">
        <f>Pivot!X47</f>
        <v>3770072.5644</v>
      </c>
      <c r="G17" s="16">
        <f>Pivot!Y47</f>
        <v>3317751.1784000001</v>
      </c>
      <c r="H17" s="16">
        <f>Pivot!Z47</f>
        <v>3067521.2503</v>
      </c>
      <c r="I17" s="16">
        <f>Pivot!AA47</f>
        <v>2851110.3402</v>
      </c>
      <c r="J17" s="16">
        <f>Pivot!AB47</f>
        <v>3054295.3678000001</v>
      </c>
      <c r="K17" s="16">
        <f>Pivot!AC47</f>
        <v>2608187.5926000001</v>
      </c>
      <c r="L17" s="16">
        <f>Pivot!AD47</f>
        <v>2898313.1976000001</v>
      </c>
      <c r="M17" s="16">
        <f>Pivot!AE47</f>
        <v>3244664.7385999998</v>
      </c>
      <c r="N17" s="16">
        <f>Pivot!AF47</f>
        <v>4040788.3796000001</v>
      </c>
      <c r="O17" s="6" t="s">
        <v>324</v>
      </c>
      <c r="P17" s="19">
        <f t="shared" si="0"/>
        <v>42161137.771500006</v>
      </c>
      <c r="Q17" s="18"/>
      <c r="R17" s="14"/>
      <c r="S17" s="6" t="s">
        <v>324</v>
      </c>
      <c r="T17" s="17">
        <f t="shared" ca="1" si="4"/>
        <v>23463778.155099999</v>
      </c>
      <c r="U17" s="18">
        <f t="shared" ca="1" si="3"/>
        <v>-6.0625269489784972E-2</v>
      </c>
    </row>
    <row r="18" spans="1:21" x14ac:dyDescent="0.55000000000000004">
      <c r="A18" s="13">
        <v>12</v>
      </c>
      <c r="B18" s="6" t="s">
        <v>325</v>
      </c>
      <c r="C18" s="16">
        <f>Pivot!U48</f>
        <v>4261080.5694000004</v>
      </c>
      <c r="D18" s="16">
        <f>Pivot!V48</f>
        <v>3650503.9964000001</v>
      </c>
      <c r="E18" s="16">
        <f>Pivot!W48</f>
        <v>3169202.7525999998</v>
      </c>
      <c r="F18" s="16">
        <f>Pivot!X48</f>
        <v>2808075.7245</v>
      </c>
      <c r="G18" s="16">
        <f>Pivot!Y48</f>
        <v>2618119.8382000001</v>
      </c>
      <c r="H18" s="16">
        <f>Pivot!Z48</f>
        <v>3058938.5846000002</v>
      </c>
      <c r="I18" s="16" t="e">
        <f>Pivot!AA48</f>
        <v>#N/A</v>
      </c>
      <c r="J18" s="16" t="e">
        <f>Pivot!AB48</f>
        <v>#N/A</v>
      </c>
      <c r="K18" s="16" t="e">
        <f>Pivot!AC48</f>
        <v>#N/A</v>
      </c>
      <c r="L18" s="16" t="e">
        <f>Pivot!AD48</f>
        <v>#N/A</v>
      </c>
      <c r="M18" s="16" t="e">
        <f>Pivot!AE48</f>
        <v>#N/A</v>
      </c>
      <c r="N18" s="16" t="e">
        <f>Pivot!AF48</f>
        <v>#N/A</v>
      </c>
      <c r="O18" s="6" t="s">
        <v>325</v>
      </c>
      <c r="P18" s="19" t="str">
        <f t="shared" si="0"/>
        <v/>
      </c>
      <c r="Q18" s="18"/>
      <c r="R18" s="14"/>
      <c r="S18" s="6" t="s">
        <v>325</v>
      </c>
      <c r="T18" s="17">
        <f t="shared" ca="1" si="4"/>
        <v>19565921.465700001</v>
      </c>
      <c r="U18" s="18">
        <f t="shared" ca="1" si="3"/>
        <v>-0.16612229554995073</v>
      </c>
    </row>
    <row r="19" spans="1:21" x14ac:dyDescent="0.55000000000000004">
      <c r="A19" s="13">
        <v>13</v>
      </c>
      <c r="B19" s="6" t="s">
        <v>326</v>
      </c>
      <c r="C19" s="16" t="e">
        <f>Pivot!U49</f>
        <v>#N/A</v>
      </c>
      <c r="D19" s="16" t="e">
        <f>Pivot!V49</f>
        <v>#N/A</v>
      </c>
      <c r="E19" s="16" t="e">
        <f>Pivot!W49</f>
        <v>#N/A</v>
      </c>
      <c r="F19" s="16" t="e">
        <f>Pivot!X49</f>
        <v>#N/A</v>
      </c>
      <c r="G19" s="16" t="e">
        <f>Pivot!Y49</f>
        <v>#N/A</v>
      </c>
      <c r="H19" s="16" t="e">
        <f>Pivot!Z49</f>
        <v>#N/A</v>
      </c>
      <c r="I19" s="16" t="e">
        <f>Pivot!AA49</f>
        <v>#N/A</v>
      </c>
      <c r="J19" s="16" t="e">
        <f>Pivot!AB49</f>
        <v>#N/A</v>
      </c>
      <c r="K19" s="16" t="e">
        <f>Pivot!AC49</f>
        <v>#N/A</v>
      </c>
      <c r="L19" s="16" t="e">
        <f>Pivot!AD49</f>
        <v>#N/A</v>
      </c>
      <c r="M19" s="16" t="e">
        <f>Pivot!AE49</f>
        <v>#N/A</v>
      </c>
      <c r="N19" s="16" t="e">
        <f>Pivot!AF49</f>
        <v>#N/A</v>
      </c>
      <c r="O19" s="6" t="s">
        <v>326</v>
      </c>
      <c r="P19" s="19" t="str">
        <f t="shared" si="0"/>
        <v/>
      </c>
      <c r="Q19" s="18"/>
      <c r="R19" s="14"/>
      <c r="S19" s="6" t="s">
        <v>326</v>
      </c>
      <c r="T19" s="17" t="str">
        <f t="shared" ca="1" si="4"/>
        <v/>
      </c>
      <c r="U19" s="18"/>
    </row>
    <row r="20" spans="1:21" x14ac:dyDescent="0.55000000000000004">
      <c r="B20" s="20" t="s">
        <v>343</v>
      </c>
      <c r="C20" s="21">
        <f>IFERROR(C18/C17-1,"")</f>
        <v>-0.16649998724475679</v>
      </c>
      <c r="D20" s="21">
        <f>IFERROR(D18/D17-1,"")</f>
        <v>-0.15570239385924034</v>
      </c>
      <c r="E20" s="21">
        <f t="shared" ref="E20:N20" si="5">IFERROR(E18/E17-1,"")</f>
        <v>-0.18160095772997087</v>
      </c>
      <c r="F20" s="21">
        <f t="shared" si="5"/>
        <v>-0.25516666416024281</v>
      </c>
      <c r="G20" s="21">
        <f t="shared" si="5"/>
        <v>-0.21087516892614</v>
      </c>
      <c r="H20" s="21">
        <f t="shared" si="5"/>
        <v>-2.7979156457874632E-3</v>
      </c>
      <c r="I20" s="21" t="str">
        <f t="shared" si="5"/>
        <v/>
      </c>
      <c r="J20" s="21" t="str">
        <f t="shared" si="5"/>
        <v/>
      </c>
      <c r="K20" s="21" t="str">
        <f t="shared" si="5"/>
        <v/>
      </c>
      <c r="L20" s="21" t="str">
        <f t="shared" si="5"/>
        <v/>
      </c>
      <c r="M20" s="21" t="str">
        <f t="shared" si="5"/>
        <v/>
      </c>
      <c r="N20" s="21" t="str">
        <f t="shared" si="5"/>
        <v/>
      </c>
      <c r="O20" s="20"/>
      <c r="P20" s="14"/>
      <c r="Q20" s="14"/>
      <c r="R20" s="14"/>
      <c r="S20" s="20"/>
      <c r="T20" s="19"/>
      <c r="U20" s="14"/>
    </row>
    <row r="21" spans="1:21" x14ac:dyDescent="0.55000000000000004">
      <c r="B21" s="14"/>
      <c r="C21" s="14"/>
      <c r="D21" s="14"/>
      <c r="E21" s="14"/>
      <c r="F21" s="14"/>
      <c r="G21" s="14"/>
      <c r="H21" s="14"/>
      <c r="I21" s="14"/>
      <c r="J21" s="14"/>
      <c r="K21" s="14"/>
      <c r="L21" s="14"/>
      <c r="M21" s="14"/>
      <c r="N21" s="14"/>
      <c r="O21" s="14"/>
      <c r="P21" s="14"/>
      <c r="Q21" s="14"/>
      <c r="R21" s="14"/>
      <c r="S21" s="14"/>
      <c r="T21" s="14"/>
      <c r="U21" s="14"/>
    </row>
    <row r="22" spans="1:21" x14ac:dyDescent="0.55000000000000004">
      <c r="D22" s="14"/>
      <c r="E22" s="14"/>
      <c r="F22" s="14"/>
      <c r="G22" s="14"/>
      <c r="H22" s="19"/>
      <c r="I22" s="14"/>
      <c r="J22" s="14"/>
      <c r="L22" s="14"/>
      <c r="M22" s="14"/>
      <c r="N22" s="14"/>
      <c r="O22" s="14"/>
      <c r="P22" s="14"/>
      <c r="Q22" s="14"/>
      <c r="R22" s="14"/>
      <c r="S22" s="14"/>
      <c r="T22" s="14"/>
      <c r="U22" s="14"/>
    </row>
    <row r="27" spans="1:21" x14ac:dyDescent="0.55000000000000004">
      <c r="K27" s="2" t="str">
        <f ca="1">_xlfn.CONCAT(A1," | ",S6)</f>
        <v>ICO's Monthly Exports | YTD : Oct-Mar</v>
      </c>
      <c r="Q27" s="2" t="str">
        <f>_xlfn.CONCAT(A1," | ","Cumulative")</f>
        <v>ICO's Monthly Exports | Cumulative</v>
      </c>
    </row>
    <row r="56" spans="2:6" x14ac:dyDescent="0.55000000000000004">
      <c r="B56" s="22" t="s">
        <v>344</v>
      </c>
      <c r="C56" s="22">
        <f>COUNT(C18:N18)</f>
        <v>6</v>
      </c>
      <c r="D56" s="23" t="str">
        <f ca="1">OFFSET(B6,0,$C$56,1,1)</f>
        <v>Mar</v>
      </c>
      <c r="E56" s="5" t="str">
        <f>B18</f>
        <v>25/26</v>
      </c>
      <c r="F56" s="5" t="str">
        <f ca="1">_xlfn.CONCAT(D56,"'",E56)</f>
        <v>Mar'25/26</v>
      </c>
    </row>
    <row r="65" spans="1:25" x14ac:dyDescent="0.55000000000000004">
      <c r="B65" s="7" t="s">
        <v>327</v>
      </c>
      <c r="C65" s="7" t="s">
        <v>328</v>
      </c>
      <c r="D65" s="7" t="s">
        <v>329</v>
      </c>
      <c r="E65" s="7" t="s">
        <v>330</v>
      </c>
      <c r="F65" s="7" t="s">
        <v>331</v>
      </c>
      <c r="G65" s="7" t="s">
        <v>332</v>
      </c>
      <c r="H65" s="7" t="s">
        <v>333</v>
      </c>
      <c r="I65" s="7" t="s">
        <v>334</v>
      </c>
      <c r="J65" s="7" t="s">
        <v>335</v>
      </c>
      <c r="K65" s="7" t="s">
        <v>336</v>
      </c>
      <c r="L65" s="7" t="s">
        <v>337</v>
      </c>
      <c r="M65" s="7" t="s">
        <v>338</v>
      </c>
      <c r="N65" s="7"/>
    </row>
    <row r="66" spans="1:25" x14ac:dyDescent="0.55000000000000004">
      <c r="A66" s="5" t="str">
        <f>B18</f>
        <v>25/26</v>
      </c>
      <c r="B66" s="24">
        <f>C18</f>
        <v>4261080.5694000004</v>
      </c>
      <c r="C66" s="24">
        <f t="shared" ref="C66:M66" si="6">D18</f>
        <v>3650503.9964000001</v>
      </c>
      <c r="D66" s="24">
        <f t="shared" si="6"/>
        <v>3169202.7525999998</v>
      </c>
      <c r="E66" s="24">
        <f t="shared" si="6"/>
        <v>2808075.7245</v>
      </c>
      <c r="F66" s="24">
        <f t="shared" si="6"/>
        <v>2618119.8382000001</v>
      </c>
      <c r="G66" s="24">
        <f t="shared" si="6"/>
        <v>3058938.5846000002</v>
      </c>
      <c r="H66" s="24" t="e">
        <f t="shared" si="6"/>
        <v>#N/A</v>
      </c>
      <c r="I66" s="24" t="e">
        <f t="shared" si="6"/>
        <v>#N/A</v>
      </c>
      <c r="J66" s="24" t="e">
        <f t="shared" si="6"/>
        <v>#N/A</v>
      </c>
      <c r="K66" s="24" t="e">
        <f t="shared" si="6"/>
        <v>#N/A</v>
      </c>
      <c r="L66" s="24" t="e">
        <f t="shared" si="6"/>
        <v>#N/A</v>
      </c>
      <c r="M66" s="24" t="e">
        <f t="shared" si="6"/>
        <v>#N/A</v>
      </c>
    </row>
    <row r="67" spans="1:25" x14ac:dyDescent="0.55000000000000004">
      <c r="A67" s="5" t="s">
        <v>345</v>
      </c>
      <c r="B67" s="24">
        <f t="shared" ref="B67:M67" si="7">MIN(C7:C17)</f>
        <v>2901977.4898000001</v>
      </c>
      <c r="C67" s="24">
        <f t="shared" si="7"/>
        <v>2965514.0468000001</v>
      </c>
      <c r="D67" s="24">
        <f t="shared" si="7"/>
        <v>3025954.4840000002</v>
      </c>
      <c r="E67" s="24">
        <f t="shared" si="7"/>
        <v>2591523.6557</v>
      </c>
      <c r="F67" s="24">
        <f t="shared" si="7"/>
        <v>2461834.4695000001</v>
      </c>
      <c r="G67" s="24">
        <f t="shared" si="7"/>
        <v>2698364.4103999999</v>
      </c>
      <c r="H67" s="24">
        <f t="shared" si="7"/>
        <v>2240098.304</v>
      </c>
      <c r="I67" s="24">
        <f t="shared" si="7"/>
        <v>1729254.4069999999</v>
      </c>
      <c r="J67" s="24">
        <f t="shared" si="7"/>
        <v>2191499.2459999998</v>
      </c>
      <c r="K67" s="24">
        <f t="shared" si="7"/>
        <v>1873670.733</v>
      </c>
      <c r="L67" s="24">
        <f t="shared" si="7"/>
        <v>2610143.5789999999</v>
      </c>
      <c r="M67" s="24">
        <f t="shared" si="7"/>
        <v>2441617.8768000002</v>
      </c>
      <c r="N67" s="24"/>
    </row>
    <row r="68" spans="1:25" x14ac:dyDescent="0.55000000000000004">
      <c r="A68" s="5" t="s">
        <v>346</v>
      </c>
      <c r="B68" s="24">
        <f t="shared" ref="B68:M68" si="8">MAX(C7:C17)</f>
        <v>5112274.1502</v>
      </c>
      <c r="C68" s="24">
        <f t="shared" si="8"/>
        <v>4770005.2665999997</v>
      </c>
      <c r="D68" s="24">
        <f t="shared" si="8"/>
        <v>4409066.4818000002</v>
      </c>
      <c r="E68" s="24">
        <f t="shared" si="8"/>
        <v>3998730.5814999999</v>
      </c>
      <c r="F68" s="24">
        <f t="shared" si="8"/>
        <v>3972949.6107999999</v>
      </c>
      <c r="G68" s="24">
        <f t="shared" si="8"/>
        <v>4308615.3492999999</v>
      </c>
      <c r="H68" s="24">
        <f t="shared" si="8"/>
        <v>4276347.5065000001</v>
      </c>
      <c r="I68" s="24">
        <f t="shared" si="8"/>
        <v>4446510.5935000004</v>
      </c>
      <c r="J68" s="24">
        <f t="shared" si="8"/>
        <v>3770707.0170999998</v>
      </c>
      <c r="K68" s="24">
        <f t="shared" si="8"/>
        <v>3881567.0380000002</v>
      </c>
      <c r="L68" s="24">
        <f t="shared" si="8"/>
        <v>4092677.6348000001</v>
      </c>
      <c r="M68" s="24">
        <f t="shared" si="8"/>
        <v>4921683.9052999998</v>
      </c>
      <c r="N68" s="24"/>
    </row>
    <row r="69" spans="1:25" x14ac:dyDescent="0.55000000000000004">
      <c r="A69" s="5" t="s">
        <v>347</v>
      </c>
      <c r="B69" s="24">
        <f>AVERAGE(C12:C17)</f>
        <v>4096407.5170166665</v>
      </c>
      <c r="C69" s="24">
        <f t="shared" ref="C69:M69" si="9">AVERAGE(D12:D17)</f>
        <v>3924435.4366166666</v>
      </c>
      <c r="D69" s="24">
        <f t="shared" si="9"/>
        <v>3770306.4985333332</v>
      </c>
      <c r="E69" s="24">
        <f t="shared" si="9"/>
        <v>3493348.5211166665</v>
      </c>
      <c r="F69" s="24">
        <f t="shared" si="9"/>
        <v>3339774.0178999999</v>
      </c>
      <c r="G69" s="24">
        <f t="shared" si="9"/>
        <v>3626933.0240666675</v>
      </c>
      <c r="H69" s="24">
        <f t="shared" si="9"/>
        <v>3302487.5394666665</v>
      </c>
      <c r="I69" s="24">
        <f t="shared" si="9"/>
        <v>3309395.0803333335</v>
      </c>
      <c r="J69" s="24">
        <f t="shared" si="9"/>
        <v>3074780.8106666668</v>
      </c>
      <c r="K69" s="24">
        <f t="shared" si="9"/>
        <v>3123363.0594000001</v>
      </c>
      <c r="L69" s="24">
        <f t="shared" si="9"/>
        <v>3422974.869233334</v>
      </c>
      <c r="M69" s="24">
        <f t="shared" si="9"/>
        <v>3949417.5968833328</v>
      </c>
      <c r="N69" s="24"/>
    </row>
    <row r="74" spans="1:25" x14ac:dyDescent="0.55000000000000004">
      <c r="B74" s="5">
        <v>1</v>
      </c>
      <c r="C74" s="5">
        <v>1</v>
      </c>
      <c r="D74" s="24">
        <f t="shared" ref="D74:D105" si="10">INDEX($C$7:$N$19,MATCH(B74,$A$7:$A$19),MATCH(C74,$C$4:$N$4))</f>
        <v>0</v>
      </c>
      <c r="E74" s="5" t="str">
        <f t="shared" ref="E74:E105" si="11">_xlfn.XLOOKUP(B74,$A$7:$A$19,$B$7:$B$19)</f>
        <v>14/15</v>
      </c>
      <c r="F74" s="5" t="str">
        <f>_xlfn.XLOOKUP(C74,$C$4:$N$4,$C$6:$N$6)</f>
        <v>Oct</v>
      </c>
      <c r="G74" s="5" t="str">
        <f>_xlfn.CONCAT(F74,"'",E74)</f>
        <v>Oct'14/15</v>
      </c>
      <c r="M74" s="14"/>
      <c r="N74" s="26" t="s">
        <v>348</v>
      </c>
      <c r="O74" s="26"/>
      <c r="P74" s="26"/>
      <c r="Q74" s="26"/>
      <c r="R74" s="26"/>
      <c r="S74" s="26"/>
      <c r="T74" s="26"/>
      <c r="U74" s="26"/>
      <c r="V74" s="26"/>
      <c r="W74" s="26"/>
      <c r="X74" s="26"/>
      <c r="Y74" s="26"/>
    </row>
    <row r="75" spans="1:25" x14ac:dyDescent="0.55000000000000004">
      <c r="B75" s="5">
        <v>1</v>
      </c>
      <c r="C75" s="5">
        <v>2</v>
      </c>
      <c r="D75" s="24">
        <f t="shared" si="10"/>
        <v>0</v>
      </c>
      <c r="E75" s="5" t="str">
        <f t="shared" si="11"/>
        <v>14/15</v>
      </c>
      <c r="F75" s="5" t="str">
        <f t="shared" ref="F75:F138" si="12">_xlfn.XLOOKUP(C75,$C$4:$N$4,$C$6:$N$6)</f>
        <v>Nov</v>
      </c>
      <c r="G75" s="5" t="str">
        <f t="shared" ref="G75:G138" si="13">_xlfn.CONCAT(F75,"'",E75)</f>
        <v>Nov'14/15</v>
      </c>
      <c r="M75" s="14"/>
      <c r="N75" s="7" t="s">
        <v>327</v>
      </c>
      <c r="O75" s="7" t="s">
        <v>328</v>
      </c>
      <c r="P75" s="7" t="s">
        <v>329</v>
      </c>
      <c r="Q75" s="7" t="s">
        <v>330</v>
      </c>
      <c r="R75" s="7" t="s">
        <v>331</v>
      </c>
      <c r="S75" s="7" t="s">
        <v>332</v>
      </c>
      <c r="T75" s="7" t="s">
        <v>333</v>
      </c>
      <c r="U75" s="7" t="s">
        <v>334</v>
      </c>
      <c r="V75" s="7" t="s">
        <v>335</v>
      </c>
      <c r="W75" s="7" t="s">
        <v>336</v>
      </c>
      <c r="X75" s="7" t="s">
        <v>337</v>
      </c>
      <c r="Y75" s="7" t="s">
        <v>338</v>
      </c>
    </row>
    <row r="76" spans="1:25" x14ac:dyDescent="0.55000000000000004">
      <c r="B76" s="5">
        <v>1</v>
      </c>
      <c r="C76" s="5">
        <v>3</v>
      </c>
      <c r="D76" s="24">
        <f t="shared" si="10"/>
        <v>0</v>
      </c>
      <c r="E76" s="5" t="str">
        <f t="shared" si="11"/>
        <v>14/15</v>
      </c>
      <c r="F76" s="5" t="str">
        <f t="shared" si="12"/>
        <v>Dec</v>
      </c>
      <c r="G76" s="5" t="str">
        <f t="shared" si="13"/>
        <v>Dec'14/15</v>
      </c>
      <c r="M76" s="6" t="s">
        <v>341</v>
      </c>
      <c r="N76" s="19">
        <f>C7</f>
        <v>0</v>
      </c>
      <c r="O76" s="19">
        <f t="shared" ref="O76:Y77" si="14">N76+D7</f>
        <v>0</v>
      </c>
      <c r="P76" s="19">
        <f t="shared" si="14"/>
        <v>0</v>
      </c>
      <c r="Q76" s="19">
        <f t="shared" si="14"/>
        <v>0</v>
      </c>
      <c r="R76" s="19">
        <f t="shared" si="14"/>
        <v>0</v>
      </c>
      <c r="S76" s="19">
        <f t="shared" si="14"/>
        <v>0</v>
      </c>
      <c r="T76" s="19">
        <f t="shared" si="14"/>
        <v>0</v>
      </c>
      <c r="U76" s="19">
        <f t="shared" si="14"/>
        <v>0</v>
      </c>
      <c r="V76" s="19">
        <f t="shared" si="14"/>
        <v>0</v>
      </c>
      <c r="W76" s="19">
        <f t="shared" si="14"/>
        <v>0</v>
      </c>
      <c r="X76" s="19">
        <f t="shared" si="14"/>
        <v>0</v>
      </c>
      <c r="Y76" s="19">
        <f t="shared" si="14"/>
        <v>0</v>
      </c>
    </row>
    <row r="77" spans="1:25" x14ac:dyDescent="0.55000000000000004">
      <c r="B77" s="5">
        <v>1</v>
      </c>
      <c r="C77" s="5">
        <v>4</v>
      </c>
      <c r="D77" s="24">
        <f t="shared" si="10"/>
        <v>0</v>
      </c>
      <c r="E77" s="5" t="str">
        <f t="shared" si="11"/>
        <v>14/15</v>
      </c>
      <c r="F77" s="5" t="str">
        <f t="shared" si="12"/>
        <v>Jan</v>
      </c>
      <c r="G77" s="5" t="str">
        <f t="shared" si="13"/>
        <v>Jan'14/15</v>
      </c>
      <c r="M77" s="6" t="s">
        <v>342</v>
      </c>
      <c r="N77" s="19">
        <f>C8</f>
        <v>0</v>
      </c>
      <c r="O77" s="19">
        <f t="shared" si="14"/>
        <v>0</v>
      </c>
      <c r="P77" s="19">
        <f t="shared" si="14"/>
        <v>0</v>
      </c>
      <c r="Q77" s="19">
        <f t="shared" si="14"/>
        <v>0</v>
      </c>
      <c r="R77" s="19">
        <f t="shared" si="14"/>
        <v>0</v>
      </c>
      <c r="S77" s="19">
        <f t="shared" si="14"/>
        <v>0</v>
      </c>
      <c r="T77" s="19">
        <f t="shared" si="14"/>
        <v>0</v>
      </c>
      <c r="U77" s="19">
        <f t="shared" si="14"/>
        <v>0</v>
      </c>
      <c r="V77" s="19">
        <f t="shared" si="14"/>
        <v>0</v>
      </c>
      <c r="W77" s="19">
        <f t="shared" si="14"/>
        <v>0</v>
      </c>
      <c r="X77" s="19">
        <f t="shared" si="14"/>
        <v>0</v>
      </c>
      <c r="Y77" s="19">
        <f t="shared" si="14"/>
        <v>0</v>
      </c>
    </row>
    <row r="78" spans="1:25" x14ac:dyDescent="0.55000000000000004">
      <c r="B78" s="5">
        <v>1</v>
      </c>
      <c r="C78" s="5">
        <v>5</v>
      </c>
      <c r="D78" s="24">
        <f t="shared" si="10"/>
        <v>0</v>
      </c>
      <c r="E78" s="5" t="str">
        <f t="shared" si="11"/>
        <v>14/15</v>
      </c>
      <c r="F78" s="5" t="str">
        <f t="shared" si="12"/>
        <v>Feb</v>
      </c>
      <c r="G78" s="5" t="str">
        <f t="shared" si="13"/>
        <v>Feb'14/15</v>
      </c>
      <c r="M78" s="6" t="s">
        <v>316</v>
      </c>
      <c r="N78" s="19">
        <f t="shared" ref="N78:N88" si="15">C9</f>
        <v>3362927.9485999998</v>
      </c>
      <c r="O78" s="19">
        <f t="shared" ref="O78:Y88" si="16">N78+D9</f>
        <v>6639869.1595999999</v>
      </c>
      <c r="P78" s="19">
        <f t="shared" si="16"/>
        <v>9901751.2608000003</v>
      </c>
      <c r="Q78" s="19">
        <f t="shared" si="16"/>
        <v>12548215.7082</v>
      </c>
      <c r="R78" s="19">
        <f t="shared" si="16"/>
        <v>15139041.119000001</v>
      </c>
      <c r="S78" s="19">
        <f t="shared" si="16"/>
        <v>17973390.234000001</v>
      </c>
      <c r="T78" s="19">
        <f t="shared" si="16"/>
        <v>20213488.538000003</v>
      </c>
      <c r="U78" s="19">
        <f t="shared" si="16"/>
        <v>22815941.893400002</v>
      </c>
      <c r="V78" s="19">
        <f t="shared" si="16"/>
        <v>25007441.139400002</v>
      </c>
      <c r="W78" s="19">
        <f t="shared" si="16"/>
        <v>26881111.872400001</v>
      </c>
      <c r="X78" s="19">
        <f t="shared" si="16"/>
        <v>29491255.451400001</v>
      </c>
      <c r="Y78" s="19">
        <f t="shared" si="16"/>
        <v>31932873.328200001</v>
      </c>
    </row>
    <row r="79" spans="1:25" x14ac:dyDescent="0.55000000000000004">
      <c r="B79" s="5">
        <v>1</v>
      </c>
      <c r="C79" s="5">
        <v>6</v>
      </c>
      <c r="D79" s="24">
        <f t="shared" si="10"/>
        <v>0</v>
      </c>
      <c r="E79" s="5" t="str">
        <f t="shared" si="11"/>
        <v>14/15</v>
      </c>
      <c r="F79" s="5" t="str">
        <f t="shared" si="12"/>
        <v>Mar</v>
      </c>
      <c r="G79" s="5" t="str">
        <f t="shared" si="13"/>
        <v>Mar'14/15</v>
      </c>
      <c r="M79" s="6" t="s">
        <v>317</v>
      </c>
      <c r="N79" s="19">
        <f t="shared" si="15"/>
        <v>2901977.4898000001</v>
      </c>
      <c r="O79" s="19">
        <f t="shared" si="16"/>
        <v>5867491.5366000002</v>
      </c>
      <c r="P79" s="19">
        <f t="shared" si="16"/>
        <v>8893446.0206000004</v>
      </c>
      <c r="Q79" s="19">
        <f t="shared" si="16"/>
        <v>11613382.405200001</v>
      </c>
      <c r="R79" s="19">
        <f t="shared" si="16"/>
        <v>14124970.766400002</v>
      </c>
      <c r="S79" s="19">
        <f t="shared" si="16"/>
        <v>16823335.176800001</v>
      </c>
      <c r="T79" s="19">
        <f t="shared" si="16"/>
        <v>19212090.037800003</v>
      </c>
      <c r="U79" s="19">
        <f t="shared" si="16"/>
        <v>20941344.444800004</v>
      </c>
      <c r="V79" s="19">
        <f t="shared" si="16"/>
        <v>23524958.838000003</v>
      </c>
      <c r="W79" s="19">
        <f t="shared" si="16"/>
        <v>25990387.539400004</v>
      </c>
      <c r="X79" s="19">
        <f t="shared" si="16"/>
        <v>29534770.939000003</v>
      </c>
      <c r="Y79" s="19">
        <f t="shared" si="16"/>
        <v>32685551.148600005</v>
      </c>
    </row>
    <row r="80" spans="1:25" x14ac:dyDescent="0.55000000000000004">
      <c r="B80" s="5">
        <v>1</v>
      </c>
      <c r="C80" s="5">
        <v>7</v>
      </c>
      <c r="D80" s="24">
        <f t="shared" si="10"/>
        <v>0</v>
      </c>
      <c r="E80" s="5" t="str">
        <f t="shared" si="11"/>
        <v>14/15</v>
      </c>
      <c r="F80" s="5" t="str">
        <f t="shared" si="12"/>
        <v>Apr</v>
      </c>
      <c r="G80" s="5" t="str">
        <f t="shared" si="13"/>
        <v>Apr'14/15</v>
      </c>
      <c r="M80" s="6" t="s">
        <v>318</v>
      </c>
      <c r="N80" s="19">
        <f t="shared" si="15"/>
        <v>3937859.0506000002</v>
      </c>
      <c r="O80" s="19">
        <f t="shared" si="16"/>
        <v>7840714.5668000001</v>
      </c>
      <c r="P80" s="19">
        <f t="shared" si="16"/>
        <v>11845253.854600001</v>
      </c>
      <c r="Q80" s="19">
        <f t="shared" si="16"/>
        <v>15315759.672400001</v>
      </c>
      <c r="R80" s="19">
        <f t="shared" si="16"/>
        <v>18890414.519000001</v>
      </c>
      <c r="S80" s="19">
        <f t="shared" si="16"/>
        <v>22007584.150200002</v>
      </c>
      <c r="T80" s="19">
        <f t="shared" si="16"/>
        <v>25274797.832800001</v>
      </c>
      <c r="U80" s="19">
        <f t="shared" si="16"/>
        <v>29161393.937600002</v>
      </c>
      <c r="V80" s="19">
        <f t="shared" si="16"/>
        <v>32264089.785600003</v>
      </c>
      <c r="W80" s="19">
        <f t="shared" si="16"/>
        <v>35654523.965400003</v>
      </c>
      <c r="X80" s="19">
        <f t="shared" si="16"/>
        <v>39023437.595000006</v>
      </c>
      <c r="Y80" s="19">
        <f t="shared" si="16"/>
        <v>42518824.15640001</v>
      </c>
    </row>
    <row r="81" spans="2:25" x14ac:dyDescent="0.55000000000000004">
      <c r="B81" s="5">
        <v>1</v>
      </c>
      <c r="C81" s="5">
        <v>8</v>
      </c>
      <c r="D81" s="24">
        <f t="shared" si="10"/>
        <v>0</v>
      </c>
      <c r="E81" s="5" t="str">
        <f t="shared" si="11"/>
        <v>14/15</v>
      </c>
      <c r="F81" s="5" t="str">
        <f t="shared" si="12"/>
        <v>May</v>
      </c>
      <c r="G81" s="5" t="str">
        <f t="shared" si="13"/>
        <v>May'14/15</v>
      </c>
      <c r="M81" s="6" t="s">
        <v>319</v>
      </c>
      <c r="N81" s="19">
        <f t="shared" si="15"/>
        <v>3670113.2012</v>
      </c>
      <c r="O81" s="19">
        <f t="shared" si="16"/>
        <v>6951586.5013999995</v>
      </c>
      <c r="P81" s="19">
        <f t="shared" si="16"/>
        <v>10024293.544</v>
      </c>
      <c r="Q81" s="19">
        <f t="shared" si="16"/>
        <v>13498381.023399999</v>
      </c>
      <c r="R81" s="19">
        <f t="shared" si="16"/>
        <v>16506039.818799999</v>
      </c>
      <c r="S81" s="19">
        <f t="shared" si="16"/>
        <v>19999472.907399997</v>
      </c>
      <c r="T81" s="19">
        <f t="shared" si="16"/>
        <v>23598698.778399996</v>
      </c>
      <c r="U81" s="19">
        <f t="shared" si="16"/>
        <v>26880730.977799997</v>
      </c>
      <c r="V81" s="19">
        <f t="shared" si="16"/>
        <v>29956302.503999997</v>
      </c>
      <c r="W81" s="19">
        <f t="shared" si="16"/>
        <v>33198544.623199996</v>
      </c>
      <c r="X81" s="19">
        <f t="shared" si="16"/>
        <v>36772824.452799998</v>
      </c>
      <c r="Y81" s="19">
        <f t="shared" si="16"/>
        <v>41005189.314999998</v>
      </c>
    </row>
    <row r="82" spans="2:25" x14ac:dyDescent="0.55000000000000004">
      <c r="B82" s="5">
        <v>1</v>
      </c>
      <c r="C82" s="5">
        <v>9</v>
      </c>
      <c r="D82" s="24">
        <f t="shared" si="10"/>
        <v>0</v>
      </c>
      <c r="E82" s="5" t="str">
        <f t="shared" si="11"/>
        <v>14/15</v>
      </c>
      <c r="F82" s="5" t="str">
        <f t="shared" si="12"/>
        <v>Jun</v>
      </c>
      <c r="G82" s="5" t="str">
        <f t="shared" si="13"/>
        <v>Jun'14/15</v>
      </c>
      <c r="M82" s="6" t="s">
        <v>320</v>
      </c>
      <c r="N82" s="19">
        <f t="shared" si="15"/>
        <v>4504376.8364000004</v>
      </c>
      <c r="O82" s="19">
        <f t="shared" si="16"/>
        <v>9274382.1030000001</v>
      </c>
      <c r="P82" s="19">
        <f t="shared" si="16"/>
        <v>13683448.584800001</v>
      </c>
      <c r="Q82" s="19">
        <f t="shared" si="16"/>
        <v>17340739.795600001</v>
      </c>
      <c r="R82" s="19">
        <f t="shared" si="16"/>
        <v>21313689.406400003</v>
      </c>
      <c r="S82" s="19">
        <f t="shared" si="16"/>
        <v>25147105.973400004</v>
      </c>
      <c r="T82" s="19">
        <f t="shared" si="16"/>
        <v>28723049.623800006</v>
      </c>
      <c r="U82" s="19">
        <f t="shared" si="16"/>
        <v>32166924.068200007</v>
      </c>
      <c r="V82" s="19">
        <f t="shared" si="16"/>
        <v>35377193.598000005</v>
      </c>
      <c r="W82" s="19">
        <f t="shared" si="16"/>
        <v>38190718.774900004</v>
      </c>
      <c r="X82" s="19">
        <f t="shared" si="16"/>
        <v>41049862.064500004</v>
      </c>
      <c r="Y82" s="19">
        <f t="shared" si="16"/>
        <v>44341325.078000002</v>
      </c>
    </row>
    <row r="83" spans="2:25" x14ac:dyDescent="0.55000000000000004">
      <c r="B83" s="5">
        <v>1</v>
      </c>
      <c r="C83" s="5">
        <v>10</v>
      </c>
      <c r="D83" s="24">
        <f t="shared" si="10"/>
        <v>0</v>
      </c>
      <c r="E83" s="5" t="str">
        <f t="shared" si="11"/>
        <v>14/15</v>
      </c>
      <c r="F83" s="5" t="str">
        <f t="shared" si="12"/>
        <v>Jul</v>
      </c>
      <c r="G83" s="5" t="str">
        <f t="shared" si="13"/>
        <v>Jul'14/15</v>
      </c>
      <c r="M83" s="6" t="s">
        <v>321</v>
      </c>
      <c r="N83" s="19">
        <f t="shared" si="15"/>
        <v>3289593.2513000001</v>
      </c>
      <c r="O83" s="19">
        <f t="shared" si="16"/>
        <v>6547402.2358999997</v>
      </c>
      <c r="P83" s="19">
        <f t="shared" si="16"/>
        <v>10491736.305199999</v>
      </c>
      <c r="Q83" s="19">
        <f t="shared" si="16"/>
        <v>13960121.940099999</v>
      </c>
      <c r="R83" s="19">
        <f t="shared" si="16"/>
        <v>17496396.5022</v>
      </c>
      <c r="S83" s="19">
        <f t="shared" si="16"/>
        <v>21388372.273600001</v>
      </c>
      <c r="T83" s="19">
        <f t="shared" si="16"/>
        <v>24404981.401900001</v>
      </c>
      <c r="U83" s="19">
        <f t="shared" si="16"/>
        <v>27366657.739</v>
      </c>
      <c r="V83" s="19">
        <f t="shared" si="16"/>
        <v>30492020.7304</v>
      </c>
      <c r="W83" s="19">
        <f t="shared" si="16"/>
        <v>33244377.467900001</v>
      </c>
      <c r="X83" s="19">
        <f t="shared" si="16"/>
        <v>36195829.603200004</v>
      </c>
      <c r="Y83" s="19">
        <f t="shared" si="16"/>
        <v>39640119.181300007</v>
      </c>
    </row>
    <row r="84" spans="2:25" x14ac:dyDescent="0.55000000000000004">
      <c r="B84" s="5">
        <v>1</v>
      </c>
      <c r="C84" s="5">
        <v>11</v>
      </c>
      <c r="D84" s="24">
        <f t="shared" si="10"/>
        <v>0</v>
      </c>
      <c r="E84" s="5" t="str">
        <f t="shared" si="11"/>
        <v>14/15</v>
      </c>
      <c r="F84" s="5" t="str">
        <f t="shared" si="12"/>
        <v>Aug</v>
      </c>
      <c r="G84" s="5" t="str">
        <f t="shared" si="13"/>
        <v>Aug'14/15</v>
      </c>
      <c r="H84" s="5" t="s">
        <v>188</v>
      </c>
      <c r="I84" s="5" t="s">
        <v>349</v>
      </c>
      <c r="M84" s="6" t="s">
        <v>322</v>
      </c>
      <c r="N84" s="19">
        <f t="shared" si="15"/>
        <v>3589378.1941</v>
      </c>
      <c r="O84" s="19">
        <f t="shared" si="16"/>
        <v>7173335.7546999995</v>
      </c>
      <c r="P84" s="19">
        <f t="shared" si="16"/>
        <v>10310425.488899998</v>
      </c>
      <c r="Q84" s="19">
        <f t="shared" si="16"/>
        <v>12901949.144599998</v>
      </c>
      <c r="R84" s="19">
        <f t="shared" si="16"/>
        <v>15363783.614099998</v>
      </c>
      <c r="S84" s="19">
        <f t="shared" si="16"/>
        <v>18530419.731899999</v>
      </c>
      <c r="T84" s="19">
        <f t="shared" si="16"/>
        <v>21026108.4723</v>
      </c>
      <c r="U84" s="19">
        <f t="shared" si="16"/>
        <v>23694090.0121</v>
      </c>
      <c r="V84" s="19">
        <f t="shared" si="16"/>
        <v>26352676.219000001</v>
      </c>
      <c r="W84" s="19">
        <f t="shared" si="16"/>
        <v>29504850.306200001</v>
      </c>
      <c r="X84" s="19">
        <f t="shared" si="16"/>
        <v>33320481.8937</v>
      </c>
      <c r="Y84" s="19">
        <f t="shared" si="16"/>
        <v>37086397.736299999</v>
      </c>
    </row>
    <row r="85" spans="2:25" x14ac:dyDescent="0.55000000000000004">
      <c r="B85" s="5">
        <v>1</v>
      </c>
      <c r="C85" s="5">
        <v>12</v>
      </c>
      <c r="D85" s="24">
        <f t="shared" si="10"/>
        <v>0</v>
      </c>
      <c r="E85" s="5" t="str">
        <f t="shared" si="11"/>
        <v>14/15</v>
      </c>
      <c r="F85" s="5" t="str">
        <f t="shared" si="12"/>
        <v>Sep</v>
      </c>
      <c r="G85" s="5" t="str">
        <f t="shared" si="13"/>
        <v>Sep'14/15</v>
      </c>
      <c r="H85" s="5" t="str">
        <f>G85</f>
        <v>Sep'14/15</v>
      </c>
      <c r="I85" s="5">
        <f>SUM(D74:D85)/1000000</f>
        <v>0</v>
      </c>
      <c r="M85" s="6" t="s">
        <v>323</v>
      </c>
      <c r="N85" s="19">
        <f t="shared" si="15"/>
        <v>4412709.4688999997</v>
      </c>
      <c r="O85" s="19">
        <f t="shared" si="16"/>
        <v>8742359.8774999995</v>
      </c>
      <c r="P85" s="19">
        <f t="shared" si="16"/>
        <v>12928559.6281</v>
      </c>
      <c r="Q85" s="19">
        <f t="shared" si="16"/>
        <v>16927290.209600002</v>
      </c>
      <c r="R85" s="19">
        <f t="shared" si="16"/>
        <v>20669465.700800002</v>
      </c>
      <c r="S85" s="19">
        <f t="shared" si="16"/>
        <v>24978081.050100002</v>
      </c>
      <c r="T85" s="19">
        <f t="shared" si="16"/>
        <v>29254428.556600004</v>
      </c>
      <c r="U85" s="19">
        <f t="shared" si="16"/>
        <v>33700939.150100008</v>
      </c>
      <c r="V85" s="19">
        <f t="shared" si="16"/>
        <v>37471646.167200007</v>
      </c>
      <c r="W85" s="19">
        <f t="shared" si="16"/>
        <v>41353213.205200009</v>
      </c>
      <c r="X85" s="19">
        <f t="shared" si="16"/>
        <v>45445890.840000011</v>
      </c>
      <c r="Y85" s="19">
        <f t="shared" si="16"/>
        <v>50367574.74530001</v>
      </c>
    </row>
    <row r="86" spans="2:25" x14ac:dyDescent="0.55000000000000004">
      <c r="B86" s="5">
        <f>B74+1</f>
        <v>2</v>
      </c>
      <c r="C86" s="5">
        <f>C74</f>
        <v>1</v>
      </c>
      <c r="D86" s="24">
        <f t="shared" si="10"/>
        <v>0</v>
      </c>
      <c r="E86" s="5" t="str">
        <f t="shared" si="11"/>
        <v>15/16</v>
      </c>
      <c r="F86" s="5" t="str">
        <f t="shared" si="12"/>
        <v>Oct</v>
      </c>
      <c r="G86" s="5" t="str">
        <f t="shared" si="13"/>
        <v>Oct'15/16</v>
      </c>
      <c r="H86" s="5" t="str">
        <f t="shared" ref="H86:H149" si="17">G86</f>
        <v>Oct'15/16</v>
      </c>
      <c r="I86" s="5">
        <f t="shared" ref="I86:I149" si="18">SUM(D75:D86)/1000000</f>
        <v>0</v>
      </c>
      <c r="M86" s="6" t="s">
        <v>324</v>
      </c>
      <c r="N86" s="19">
        <f t="shared" si="15"/>
        <v>5112274.1502</v>
      </c>
      <c r="O86" s="19">
        <f t="shared" si="16"/>
        <v>9435991.2492999993</v>
      </c>
      <c r="P86" s="19">
        <f t="shared" si="16"/>
        <v>13308433.162</v>
      </c>
      <c r="Q86" s="19">
        <f t="shared" si="16"/>
        <v>17078505.726399999</v>
      </c>
      <c r="R86" s="19">
        <f t="shared" si="16"/>
        <v>20396256.904799998</v>
      </c>
      <c r="S86" s="19">
        <f t="shared" si="16"/>
        <v>23463778.155099999</v>
      </c>
      <c r="T86" s="19">
        <f t="shared" si="16"/>
        <v>26314888.495299999</v>
      </c>
      <c r="U86" s="19">
        <f t="shared" si="16"/>
        <v>29369183.8631</v>
      </c>
      <c r="V86" s="19">
        <f t="shared" si="16"/>
        <v>31977371.455699999</v>
      </c>
      <c r="W86" s="19">
        <f t="shared" si="16"/>
        <v>34875684.653300002</v>
      </c>
      <c r="X86" s="19">
        <f t="shared" si="16"/>
        <v>38120349.391900003</v>
      </c>
      <c r="Y86" s="19">
        <f t="shared" si="16"/>
        <v>42161137.771500006</v>
      </c>
    </row>
    <row r="87" spans="2:25" x14ac:dyDescent="0.55000000000000004">
      <c r="B87" s="5">
        <f t="shared" ref="B87:B150" si="19">B75+1</f>
        <v>2</v>
      </c>
      <c r="C87" s="5">
        <f t="shared" ref="C87:C150" si="20">C75</f>
        <v>2</v>
      </c>
      <c r="D87" s="24">
        <f t="shared" si="10"/>
        <v>0</v>
      </c>
      <c r="E87" s="5" t="str">
        <f t="shared" si="11"/>
        <v>15/16</v>
      </c>
      <c r="F87" s="5" t="str">
        <f t="shared" si="12"/>
        <v>Nov</v>
      </c>
      <c r="G87" s="5" t="str">
        <f t="shared" si="13"/>
        <v>Nov'15/16</v>
      </c>
      <c r="H87" s="5" t="str">
        <f t="shared" si="17"/>
        <v>Nov'15/16</v>
      </c>
      <c r="I87" s="5">
        <f t="shared" si="18"/>
        <v>0</v>
      </c>
      <c r="M87" s="6" t="s">
        <v>325</v>
      </c>
      <c r="N87" s="19">
        <f t="shared" si="15"/>
        <v>4261080.5694000004</v>
      </c>
      <c r="O87" s="19">
        <f t="shared" si="16"/>
        <v>7911584.5658</v>
      </c>
      <c r="P87" s="19">
        <f t="shared" si="16"/>
        <v>11080787.318399999</v>
      </c>
      <c r="Q87" s="19">
        <f t="shared" si="16"/>
        <v>13888863.0429</v>
      </c>
      <c r="R87" s="19">
        <f t="shared" si="16"/>
        <v>16506982.881099999</v>
      </c>
      <c r="S87" s="19">
        <f t="shared" si="16"/>
        <v>19565921.465700001</v>
      </c>
      <c r="T87" s="19" t="e">
        <f t="shared" si="16"/>
        <v>#N/A</v>
      </c>
      <c r="U87" s="19" t="e">
        <f t="shared" si="16"/>
        <v>#N/A</v>
      </c>
      <c r="V87" s="19" t="e">
        <f t="shared" si="16"/>
        <v>#N/A</v>
      </c>
      <c r="W87" s="19" t="e">
        <f t="shared" si="16"/>
        <v>#N/A</v>
      </c>
      <c r="X87" s="19" t="e">
        <f t="shared" si="16"/>
        <v>#N/A</v>
      </c>
      <c r="Y87" s="19" t="e">
        <f t="shared" si="16"/>
        <v>#N/A</v>
      </c>
    </row>
    <row r="88" spans="2:25" x14ac:dyDescent="0.55000000000000004">
      <c r="B88" s="5">
        <f t="shared" si="19"/>
        <v>2</v>
      </c>
      <c r="C88" s="5">
        <f t="shared" si="20"/>
        <v>3</v>
      </c>
      <c r="D88" s="24">
        <f t="shared" si="10"/>
        <v>0</v>
      </c>
      <c r="E88" s="5" t="str">
        <f t="shared" si="11"/>
        <v>15/16</v>
      </c>
      <c r="F88" s="5" t="str">
        <f t="shared" si="12"/>
        <v>Dec</v>
      </c>
      <c r="G88" s="5" t="str">
        <f t="shared" si="13"/>
        <v>Dec'15/16</v>
      </c>
      <c r="H88" s="5" t="str">
        <f t="shared" si="17"/>
        <v>Dec'15/16</v>
      </c>
      <c r="I88" s="5">
        <f t="shared" si="18"/>
        <v>0</v>
      </c>
      <c r="M88" s="6" t="s">
        <v>326</v>
      </c>
      <c r="N88" s="19" t="e">
        <f t="shared" si="15"/>
        <v>#N/A</v>
      </c>
      <c r="O88" s="19" t="e">
        <f t="shared" si="16"/>
        <v>#N/A</v>
      </c>
      <c r="P88" s="19" t="e">
        <f t="shared" si="16"/>
        <v>#N/A</v>
      </c>
      <c r="Q88" s="19" t="e">
        <f t="shared" si="16"/>
        <v>#N/A</v>
      </c>
      <c r="R88" s="19" t="e">
        <f t="shared" si="16"/>
        <v>#N/A</v>
      </c>
      <c r="S88" s="19" t="e">
        <f t="shared" si="16"/>
        <v>#N/A</v>
      </c>
      <c r="T88" s="19" t="e">
        <f t="shared" si="16"/>
        <v>#N/A</v>
      </c>
      <c r="U88" s="19" t="e">
        <f t="shared" si="16"/>
        <v>#N/A</v>
      </c>
      <c r="V88" s="19" t="e">
        <f t="shared" si="16"/>
        <v>#N/A</v>
      </c>
      <c r="W88" s="19" t="e">
        <f t="shared" si="16"/>
        <v>#N/A</v>
      </c>
      <c r="X88" s="19" t="e">
        <f t="shared" si="16"/>
        <v>#N/A</v>
      </c>
      <c r="Y88" s="19" t="e">
        <f t="shared" si="16"/>
        <v>#N/A</v>
      </c>
    </row>
    <row r="89" spans="2:25" x14ac:dyDescent="0.55000000000000004">
      <c r="B89" s="5">
        <f t="shared" si="19"/>
        <v>2</v>
      </c>
      <c r="C89" s="5">
        <f t="shared" si="20"/>
        <v>4</v>
      </c>
      <c r="D89" s="24">
        <f t="shared" si="10"/>
        <v>0</v>
      </c>
      <c r="E89" s="5" t="str">
        <f t="shared" si="11"/>
        <v>15/16</v>
      </c>
      <c r="F89" s="5" t="str">
        <f t="shared" si="12"/>
        <v>Jan</v>
      </c>
      <c r="G89" s="5" t="str">
        <f t="shared" si="13"/>
        <v>Jan'15/16</v>
      </c>
      <c r="H89" s="5" t="str">
        <f t="shared" si="17"/>
        <v>Jan'15/16</v>
      </c>
      <c r="I89" s="5">
        <f t="shared" si="18"/>
        <v>0</v>
      </c>
    </row>
    <row r="90" spans="2:25" x14ac:dyDescent="0.55000000000000004">
      <c r="B90" s="5">
        <f t="shared" si="19"/>
        <v>2</v>
      </c>
      <c r="C90" s="5">
        <f t="shared" si="20"/>
        <v>5</v>
      </c>
      <c r="D90" s="24">
        <f t="shared" si="10"/>
        <v>0</v>
      </c>
      <c r="E90" s="5" t="str">
        <f t="shared" si="11"/>
        <v>15/16</v>
      </c>
      <c r="F90" s="5" t="str">
        <f t="shared" si="12"/>
        <v>Feb</v>
      </c>
      <c r="G90" s="5" t="str">
        <f t="shared" si="13"/>
        <v>Feb'15/16</v>
      </c>
      <c r="H90" s="5" t="str">
        <f t="shared" si="17"/>
        <v>Feb'15/16</v>
      </c>
      <c r="I90" s="5">
        <f t="shared" si="18"/>
        <v>0</v>
      </c>
    </row>
    <row r="91" spans="2:25" x14ac:dyDescent="0.55000000000000004">
      <c r="B91" s="5">
        <f t="shared" si="19"/>
        <v>2</v>
      </c>
      <c r="C91" s="5">
        <f t="shared" si="20"/>
        <v>6</v>
      </c>
      <c r="D91" s="24">
        <f t="shared" si="10"/>
        <v>0</v>
      </c>
      <c r="E91" s="5" t="str">
        <f t="shared" si="11"/>
        <v>15/16</v>
      </c>
      <c r="F91" s="5" t="str">
        <f t="shared" si="12"/>
        <v>Mar</v>
      </c>
      <c r="G91" s="5" t="str">
        <f t="shared" si="13"/>
        <v>Mar'15/16</v>
      </c>
      <c r="H91" s="5" t="str">
        <f t="shared" si="17"/>
        <v>Mar'15/16</v>
      </c>
      <c r="I91" s="5">
        <f t="shared" si="18"/>
        <v>0</v>
      </c>
    </row>
    <row r="92" spans="2:25" x14ac:dyDescent="0.55000000000000004">
      <c r="B92" s="5">
        <f t="shared" si="19"/>
        <v>2</v>
      </c>
      <c r="C92" s="5">
        <f t="shared" si="20"/>
        <v>7</v>
      </c>
      <c r="D92" s="24">
        <f t="shared" si="10"/>
        <v>0</v>
      </c>
      <c r="E92" s="5" t="str">
        <f t="shared" si="11"/>
        <v>15/16</v>
      </c>
      <c r="F92" s="5" t="str">
        <f t="shared" si="12"/>
        <v>Apr</v>
      </c>
      <c r="G92" s="5" t="str">
        <f t="shared" si="13"/>
        <v>Apr'15/16</v>
      </c>
      <c r="H92" s="5" t="str">
        <f t="shared" si="17"/>
        <v>Apr'15/16</v>
      </c>
      <c r="I92" s="5">
        <f t="shared" si="18"/>
        <v>0</v>
      </c>
    </row>
    <row r="93" spans="2:25" x14ac:dyDescent="0.55000000000000004">
      <c r="B93" s="5">
        <f t="shared" si="19"/>
        <v>2</v>
      </c>
      <c r="C93" s="5">
        <f t="shared" si="20"/>
        <v>8</v>
      </c>
      <c r="D93" s="24">
        <f t="shared" si="10"/>
        <v>0</v>
      </c>
      <c r="E93" s="5" t="str">
        <f t="shared" si="11"/>
        <v>15/16</v>
      </c>
      <c r="F93" s="5" t="str">
        <f t="shared" si="12"/>
        <v>May</v>
      </c>
      <c r="G93" s="5" t="str">
        <f t="shared" si="13"/>
        <v>May'15/16</v>
      </c>
      <c r="H93" s="5" t="str">
        <f t="shared" si="17"/>
        <v>May'15/16</v>
      </c>
      <c r="I93" s="5">
        <f t="shared" si="18"/>
        <v>0</v>
      </c>
    </row>
    <row r="94" spans="2:25" x14ac:dyDescent="0.55000000000000004">
      <c r="B94" s="5">
        <f t="shared" si="19"/>
        <v>2</v>
      </c>
      <c r="C94" s="5">
        <f t="shared" si="20"/>
        <v>9</v>
      </c>
      <c r="D94" s="24">
        <f t="shared" si="10"/>
        <v>0</v>
      </c>
      <c r="E94" s="5" t="str">
        <f t="shared" si="11"/>
        <v>15/16</v>
      </c>
      <c r="F94" s="5" t="str">
        <f t="shared" si="12"/>
        <v>Jun</v>
      </c>
      <c r="G94" s="5" t="str">
        <f t="shared" si="13"/>
        <v>Jun'15/16</v>
      </c>
      <c r="H94" s="5" t="str">
        <f t="shared" si="17"/>
        <v>Jun'15/16</v>
      </c>
      <c r="I94" s="5">
        <f t="shared" si="18"/>
        <v>0</v>
      </c>
    </row>
    <row r="95" spans="2:25" x14ac:dyDescent="0.55000000000000004">
      <c r="B95" s="5">
        <f t="shared" si="19"/>
        <v>2</v>
      </c>
      <c r="C95" s="5">
        <f t="shared" si="20"/>
        <v>10</v>
      </c>
      <c r="D95" s="24">
        <f t="shared" si="10"/>
        <v>0</v>
      </c>
      <c r="E95" s="5" t="str">
        <f t="shared" si="11"/>
        <v>15/16</v>
      </c>
      <c r="F95" s="5" t="str">
        <f t="shared" si="12"/>
        <v>Jul</v>
      </c>
      <c r="G95" s="5" t="str">
        <f t="shared" si="13"/>
        <v>Jul'15/16</v>
      </c>
      <c r="H95" s="5" t="str">
        <f t="shared" si="17"/>
        <v>Jul'15/16</v>
      </c>
      <c r="I95" s="5">
        <f t="shared" si="18"/>
        <v>0</v>
      </c>
    </row>
    <row r="96" spans="2:25" x14ac:dyDescent="0.55000000000000004">
      <c r="B96" s="5">
        <f t="shared" si="19"/>
        <v>2</v>
      </c>
      <c r="C96" s="5">
        <f t="shared" si="20"/>
        <v>11</v>
      </c>
      <c r="D96" s="24">
        <f t="shared" si="10"/>
        <v>0</v>
      </c>
      <c r="E96" s="5" t="str">
        <f t="shared" si="11"/>
        <v>15/16</v>
      </c>
      <c r="F96" s="5" t="str">
        <f t="shared" si="12"/>
        <v>Aug</v>
      </c>
      <c r="G96" s="5" t="str">
        <f t="shared" si="13"/>
        <v>Aug'15/16</v>
      </c>
      <c r="H96" s="5" t="str">
        <f t="shared" si="17"/>
        <v>Aug'15/16</v>
      </c>
      <c r="I96" s="5">
        <f t="shared" si="18"/>
        <v>0</v>
      </c>
    </row>
    <row r="97" spans="2:9" x14ac:dyDescent="0.55000000000000004">
      <c r="B97" s="5">
        <f t="shared" si="19"/>
        <v>2</v>
      </c>
      <c r="C97" s="5">
        <f t="shared" si="20"/>
        <v>12</v>
      </c>
      <c r="D97" s="24">
        <f t="shared" si="10"/>
        <v>0</v>
      </c>
      <c r="E97" s="5" t="str">
        <f t="shared" si="11"/>
        <v>15/16</v>
      </c>
      <c r="F97" s="5" t="str">
        <f t="shared" si="12"/>
        <v>Sep</v>
      </c>
      <c r="G97" s="5" t="str">
        <f t="shared" si="13"/>
        <v>Sep'15/16</v>
      </c>
      <c r="H97" s="5" t="str">
        <f t="shared" si="17"/>
        <v>Sep'15/16</v>
      </c>
      <c r="I97" s="5">
        <f t="shared" si="18"/>
        <v>0</v>
      </c>
    </row>
    <row r="98" spans="2:9" x14ac:dyDescent="0.55000000000000004">
      <c r="B98" s="5">
        <f t="shared" si="19"/>
        <v>3</v>
      </c>
      <c r="C98" s="5">
        <f t="shared" si="20"/>
        <v>1</v>
      </c>
      <c r="D98" s="24">
        <f t="shared" si="10"/>
        <v>3362927.9485999998</v>
      </c>
      <c r="E98" s="5" t="str">
        <f t="shared" si="11"/>
        <v>16/17</v>
      </c>
      <c r="F98" s="5" t="str">
        <f t="shared" si="12"/>
        <v>Oct</v>
      </c>
      <c r="G98" s="5" t="str">
        <f t="shared" si="13"/>
        <v>Oct'16/17</v>
      </c>
      <c r="H98" s="5" t="str">
        <f t="shared" si="17"/>
        <v>Oct'16/17</v>
      </c>
      <c r="I98" s="5">
        <f t="shared" si="18"/>
        <v>3.3629279485999999</v>
      </c>
    </row>
    <row r="99" spans="2:9" x14ac:dyDescent="0.55000000000000004">
      <c r="B99" s="5">
        <f t="shared" si="19"/>
        <v>3</v>
      </c>
      <c r="C99" s="5">
        <f t="shared" si="20"/>
        <v>2</v>
      </c>
      <c r="D99" s="24">
        <f t="shared" si="10"/>
        <v>3276941.2110000001</v>
      </c>
      <c r="E99" s="5" t="str">
        <f t="shared" si="11"/>
        <v>16/17</v>
      </c>
      <c r="F99" s="5" t="str">
        <f t="shared" si="12"/>
        <v>Nov</v>
      </c>
      <c r="G99" s="5" t="str">
        <f t="shared" si="13"/>
        <v>Nov'16/17</v>
      </c>
      <c r="H99" s="5" t="str">
        <f t="shared" si="17"/>
        <v>Nov'16/17</v>
      </c>
      <c r="I99" s="5">
        <f t="shared" si="18"/>
        <v>6.6398691595999999</v>
      </c>
    </row>
    <row r="100" spans="2:9" x14ac:dyDescent="0.55000000000000004">
      <c r="B100" s="5">
        <f t="shared" si="19"/>
        <v>3</v>
      </c>
      <c r="C100" s="5">
        <f t="shared" si="20"/>
        <v>3</v>
      </c>
      <c r="D100" s="24">
        <f t="shared" si="10"/>
        <v>3261882.1011999999</v>
      </c>
      <c r="E100" s="5" t="str">
        <f t="shared" si="11"/>
        <v>16/17</v>
      </c>
      <c r="F100" s="5" t="str">
        <f t="shared" si="12"/>
        <v>Dec</v>
      </c>
      <c r="G100" s="5" t="str">
        <f t="shared" si="13"/>
        <v>Dec'16/17</v>
      </c>
      <c r="H100" s="5" t="str">
        <f t="shared" si="17"/>
        <v>Dec'16/17</v>
      </c>
      <c r="I100" s="5">
        <f t="shared" si="18"/>
        <v>9.9017512608000011</v>
      </c>
    </row>
    <row r="101" spans="2:9" x14ac:dyDescent="0.55000000000000004">
      <c r="B101" s="5">
        <f t="shared" si="19"/>
        <v>3</v>
      </c>
      <c r="C101" s="5">
        <f t="shared" si="20"/>
        <v>4</v>
      </c>
      <c r="D101" s="24">
        <f t="shared" si="10"/>
        <v>2646464.4473999999</v>
      </c>
      <c r="E101" s="5" t="str">
        <f t="shared" si="11"/>
        <v>16/17</v>
      </c>
      <c r="F101" s="5" t="str">
        <f t="shared" si="12"/>
        <v>Jan</v>
      </c>
      <c r="G101" s="5" t="str">
        <f t="shared" si="13"/>
        <v>Jan'16/17</v>
      </c>
      <c r="H101" s="5" t="str">
        <f t="shared" si="17"/>
        <v>Jan'16/17</v>
      </c>
      <c r="I101" s="5">
        <f t="shared" si="18"/>
        <v>12.548215708200001</v>
      </c>
    </row>
    <row r="102" spans="2:9" x14ac:dyDescent="0.55000000000000004">
      <c r="B102" s="5">
        <f t="shared" si="19"/>
        <v>3</v>
      </c>
      <c r="C102" s="5">
        <f t="shared" si="20"/>
        <v>5</v>
      </c>
      <c r="D102" s="24">
        <f t="shared" si="10"/>
        <v>2590825.4108000002</v>
      </c>
      <c r="E102" s="5" t="str">
        <f t="shared" si="11"/>
        <v>16/17</v>
      </c>
      <c r="F102" s="5" t="str">
        <f t="shared" si="12"/>
        <v>Feb</v>
      </c>
      <c r="G102" s="5" t="str">
        <f t="shared" si="13"/>
        <v>Feb'16/17</v>
      </c>
      <c r="H102" s="5" t="str">
        <f t="shared" si="17"/>
        <v>Feb'16/17</v>
      </c>
      <c r="I102" s="5">
        <f t="shared" si="18"/>
        <v>15.139041119000002</v>
      </c>
    </row>
    <row r="103" spans="2:9" x14ac:dyDescent="0.55000000000000004">
      <c r="B103" s="5">
        <f t="shared" si="19"/>
        <v>3</v>
      </c>
      <c r="C103" s="5">
        <f t="shared" si="20"/>
        <v>6</v>
      </c>
      <c r="D103" s="24">
        <f t="shared" si="10"/>
        <v>2834349.1150000002</v>
      </c>
      <c r="E103" s="5" t="str">
        <f t="shared" si="11"/>
        <v>16/17</v>
      </c>
      <c r="F103" s="5" t="str">
        <f t="shared" si="12"/>
        <v>Mar</v>
      </c>
      <c r="G103" s="5" t="str">
        <f t="shared" si="13"/>
        <v>Mar'16/17</v>
      </c>
      <c r="H103" s="5" t="str">
        <f t="shared" si="17"/>
        <v>Mar'16/17</v>
      </c>
      <c r="I103" s="5">
        <f t="shared" si="18"/>
        <v>17.973390234</v>
      </c>
    </row>
    <row r="104" spans="2:9" x14ac:dyDescent="0.55000000000000004">
      <c r="B104" s="5">
        <f t="shared" si="19"/>
        <v>3</v>
      </c>
      <c r="C104" s="5">
        <f t="shared" si="20"/>
        <v>7</v>
      </c>
      <c r="D104" s="24">
        <f t="shared" si="10"/>
        <v>2240098.304</v>
      </c>
      <c r="E104" s="5" t="str">
        <f t="shared" si="11"/>
        <v>16/17</v>
      </c>
      <c r="F104" s="5" t="str">
        <f t="shared" si="12"/>
        <v>Apr</v>
      </c>
      <c r="G104" s="5" t="str">
        <f t="shared" si="13"/>
        <v>Apr'16/17</v>
      </c>
      <c r="H104" s="5" t="str">
        <f t="shared" si="17"/>
        <v>Apr'16/17</v>
      </c>
      <c r="I104" s="5">
        <f t="shared" si="18"/>
        <v>20.213488538000004</v>
      </c>
    </row>
    <row r="105" spans="2:9" x14ac:dyDescent="0.55000000000000004">
      <c r="B105" s="5">
        <f t="shared" si="19"/>
        <v>3</v>
      </c>
      <c r="C105" s="5">
        <f t="shared" si="20"/>
        <v>8</v>
      </c>
      <c r="D105" s="24">
        <f t="shared" si="10"/>
        <v>2602453.3553999998</v>
      </c>
      <c r="E105" s="5" t="str">
        <f t="shared" si="11"/>
        <v>16/17</v>
      </c>
      <c r="F105" s="5" t="str">
        <f t="shared" si="12"/>
        <v>May</v>
      </c>
      <c r="G105" s="5" t="str">
        <f t="shared" si="13"/>
        <v>May'16/17</v>
      </c>
      <c r="H105" s="5" t="str">
        <f t="shared" si="17"/>
        <v>May'16/17</v>
      </c>
      <c r="I105" s="5">
        <f t="shared" si="18"/>
        <v>22.815941893400002</v>
      </c>
    </row>
    <row r="106" spans="2:9" x14ac:dyDescent="0.55000000000000004">
      <c r="B106" s="5">
        <f t="shared" si="19"/>
        <v>3</v>
      </c>
      <c r="C106" s="5">
        <f t="shared" si="20"/>
        <v>9</v>
      </c>
      <c r="D106" s="24">
        <f t="shared" ref="D106:D137" si="21">INDEX($C$7:$N$19,MATCH(B106,$A$7:$A$19),MATCH(C106,$C$4:$N$4))</f>
        <v>2191499.2459999998</v>
      </c>
      <c r="E106" s="5" t="str">
        <f t="shared" ref="E106:E137" si="22">_xlfn.XLOOKUP(B106,$A$7:$A$19,$B$7:$B$19)</f>
        <v>16/17</v>
      </c>
      <c r="F106" s="5" t="str">
        <f t="shared" si="12"/>
        <v>Jun</v>
      </c>
      <c r="G106" s="5" t="str">
        <f t="shared" si="13"/>
        <v>Jun'16/17</v>
      </c>
      <c r="H106" s="5" t="str">
        <f t="shared" si="17"/>
        <v>Jun'16/17</v>
      </c>
      <c r="I106" s="5">
        <f t="shared" si="18"/>
        <v>25.007441139400001</v>
      </c>
    </row>
    <row r="107" spans="2:9" x14ac:dyDescent="0.55000000000000004">
      <c r="B107" s="5">
        <f t="shared" si="19"/>
        <v>3</v>
      </c>
      <c r="C107" s="5">
        <f t="shared" si="20"/>
        <v>10</v>
      </c>
      <c r="D107" s="24">
        <f t="shared" si="21"/>
        <v>1873670.733</v>
      </c>
      <c r="E107" s="5" t="str">
        <f t="shared" si="22"/>
        <v>16/17</v>
      </c>
      <c r="F107" s="5" t="str">
        <f t="shared" si="12"/>
        <v>Jul</v>
      </c>
      <c r="G107" s="5" t="str">
        <f t="shared" si="13"/>
        <v>Jul'16/17</v>
      </c>
      <c r="H107" s="5" t="str">
        <f t="shared" si="17"/>
        <v>Jul'16/17</v>
      </c>
      <c r="I107" s="5">
        <f t="shared" si="18"/>
        <v>26.881111872400002</v>
      </c>
    </row>
    <row r="108" spans="2:9" x14ac:dyDescent="0.55000000000000004">
      <c r="B108" s="5">
        <f t="shared" si="19"/>
        <v>3</v>
      </c>
      <c r="C108" s="5">
        <f t="shared" si="20"/>
        <v>11</v>
      </c>
      <c r="D108" s="24">
        <f t="shared" si="21"/>
        <v>2610143.5789999999</v>
      </c>
      <c r="E108" s="5" t="str">
        <f t="shared" si="22"/>
        <v>16/17</v>
      </c>
      <c r="F108" s="5" t="str">
        <f t="shared" si="12"/>
        <v>Aug</v>
      </c>
      <c r="G108" s="5" t="str">
        <f t="shared" si="13"/>
        <v>Aug'16/17</v>
      </c>
      <c r="H108" s="5" t="str">
        <f t="shared" si="17"/>
        <v>Aug'16/17</v>
      </c>
      <c r="I108" s="5">
        <f t="shared" si="18"/>
        <v>29.491255451400001</v>
      </c>
    </row>
    <row r="109" spans="2:9" x14ac:dyDescent="0.55000000000000004">
      <c r="B109" s="5">
        <f t="shared" si="19"/>
        <v>3</v>
      </c>
      <c r="C109" s="5">
        <f t="shared" si="20"/>
        <v>12</v>
      </c>
      <c r="D109" s="24">
        <f t="shared" si="21"/>
        <v>2441617.8768000002</v>
      </c>
      <c r="E109" s="5" t="str">
        <f t="shared" si="22"/>
        <v>16/17</v>
      </c>
      <c r="F109" s="5" t="str">
        <f t="shared" si="12"/>
        <v>Sep</v>
      </c>
      <c r="G109" s="5" t="str">
        <f t="shared" si="13"/>
        <v>Sep'16/17</v>
      </c>
      <c r="H109" s="5" t="str">
        <f t="shared" si="17"/>
        <v>Sep'16/17</v>
      </c>
      <c r="I109" s="5">
        <f t="shared" si="18"/>
        <v>31.932873328200003</v>
      </c>
    </row>
    <row r="110" spans="2:9" x14ac:dyDescent="0.55000000000000004">
      <c r="B110" s="5">
        <f t="shared" si="19"/>
        <v>4</v>
      </c>
      <c r="C110" s="5">
        <f t="shared" si="20"/>
        <v>1</v>
      </c>
      <c r="D110" s="24">
        <f t="shared" si="21"/>
        <v>2901977.4898000001</v>
      </c>
      <c r="E110" s="5" t="str">
        <f t="shared" si="22"/>
        <v>17/18</v>
      </c>
      <c r="F110" s="5" t="str">
        <f t="shared" si="12"/>
        <v>Oct</v>
      </c>
      <c r="G110" s="5" t="str">
        <f t="shared" si="13"/>
        <v>Oct'17/18</v>
      </c>
      <c r="H110" s="5" t="str">
        <f t="shared" si="17"/>
        <v>Oct'17/18</v>
      </c>
      <c r="I110" s="5">
        <f t="shared" si="18"/>
        <v>31.471922869399997</v>
      </c>
    </row>
    <row r="111" spans="2:9" x14ac:dyDescent="0.55000000000000004">
      <c r="B111" s="5">
        <f t="shared" si="19"/>
        <v>4</v>
      </c>
      <c r="C111" s="5">
        <f t="shared" si="20"/>
        <v>2</v>
      </c>
      <c r="D111" s="24">
        <f t="shared" si="21"/>
        <v>2965514.0468000001</v>
      </c>
      <c r="E111" s="5" t="str">
        <f t="shared" si="22"/>
        <v>17/18</v>
      </c>
      <c r="F111" s="5" t="str">
        <f t="shared" si="12"/>
        <v>Nov</v>
      </c>
      <c r="G111" s="5" t="str">
        <f t="shared" si="13"/>
        <v>Nov'17/18</v>
      </c>
      <c r="H111" s="5" t="str">
        <f t="shared" si="17"/>
        <v>Nov'17/18</v>
      </c>
      <c r="I111" s="5">
        <f t="shared" si="18"/>
        <v>31.160495705199999</v>
      </c>
    </row>
    <row r="112" spans="2:9" x14ac:dyDescent="0.55000000000000004">
      <c r="B112" s="5">
        <f t="shared" si="19"/>
        <v>4</v>
      </c>
      <c r="C112" s="5">
        <f t="shared" si="20"/>
        <v>3</v>
      </c>
      <c r="D112" s="24">
        <f t="shared" si="21"/>
        <v>3025954.4840000002</v>
      </c>
      <c r="E112" s="5" t="str">
        <f t="shared" si="22"/>
        <v>17/18</v>
      </c>
      <c r="F112" s="5" t="str">
        <f t="shared" si="12"/>
        <v>Dec</v>
      </c>
      <c r="G112" s="5" t="str">
        <f t="shared" si="13"/>
        <v>Dec'17/18</v>
      </c>
      <c r="H112" s="5" t="str">
        <f t="shared" si="17"/>
        <v>Dec'17/18</v>
      </c>
      <c r="I112" s="5">
        <f t="shared" si="18"/>
        <v>30.924568088000001</v>
      </c>
    </row>
    <row r="113" spans="2:9" x14ac:dyDescent="0.55000000000000004">
      <c r="B113" s="5">
        <f t="shared" si="19"/>
        <v>4</v>
      </c>
      <c r="C113" s="5">
        <f t="shared" si="20"/>
        <v>4</v>
      </c>
      <c r="D113" s="24">
        <f t="shared" si="21"/>
        <v>2719936.3846</v>
      </c>
      <c r="E113" s="5" t="str">
        <f t="shared" si="22"/>
        <v>17/18</v>
      </c>
      <c r="F113" s="5" t="str">
        <f t="shared" si="12"/>
        <v>Jan</v>
      </c>
      <c r="G113" s="5" t="str">
        <f t="shared" si="13"/>
        <v>Jan'17/18</v>
      </c>
      <c r="H113" s="5" t="str">
        <f t="shared" si="17"/>
        <v>Jan'17/18</v>
      </c>
      <c r="I113" s="5">
        <f t="shared" si="18"/>
        <v>30.998040025199998</v>
      </c>
    </row>
    <row r="114" spans="2:9" x14ac:dyDescent="0.55000000000000004">
      <c r="B114" s="5">
        <f t="shared" si="19"/>
        <v>4</v>
      </c>
      <c r="C114" s="5">
        <f t="shared" si="20"/>
        <v>5</v>
      </c>
      <c r="D114" s="24">
        <f t="shared" si="21"/>
        <v>2511588.3612000002</v>
      </c>
      <c r="E114" s="5" t="str">
        <f t="shared" si="22"/>
        <v>17/18</v>
      </c>
      <c r="F114" s="5" t="str">
        <f t="shared" si="12"/>
        <v>Feb</v>
      </c>
      <c r="G114" s="5" t="str">
        <f t="shared" si="13"/>
        <v>Feb'17/18</v>
      </c>
      <c r="H114" s="5" t="str">
        <f t="shared" si="17"/>
        <v>Feb'17/18</v>
      </c>
      <c r="I114" s="5">
        <f t="shared" si="18"/>
        <v>30.918802975599998</v>
      </c>
    </row>
    <row r="115" spans="2:9" x14ac:dyDescent="0.55000000000000004">
      <c r="B115" s="5">
        <f t="shared" si="19"/>
        <v>4</v>
      </c>
      <c r="C115" s="5">
        <f t="shared" si="20"/>
        <v>6</v>
      </c>
      <c r="D115" s="24">
        <f t="shared" si="21"/>
        <v>2698364.4103999999</v>
      </c>
      <c r="E115" s="5" t="str">
        <f t="shared" si="22"/>
        <v>17/18</v>
      </c>
      <c r="F115" s="5" t="str">
        <f t="shared" si="12"/>
        <v>Mar</v>
      </c>
      <c r="G115" s="5" t="str">
        <f t="shared" si="13"/>
        <v>Mar'17/18</v>
      </c>
      <c r="H115" s="5" t="str">
        <f t="shared" si="17"/>
        <v>Mar'17/18</v>
      </c>
      <c r="I115" s="5">
        <f t="shared" si="18"/>
        <v>30.782818270999996</v>
      </c>
    </row>
    <row r="116" spans="2:9" x14ac:dyDescent="0.55000000000000004">
      <c r="B116" s="5">
        <f t="shared" si="19"/>
        <v>4</v>
      </c>
      <c r="C116" s="5">
        <f t="shared" si="20"/>
        <v>7</v>
      </c>
      <c r="D116" s="24">
        <f t="shared" si="21"/>
        <v>2388754.861</v>
      </c>
      <c r="E116" s="5" t="str">
        <f t="shared" si="22"/>
        <v>17/18</v>
      </c>
      <c r="F116" s="5" t="str">
        <f t="shared" si="12"/>
        <v>Apr</v>
      </c>
      <c r="G116" s="5" t="str">
        <f t="shared" si="13"/>
        <v>Apr'17/18</v>
      </c>
      <c r="H116" s="5" t="str">
        <f t="shared" si="17"/>
        <v>Apr'17/18</v>
      </c>
      <c r="I116" s="5">
        <f t="shared" si="18"/>
        <v>30.931474828000002</v>
      </c>
    </row>
    <row r="117" spans="2:9" x14ac:dyDescent="0.55000000000000004">
      <c r="B117" s="5">
        <f t="shared" si="19"/>
        <v>4</v>
      </c>
      <c r="C117" s="5">
        <f t="shared" si="20"/>
        <v>8</v>
      </c>
      <c r="D117" s="24">
        <f t="shared" si="21"/>
        <v>1729254.4069999999</v>
      </c>
      <c r="E117" s="5" t="str">
        <f t="shared" si="22"/>
        <v>17/18</v>
      </c>
      <c r="F117" s="5" t="str">
        <f t="shared" si="12"/>
        <v>May</v>
      </c>
      <c r="G117" s="5" t="str">
        <f t="shared" si="13"/>
        <v>May'17/18</v>
      </c>
      <c r="H117" s="5" t="str">
        <f t="shared" si="17"/>
        <v>May'17/18</v>
      </c>
      <c r="I117" s="5">
        <f t="shared" si="18"/>
        <v>30.058275879600004</v>
      </c>
    </row>
    <row r="118" spans="2:9" x14ac:dyDescent="0.55000000000000004">
      <c r="B118" s="5">
        <f t="shared" si="19"/>
        <v>4</v>
      </c>
      <c r="C118" s="5">
        <f t="shared" si="20"/>
        <v>9</v>
      </c>
      <c r="D118" s="24">
        <f t="shared" si="21"/>
        <v>2583614.3931999998</v>
      </c>
      <c r="E118" s="5" t="str">
        <f t="shared" si="22"/>
        <v>17/18</v>
      </c>
      <c r="F118" s="5" t="str">
        <f t="shared" si="12"/>
        <v>Jun</v>
      </c>
      <c r="G118" s="5" t="str">
        <f t="shared" si="13"/>
        <v>Jun'17/18</v>
      </c>
      <c r="H118" s="5" t="str">
        <f t="shared" si="17"/>
        <v>Jun'17/18</v>
      </c>
      <c r="I118" s="5">
        <f t="shared" si="18"/>
        <v>30.450391026800002</v>
      </c>
    </row>
    <row r="119" spans="2:9" x14ac:dyDescent="0.55000000000000004">
      <c r="B119" s="5">
        <f t="shared" si="19"/>
        <v>4</v>
      </c>
      <c r="C119" s="5">
        <f t="shared" si="20"/>
        <v>10</v>
      </c>
      <c r="D119" s="24">
        <f t="shared" si="21"/>
        <v>2465428.7014000001</v>
      </c>
      <c r="E119" s="5" t="str">
        <f t="shared" si="22"/>
        <v>17/18</v>
      </c>
      <c r="F119" s="5" t="str">
        <f t="shared" si="12"/>
        <v>Jul</v>
      </c>
      <c r="G119" s="5" t="str">
        <f t="shared" si="13"/>
        <v>Jul'17/18</v>
      </c>
      <c r="H119" s="5" t="str">
        <f t="shared" si="17"/>
        <v>Jul'17/18</v>
      </c>
      <c r="I119" s="5">
        <f t="shared" si="18"/>
        <v>31.042148995200005</v>
      </c>
    </row>
    <row r="120" spans="2:9" x14ac:dyDescent="0.55000000000000004">
      <c r="B120" s="5">
        <f t="shared" si="19"/>
        <v>4</v>
      </c>
      <c r="C120" s="5">
        <f t="shared" si="20"/>
        <v>11</v>
      </c>
      <c r="D120" s="24">
        <f t="shared" si="21"/>
        <v>3544383.3996000001</v>
      </c>
      <c r="E120" s="5" t="str">
        <f t="shared" si="22"/>
        <v>17/18</v>
      </c>
      <c r="F120" s="5" t="str">
        <f t="shared" si="12"/>
        <v>Aug</v>
      </c>
      <c r="G120" s="5" t="str">
        <f t="shared" si="13"/>
        <v>Aug'17/18</v>
      </c>
      <c r="H120" s="5" t="str">
        <f t="shared" si="17"/>
        <v>Aug'17/18</v>
      </c>
      <c r="I120" s="5">
        <f t="shared" si="18"/>
        <v>31.9763888158</v>
      </c>
    </row>
    <row r="121" spans="2:9" x14ac:dyDescent="0.55000000000000004">
      <c r="B121" s="5">
        <f t="shared" si="19"/>
        <v>4</v>
      </c>
      <c r="C121" s="5">
        <f t="shared" si="20"/>
        <v>12</v>
      </c>
      <c r="D121" s="24">
        <f t="shared" si="21"/>
        <v>3150780.2096000002</v>
      </c>
      <c r="E121" s="5" t="str">
        <f t="shared" si="22"/>
        <v>17/18</v>
      </c>
      <c r="F121" s="5" t="str">
        <f t="shared" si="12"/>
        <v>Sep</v>
      </c>
      <c r="G121" s="5" t="str">
        <f t="shared" si="13"/>
        <v>Sep'17/18</v>
      </c>
      <c r="H121" s="5" t="str">
        <f t="shared" si="17"/>
        <v>Sep'17/18</v>
      </c>
      <c r="I121" s="5">
        <f t="shared" si="18"/>
        <v>32.685551148600005</v>
      </c>
    </row>
    <row r="122" spans="2:9" x14ac:dyDescent="0.55000000000000004">
      <c r="B122" s="5">
        <f t="shared" si="19"/>
        <v>5</v>
      </c>
      <c r="C122" s="5">
        <f t="shared" si="20"/>
        <v>1</v>
      </c>
      <c r="D122" s="24">
        <f t="shared" si="21"/>
        <v>3937859.0506000002</v>
      </c>
      <c r="E122" s="5" t="str">
        <f t="shared" si="22"/>
        <v>18/19</v>
      </c>
      <c r="F122" s="5" t="str">
        <f t="shared" si="12"/>
        <v>Oct</v>
      </c>
      <c r="G122" s="5" t="str">
        <f t="shared" si="13"/>
        <v>Oct'18/19</v>
      </c>
      <c r="H122" s="5" t="str">
        <f t="shared" si="17"/>
        <v>Oct'18/19</v>
      </c>
      <c r="I122" s="5">
        <f t="shared" si="18"/>
        <v>33.721432709399998</v>
      </c>
    </row>
    <row r="123" spans="2:9" x14ac:dyDescent="0.55000000000000004">
      <c r="B123" s="5">
        <f t="shared" si="19"/>
        <v>5</v>
      </c>
      <c r="C123" s="5">
        <f t="shared" si="20"/>
        <v>2</v>
      </c>
      <c r="D123" s="24">
        <f t="shared" si="21"/>
        <v>3902855.5162</v>
      </c>
      <c r="E123" s="5" t="str">
        <f t="shared" si="22"/>
        <v>18/19</v>
      </c>
      <c r="F123" s="5" t="str">
        <f t="shared" si="12"/>
        <v>Nov</v>
      </c>
      <c r="G123" s="5" t="str">
        <f t="shared" si="13"/>
        <v>Nov'18/19</v>
      </c>
      <c r="H123" s="5" t="str">
        <f t="shared" si="17"/>
        <v>Nov'18/19</v>
      </c>
      <c r="I123" s="5">
        <f t="shared" si="18"/>
        <v>34.658774178800002</v>
      </c>
    </row>
    <row r="124" spans="2:9" x14ac:dyDescent="0.55000000000000004">
      <c r="B124" s="5">
        <f t="shared" si="19"/>
        <v>5</v>
      </c>
      <c r="C124" s="5">
        <f t="shared" si="20"/>
        <v>3</v>
      </c>
      <c r="D124" s="24">
        <f t="shared" si="21"/>
        <v>4004539.2878</v>
      </c>
      <c r="E124" s="5" t="str">
        <f t="shared" si="22"/>
        <v>18/19</v>
      </c>
      <c r="F124" s="5" t="str">
        <f t="shared" si="12"/>
        <v>Dec</v>
      </c>
      <c r="G124" s="5" t="str">
        <f t="shared" si="13"/>
        <v>Dec'18/19</v>
      </c>
      <c r="H124" s="5" t="str">
        <f t="shared" si="17"/>
        <v>Dec'18/19</v>
      </c>
      <c r="I124" s="5">
        <f t="shared" si="18"/>
        <v>35.637358982599999</v>
      </c>
    </row>
    <row r="125" spans="2:9" x14ac:dyDescent="0.55000000000000004">
      <c r="B125" s="5">
        <f t="shared" si="19"/>
        <v>5</v>
      </c>
      <c r="C125" s="5">
        <f t="shared" si="20"/>
        <v>4</v>
      </c>
      <c r="D125" s="24">
        <f t="shared" si="21"/>
        <v>3470505.8177999998</v>
      </c>
      <c r="E125" s="5" t="str">
        <f t="shared" si="22"/>
        <v>18/19</v>
      </c>
      <c r="F125" s="5" t="str">
        <f t="shared" si="12"/>
        <v>Jan</v>
      </c>
      <c r="G125" s="5" t="str">
        <f t="shared" si="13"/>
        <v>Jan'18/19</v>
      </c>
      <c r="H125" s="5" t="str">
        <f t="shared" si="17"/>
        <v>Jan'18/19</v>
      </c>
      <c r="I125" s="5">
        <f t="shared" si="18"/>
        <v>36.387928415799998</v>
      </c>
    </row>
    <row r="126" spans="2:9" x14ac:dyDescent="0.55000000000000004">
      <c r="B126" s="5">
        <f t="shared" si="19"/>
        <v>5</v>
      </c>
      <c r="C126" s="5">
        <f t="shared" si="20"/>
        <v>5</v>
      </c>
      <c r="D126" s="24">
        <f t="shared" si="21"/>
        <v>3574654.8465999998</v>
      </c>
      <c r="E126" s="5" t="str">
        <f t="shared" si="22"/>
        <v>18/19</v>
      </c>
      <c r="F126" s="5" t="str">
        <f t="shared" si="12"/>
        <v>Feb</v>
      </c>
      <c r="G126" s="5" t="str">
        <f t="shared" si="13"/>
        <v>Feb'18/19</v>
      </c>
      <c r="H126" s="5" t="str">
        <f t="shared" si="17"/>
        <v>Feb'18/19</v>
      </c>
      <c r="I126" s="5">
        <f t="shared" si="18"/>
        <v>37.450994901199998</v>
      </c>
    </row>
    <row r="127" spans="2:9" x14ac:dyDescent="0.55000000000000004">
      <c r="B127" s="5">
        <f t="shared" si="19"/>
        <v>5</v>
      </c>
      <c r="C127" s="5">
        <f t="shared" si="20"/>
        <v>6</v>
      </c>
      <c r="D127" s="24">
        <f t="shared" si="21"/>
        <v>3117169.6312000002</v>
      </c>
      <c r="E127" s="5" t="str">
        <f t="shared" si="22"/>
        <v>18/19</v>
      </c>
      <c r="F127" s="5" t="str">
        <f t="shared" si="12"/>
        <v>Mar</v>
      </c>
      <c r="G127" s="5" t="str">
        <f t="shared" si="13"/>
        <v>Mar'18/19</v>
      </c>
      <c r="H127" s="5" t="str">
        <f t="shared" si="17"/>
        <v>Mar'18/19</v>
      </c>
      <c r="I127" s="5">
        <f t="shared" si="18"/>
        <v>37.869800122000001</v>
      </c>
    </row>
    <row r="128" spans="2:9" x14ac:dyDescent="0.55000000000000004">
      <c r="B128" s="5">
        <f t="shared" si="19"/>
        <v>5</v>
      </c>
      <c r="C128" s="5">
        <f t="shared" si="20"/>
        <v>7</v>
      </c>
      <c r="D128" s="24">
        <f t="shared" si="21"/>
        <v>3267213.6825999999</v>
      </c>
      <c r="E128" s="5" t="str">
        <f t="shared" si="22"/>
        <v>18/19</v>
      </c>
      <c r="F128" s="5" t="str">
        <f t="shared" si="12"/>
        <v>Apr</v>
      </c>
      <c r="G128" s="5" t="str">
        <f t="shared" si="13"/>
        <v>Apr'18/19</v>
      </c>
      <c r="H128" s="5" t="str">
        <f t="shared" si="17"/>
        <v>Apr'18/19</v>
      </c>
      <c r="I128" s="5">
        <f t="shared" si="18"/>
        <v>38.7482589436</v>
      </c>
    </row>
    <row r="129" spans="2:9" x14ac:dyDescent="0.55000000000000004">
      <c r="B129" s="5">
        <f t="shared" si="19"/>
        <v>5</v>
      </c>
      <c r="C129" s="5">
        <f t="shared" si="20"/>
        <v>8</v>
      </c>
      <c r="D129" s="24">
        <f t="shared" si="21"/>
        <v>3886596.1047999999</v>
      </c>
      <c r="E129" s="5" t="str">
        <f t="shared" si="22"/>
        <v>18/19</v>
      </c>
      <c r="F129" s="5" t="str">
        <f t="shared" si="12"/>
        <v>May</v>
      </c>
      <c r="G129" s="5" t="str">
        <f t="shared" si="13"/>
        <v>May'18/19</v>
      </c>
      <c r="H129" s="5" t="str">
        <f t="shared" si="17"/>
        <v>May'18/19</v>
      </c>
      <c r="I129" s="5">
        <f t="shared" si="18"/>
        <v>40.905600641399992</v>
      </c>
    </row>
    <row r="130" spans="2:9" x14ac:dyDescent="0.55000000000000004">
      <c r="B130" s="5">
        <f t="shared" si="19"/>
        <v>5</v>
      </c>
      <c r="C130" s="5">
        <f t="shared" si="20"/>
        <v>9</v>
      </c>
      <c r="D130" s="24">
        <f t="shared" si="21"/>
        <v>3102695.8480000002</v>
      </c>
      <c r="E130" s="5" t="str">
        <f t="shared" si="22"/>
        <v>18/19</v>
      </c>
      <c r="F130" s="5" t="str">
        <f t="shared" si="12"/>
        <v>Jun</v>
      </c>
      <c r="G130" s="5" t="str">
        <f t="shared" si="13"/>
        <v>Jun'18/19</v>
      </c>
      <c r="H130" s="5" t="str">
        <f t="shared" si="17"/>
        <v>Jun'18/19</v>
      </c>
      <c r="I130" s="5">
        <f t="shared" si="18"/>
        <v>41.424682096199994</v>
      </c>
    </row>
    <row r="131" spans="2:9" x14ac:dyDescent="0.55000000000000004">
      <c r="B131" s="5">
        <f t="shared" si="19"/>
        <v>5</v>
      </c>
      <c r="C131" s="5">
        <f t="shared" si="20"/>
        <v>10</v>
      </c>
      <c r="D131" s="24">
        <f t="shared" si="21"/>
        <v>3390434.1798</v>
      </c>
      <c r="E131" s="5" t="str">
        <f t="shared" si="22"/>
        <v>18/19</v>
      </c>
      <c r="F131" s="5" t="str">
        <f t="shared" si="12"/>
        <v>Jul</v>
      </c>
      <c r="G131" s="5" t="str">
        <f t="shared" si="13"/>
        <v>Jul'18/19</v>
      </c>
      <c r="H131" s="5" t="str">
        <f t="shared" si="17"/>
        <v>Jul'18/19</v>
      </c>
      <c r="I131" s="5">
        <f t="shared" si="18"/>
        <v>42.349687574599997</v>
      </c>
    </row>
    <row r="132" spans="2:9" x14ac:dyDescent="0.55000000000000004">
      <c r="B132" s="5">
        <f t="shared" si="19"/>
        <v>5</v>
      </c>
      <c r="C132" s="5">
        <f t="shared" si="20"/>
        <v>11</v>
      </c>
      <c r="D132" s="24">
        <f t="shared" si="21"/>
        <v>3368913.6296000001</v>
      </c>
      <c r="E132" s="5" t="str">
        <f t="shared" si="22"/>
        <v>18/19</v>
      </c>
      <c r="F132" s="5" t="str">
        <f t="shared" si="12"/>
        <v>Aug</v>
      </c>
      <c r="G132" s="5" t="str">
        <f t="shared" si="13"/>
        <v>Aug'18/19</v>
      </c>
      <c r="H132" s="5" t="str">
        <f t="shared" si="17"/>
        <v>Aug'18/19</v>
      </c>
      <c r="I132" s="5">
        <f t="shared" si="18"/>
        <v>42.174217804599998</v>
      </c>
    </row>
    <row r="133" spans="2:9" x14ac:dyDescent="0.55000000000000004">
      <c r="B133" s="5">
        <f t="shared" si="19"/>
        <v>5</v>
      </c>
      <c r="C133" s="5">
        <f t="shared" si="20"/>
        <v>12</v>
      </c>
      <c r="D133" s="24">
        <f t="shared" si="21"/>
        <v>3495386.5614</v>
      </c>
      <c r="E133" s="5" t="str">
        <f t="shared" si="22"/>
        <v>18/19</v>
      </c>
      <c r="F133" s="5" t="str">
        <f t="shared" si="12"/>
        <v>Sep</v>
      </c>
      <c r="G133" s="5" t="str">
        <f t="shared" si="13"/>
        <v>Sep'18/19</v>
      </c>
      <c r="H133" s="5" t="str">
        <f t="shared" si="17"/>
        <v>Sep'18/19</v>
      </c>
      <c r="I133" s="5">
        <f t="shared" si="18"/>
        <v>42.518824156400008</v>
      </c>
    </row>
    <row r="134" spans="2:9" x14ac:dyDescent="0.55000000000000004">
      <c r="B134" s="5">
        <f t="shared" si="19"/>
        <v>6</v>
      </c>
      <c r="C134" s="5">
        <f t="shared" si="20"/>
        <v>1</v>
      </c>
      <c r="D134" s="24">
        <f t="shared" si="21"/>
        <v>3670113.2012</v>
      </c>
      <c r="E134" s="5" t="str">
        <f t="shared" si="22"/>
        <v>19/20</v>
      </c>
      <c r="F134" s="5" t="str">
        <f t="shared" si="12"/>
        <v>Oct</v>
      </c>
      <c r="G134" s="5" t="str">
        <f t="shared" si="13"/>
        <v>Oct'19/20</v>
      </c>
      <c r="H134" s="5" t="str">
        <f t="shared" si="17"/>
        <v>Oct'19/20</v>
      </c>
      <c r="I134" s="5">
        <f t="shared" si="18"/>
        <v>42.251078307</v>
      </c>
    </row>
    <row r="135" spans="2:9" x14ac:dyDescent="0.55000000000000004">
      <c r="B135" s="5">
        <f t="shared" si="19"/>
        <v>6</v>
      </c>
      <c r="C135" s="5">
        <f t="shared" si="20"/>
        <v>2</v>
      </c>
      <c r="D135" s="24">
        <f t="shared" si="21"/>
        <v>3281473.3001999999</v>
      </c>
      <c r="E135" s="5" t="str">
        <f t="shared" si="22"/>
        <v>19/20</v>
      </c>
      <c r="F135" s="5" t="str">
        <f t="shared" si="12"/>
        <v>Nov</v>
      </c>
      <c r="G135" s="5" t="str">
        <f t="shared" si="13"/>
        <v>Nov'19/20</v>
      </c>
      <c r="H135" s="5" t="str">
        <f t="shared" si="17"/>
        <v>Nov'19/20</v>
      </c>
      <c r="I135" s="5">
        <f t="shared" si="18"/>
        <v>41.629696091</v>
      </c>
    </row>
    <row r="136" spans="2:9" x14ac:dyDescent="0.55000000000000004">
      <c r="B136" s="5">
        <f t="shared" si="19"/>
        <v>6</v>
      </c>
      <c r="C136" s="5">
        <f t="shared" si="20"/>
        <v>3</v>
      </c>
      <c r="D136" s="24">
        <f t="shared" si="21"/>
        <v>3072707.0425999998</v>
      </c>
      <c r="E136" s="5" t="str">
        <f t="shared" si="22"/>
        <v>19/20</v>
      </c>
      <c r="F136" s="5" t="str">
        <f t="shared" si="12"/>
        <v>Dec</v>
      </c>
      <c r="G136" s="5" t="str">
        <f t="shared" si="13"/>
        <v>Dec'19/20</v>
      </c>
      <c r="H136" s="5" t="str">
        <f t="shared" si="17"/>
        <v>Dec'19/20</v>
      </c>
      <c r="I136" s="5">
        <f t="shared" si="18"/>
        <v>40.697863845800001</v>
      </c>
    </row>
    <row r="137" spans="2:9" x14ac:dyDescent="0.55000000000000004">
      <c r="B137" s="5">
        <f t="shared" si="19"/>
        <v>6</v>
      </c>
      <c r="C137" s="5">
        <f t="shared" si="20"/>
        <v>4</v>
      </c>
      <c r="D137" s="24">
        <f t="shared" si="21"/>
        <v>3474087.4794000001</v>
      </c>
      <c r="E137" s="5" t="str">
        <f t="shared" si="22"/>
        <v>19/20</v>
      </c>
      <c r="F137" s="5" t="str">
        <f t="shared" si="12"/>
        <v>Jan</v>
      </c>
      <c r="G137" s="5" t="str">
        <f t="shared" si="13"/>
        <v>Jan'19/20</v>
      </c>
      <c r="H137" s="5" t="str">
        <f t="shared" si="17"/>
        <v>Jan'19/20</v>
      </c>
      <c r="I137" s="5">
        <f t="shared" si="18"/>
        <v>40.701445507399995</v>
      </c>
    </row>
    <row r="138" spans="2:9" x14ac:dyDescent="0.55000000000000004">
      <c r="B138" s="5">
        <f t="shared" si="19"/>
        <v>6</v>
      </c>
      <c r="C138" s="5">
        <f t="shared" si="20"/>
        <v>5</v>
      </c>
      <c r="D138" s="24">
        <f t="shared" ref="D138:D169" si="23">INDEX($C$7:$N$19,MATCH(B138,$A$7:$A$19),MATCH(C138,$C$4:$N$4))</f>
        <v>3007658.7954000002</v>
      </c>
      <c r="E138" s="5" t="str">
        <f t="shared" ref="E138:E169" si="24">_xlfn.XLOOKUP(B138,$A$7:$A$19,$B$7:$B$19)</f>
        <v>19/20</v>
      </c>
      <c r="F138" s="5" t="str">
        <f t="shared" si="12"/>
        <v>Feb</v>
      </c>
      <c r="G138" s="5" t="str">
        <f t="shared" si="13"/>
        <v>Feb'19/20</v>
      </c>
      <c r="H138" s="5" t="str">
        <f t="shared" si="17"/>
        <v>Feb'19/20</v>
      </c>
      <c r="I138" s="5">
        <f t="shared" si="18"/>
        <v>40.134449456200002</v>
      </c>
    </row>
    <row r="139" spans="2:9" x14ac:dyDescent="0.55000000000000004">
      <c r="B139" s="5">
        <f t="shared" si="19"/>
        <v>6</v>
      </c>
      <c r="C139" s="5">
        <f t="shared" si="20"/>
        <v>6</v>
      </c>
      <c r="D139" s="24">
        <f t="shared" si="23"/>
        <v>3493433.0885999999</v>
      </c>
      <c r="E139" s="5" t="str">
        <f t="shared" si="24"/>
        <v>19/20</v>
      </c>
      <c r="F139" s="5" t="str">
        <f t="shared" ref="F139:F202" si="25">_xlfn.XLOOKUP(C139,$C$4:$N$4,$C$6:$N$6)</f>
        <v>Mar</v>
      </c>
      <c r="G139" s="5" t="str">
        <f t="shared" ref="G139:G202" si="26">_xlfn.CONCAT(F139,"'",E139)</f>
        <v>Mar'19/20</v>
      </c>
      <c r="H139" s="5" t="str">
        <f t="shared" si="17"/>
        <v>Mar'19/20</v>
      </c>
      <c r="I139" s="5">
        <f t="shared" si="18"/>
        <v>40.510712913600003</v>
      </c>
    </row>
    <row r="140" spans="2:9" x14ac:dyDescent="0.55000000000000004">
      <c r="B140" s="5">
        <f t="shared" si="19"/>
        <v>6</v>
      </c>
      <c r="C140" s="5">
        <f t="shared" si="20"/>
        <v>7</v>
      </c>
      <c r="D140" s="24">
        <f t="shared" si="23"/>
        <v>3599225.8709999998</v>
      </c>
      <c r="E140" s="5" t="str">
        <f t="shared" si="24"/>
        <v>19/20</v>
      </c>
      <c r="F140" s="5" t="str">
        <f t="shared" si="25"/>
        <v>Apr</v>
      </c>
      <c r="G140" s="5" t="str">
        <f t="shared" si="26"/>
        <v>Apr'19/20</v>
      </c>
      <c r="H140" s="5" t="str">
        <f t="shared" si="17"/>
        <v>Apr'19/20</v>
      </c>
      <c r="I140" s="5">
        <f t="shared" si="18"/>
        <v>40.842725102000003</v>
      </c>
    </row>
    <row r="141" spans="2:9" x14ac:dyDescent="0.55000000000000004">
      <c r="B141" s="5">
        <f t="shared" si="19"/>
        <v>6</v>
      </c>
      <c r="C141" s="5">
        <f t="shared" si="20"/>
        <v>8</v>
      </c>
      <c r="D141" s="24">
        <f t="shared" si="23"/>
        <v>3282032.1993999998</v>
      </c>
      <c r="E141" s="5" t="str">
        <f t="shared" si="24"/>
        <v>19/20</v>
      </c>
      <c r="F141" s="5" t="str">
        <f t="shared" si="25"/>
        <v>May</v>
      </c>
      <c r="G141" s="5" t="str">
        <f t="shared" si="26"/>
        <v>May'19/20</v>
      </c>
      <c r="H141" s="5" t="str">
        <f t="shared" si="17"/>
        <v>May'19/20</v>
      </c>
      <c r="I141" s="5">
        <f t="shared" si="18"/>
        <v>40.238161196600004</v>
      </c>
    </row>
    <row r="142" spans="2:9" x14ac:dyDescent="0.55000000000000004">
      <c r="B142" s="5">
        <f t="shared" si="19"/>
        <v>6</v>
      </c>
      <c r="C142" s="5">
        <f t="shared" si="20"/>
        <v>9</v>
      </c>
      <c r="D142" s="24">
        <f t="shared" si="23"/>
        <v>3075571.5262000002</v>
      </c>
      <c r="E142" s="5" t="str">
        <f t="shared" si="24"/>
        <v>19/20</v>
      </c>
      <c r="F142" s="5" t="str">
        <f t="shared" si="25"/>
        <v>Jun</v>
      </c>
      <c r="G142" s="5" t="str">
        <f t="shared" si="26"/>
        <v>Jun'19/20</v>
      </c>
      <c r="H142" s="5" t="str">
        <f t="shared" si="17"/>
        <v>Jun'19/20</v>
      </c>
      <c r="I142" s="5">
        <f t="shared" si="18"/>
        <v>40.211036874799994</v>
      </c>
    </row>
    <row r="143" spans="2:9" x14ac:dyDescent="0.55000000000000004">
      <c r="B143" s="5">
        <f t="shared" si="19"/>
        <v>6</v>
      </c>
      <c r="C143" s="5">
        <f t="shared" si="20"/>
        <v>10</v>
      </c>
      <c r="D143" s="24">
        <f t="shared" si="23"/>
        <v>3242242.1192000001</v>
      </c>
      <c r="E143" s="5" t="str">
        <f t="shared" si="24"/>
        <v>19/20</v>
      </c>
      <c r="F143" s="5" t="str">
        <f t="shared" si="25"/>
        <v>Jul</v>
      </c>
      <c r="G143" s="5" t="str">
        <f t="shared" si="26"/>
        <v>Jul'19/20</v>
      </c>
      <c r="H143" s="5" t="str">
        <f t="shared" si="17"/>
        <v>Jul'19/20</v>
      </c>
      <c r="I143" s="5">
        <f t="shared" si="18"/>
        <v>40.062844814199991</v>
      </c>
    </row>
    <row r="144" spans="2:9" x14ac:dyDescent="0.55000000000000004">
      <c r="B144" s="5">
        <f t="shared" si="19"/>
        <v>6</v>
      </c>
      <c r="C144" s="5">
        <f t="shared" si="20"/>
        <v>11</v>
      </c>
      <c r="D144" s="24">
        <f t="shared" si="23"/>
        <v>3574279.8295999998</v>
      </c>
      <c r="E144" s="5" t="str">
        <f t="shared" si="24"/>
        <v>19/20</v>
      </c>
      <c r="F144" s="5" t="str">
        <f t="shared" si="25"/>
        <v>Aug</v>
      </c>
      <c r="G144" s="5" t="str">
        <f t="shared" si="26"/>
        <v>Aug'19/20</v>
      </c>
      <c r="H144" s="5" t="str">
        <f t="shared" si="17"/>
        <v>Aug'19/20</v>
      </c>
      <c r="I144" s="5">
        <f t="shared" si="18"/>
        <v>40.268211014199998</v>
      </c>
    </row>
    <row r="145" spans="2:9" x14ac:dyDescent="0.55000000000000004">
      <c r="B145" s="5">
        <f t="shared" si="19"/>
        <v>6</v>
      </c>
      <c r="C145" s="5">
        <f t="shared" si="20"/>
        <v>12</v>
      </c>
      <c r="D145" s="24">
        <f t="shared" si="23"/>
        <v>4232364.8622000003</v>
      </c>
      <c r="E145" s="5" t="str">
        <f t="shared" si="24"/>
        <v>19/20</v>
      </c>
      <c r="F145" s="5" t="str">
        <f t="shared" si="25"/>
        <v>Sep</v>
      </c>
      <c r="G145" s="5" t="str">
        <f t="shared" si="26"/>
        <v>Sep'19/20</v>
      </c>
      <c r="H145" s="5" t="str">
        <f t="shared" si="17"/>
        <v>Sep'19/20</v>
      </c>
      <c r="I145" s="5">
        <f t="shared" si="18"/>
        <v>41.005189314999996</v>
      </c>
    </row>
    <row r="146" spans="2:9" x14ac:dyDescent="0.55000000000000004">
      <c r="B146" s="5">
        <f t="shared" si="19"/>
        <v>7</v>
      </c>
      <c r="C146" s="5">
        <f t="shared" si="20"/>
        <v>1</v>
      </c>
      <c r="D146" s="24">
        <f t="shared" si="23"/>
        <v>4504376.8364000004</v>
      </c>
      <c r="E146" s="5" t="str">
        <f t="shared" si="24"/>
        <v>20/21</v>
      </c>
      <c r="F146" s="5" t="str">
        <f t="shared" si="25"/>
        <v>Oct</v>
      </c>
      <c r="G146" s="5" t="str">
        <f t="shared" si="26"/>
        <v>Oct'20/21</v>
      </c>
      <c r="H146" s="5" t="str">
        <f t="shared" si="17"/>
        <v>Oct'20/21</v>
      </c>
      <c r="I146" s="5">
        <f t="shared" si="18"/>
        <v>41.839452950200005</v>
      </c>
    </row>
    <row r="147" spans="2:9" x14ac:dyDescent="0.55000000000000004">
      <c r="B147" s="5">
        <f t="shared" si="19"/>
        <v>7</v>
      </c>
      <c r="C147" s="5">
        <f t="shared" si="20"/>
        <v>2</v>
      </c>
      <c r="D147" s="24">
        <f t="shared" si="23"/>
        <v>4770005.2665999997</v>
      </c>
      <c r="E147" s="5" t="str">
        <f t="shared" si="24"/>
        <v>20/21</v>
      </c>
      <c r="F147" s="5" t="str">
        <f t="shared" si="25"/>
        <v>Nov</v>
      </c>
      <c r="G147" s="5" t="str">
        <f t="shared" si="26"/>
        <v>Nov'20/21</v>
      </c>
      <c r="H147" s="5" t="str">
        <f t="shared" si="17"/>
        <v>Nov'20/21</v>
      </c>
      <c r="I147" s="5">
        <f t="shared" si="18"/>
        <v>43.327984916599995</v>
      </c>
    </row>
    <row r="148" spans="2:9" x14ac:dyDescent="0.55000000000000004">
      <c r="B148" s="5">
        <f t="shared" si="19"/>
        <v>7</v>
      </c>
      <c r="C148" s="5">
        <f t="shared" si="20"/>
        <v>3</v>
      </c>
      <c r="D148" s="24">
        <f t="shared" si="23"/>
        <v>4409066.4818000002</v>
      </c>
      <c r="E148" s="5" t="str">
        <f t="shared" si="24"/>
        <v>20/21</v>
      </c>
      <c r="F148" s="5" t="str">
        <f t="shared" si="25"/>
        <v>Dec</v>
      </c>
      <c r="G148" s="5" t="str">
        <f t="shared" si="26"/>
        <v>Dec'20/21</v>
      </c>
      <c r="H148" s="5" t="str">
        <f t="shared" si="17"/>
        <v>Dec'20/21</v>
      </c>
      <c r="I148" s="5">
        <f t="shared" si="18"/>
        <v>44.664344355799997</v>
      </c>
    </row>
    <row r="149" spans="2:9" x14ac:dyDescent="0.55000000000000004">
      <c r="B149" s="5">
        <f t="shared" si="19"/>
        <v>7</v>
      </c>
      <c r="C149" s="5">
        <f t="shared" si="20"/>
        <v>4</v>
      </c>
      <c r="D149" s="24">
        <f t="shared" si="23"/>
        <v>3657291.2108</v>
      </c>
      <c r="E149" s="5" t="str">
        <f t="shared" si="24"/>
        <v>20/21</v>
      </c>
      <c r="F149" s="5" t="str">
        <f t="shared" si="25"/>
        <v>Jan</v>
      </c>
      <c r="G149" s="5" t="str">
        <f t="shared" si="26"/>
        <v>Jan'20/21</v>
      </c>
      <c r="H149" s="5" t="str">
        <f t="shared" si="17"/>
        <v>Jan'20/21</v>
      </c>
      <c r="I149" s="5">
        <f t="shared" si="18"/>
        <v>44.847548087199996</v>
      </c>
    </row>
    <row r="150" spans="2:9" x14ac:dyDescent="0.55000000000000004">
      <c r="B150" s="5">
        <f t="shared" si="19"/>
        <v>7</v>
      </c>
      <c r="C150" s="5">
        <f t="shared" si="20"/>
        <v>5</v>
      </c>
      <c r="D150" s="24">
        <f t="shared" si="23"/>
        <v>3972949.6107999999</v>
      </c>
      <c r="E150" s="5" t="str">
        <f t="shared" si="24"/>
        <v>20/21</v>
      </c>
      <c r="F150" s="5" t="str">
        <f t="shared" si="25"/>
        <v>Feb</v>
      </c>
      <c r="G150" s="5" t="str">
        <f t="shared" si="26"/>
        <v>Feb'20/21</v>
      </c>
      <c r="H150" s="5" t="str">
        <f t="shared" ref="H150:H213" si="27">G150</f>
        <v>Feb'20/21</v>
      </c>
      <c r="I150" s="5">
        <f t="shared" ref="I150:I213" si="28">SUM(D139:D150)/1000000</f>
        <v>45.812838902599992</v>
      </c>
    </row>
    <row r="151" spans="2:9" x14ac:dyDescent="0.55000000000000004">
      <c r="B151" s="5">
        <f t="shared" ref="B151:B214" si="29">B139+1</f>
        <v>7</v>
      </c>
      <c r="C151" s="5">
        <f t="shared" ref="C151:C214" si="30">C139</f>
        <v>6</v>
      </c>
      <c r="D151" s="24">
        <f t="shared" si="23"/>
        <v>3833416.5669999998</v>
      </c>
      <c r="E151" s="5" t="str">
        <f t="shared" si="24"/>
        <v>20/21</v>
      </c>
      <c r="F151" s="5" t="str">
        <f t="shared" si="25"/>
        <v>Mar</v>
      </c>
      <c r="G151" s="5" t="str">
        <f t="shared" si="26"/>
        <v>Mar'20/21</v>
      </c>
      <c r="H151" s="5" t="str">
        <f t="shared" si="27"/>
        <v>Mar'20/21</v>
      </c>
      <c r="I151" s="5">
        <f t="shared" si="28"/>
        <v>46.152822381</v>
      </c>
    </row>
    <row r="152" spans="2:9" x14ac:dyDescent="0.55000000000000004">
      <c r="B152" s="5">
        <f t="shared" si="29"/>
        <v>7</v>
      </c>
      <c r="C152" s="5">
        <f t="shared" si="30"/>
        <v>7</v>
      </c>
      <c r="D152" s="24">
        <f t="shared" si="23"/>
        <v>3575943.6504000002</v>
      </c>
      <c r="E152" s="5" t="str">
        <f t="shared" si="24"/>
        <v>20/21</v>
      </c>
      <c r="F152" s="5" t="str">
        <f t="shared" si="25"/>
        <v>Apr</v>
      </c>
      <c r="G152" s="5" t="str">
        <f t="shared" si="26"/>
        <v>Apr'20/21</v>
      </c>
      <c r="H152" s="5" t="str">
        <f t="shared" si="27"/>
        <v>Apr'20/21</v>
      </c>
      <c r="I152" s="5">
        <f t="shared" si="28"/>
        <v>46.129540160400005</v>
      </c>
    </row>
    <row r="153" spans="2:9" x14ac:dyDescent="0.55000000000000004">
      <c r="B153" s="5">
        <f t="shared" si="29"/>
        <v>7</v>
      </c>
      <c r="C153" s="5">
        <f t="shared" si="30"/>
        <v>8</v>
      </c>
      <c r="D153" s="24">
        <f t="shared" si="23"/>
        <v>3443874.4443999999</v>
      </c>
      <c r="E153" s="5" t="str">
        <f t="shared" si="24"/>
        <v>20/21</v>
      </c>
      <c r="F153" s="5" t="str">
        <f t="shared" si="25"/>
        <v>May</v>
      </c>
      <c r="G153" s="5" t="str">
        <f t="shared" si="26"/>
        <v>May'20/21</v>
      </c>
      <c r="H153" s="5" t="str">
        <f t="shared" si="27"/>
        <v>May'20/21</v>
      </c>
      <c r="I153" s="5">
        <f t="shared" si="28"/>
        <v>46.2913824054</v>
      </c>
    </row>
    <row r="154" spans="2:9" x14ac:dyDescent="0.55000000000000004">
      <c r="B154" s="5">
        <f t="shared" si="29"/>
        <v>7</v>
      </c>
      <c r="C154" s="5">
        <f t="shared" si="30"/>
        <v>9</v>
      </c>
      <c r="D154" s="24">
        <f t="shared" si="23"/>
        <v>3210269.5298000001</v>
      </c>
      <c r="E154" s="5" t="str">
        <f t="shared" si="24"/>
        <v>20/21</v>
      </c>
      <c r="F154" s="5" t="str">
        <f t="shared" si="25"/>
        <v>Jun</v>
      </c>
      <c r="G154" s="5" t="str">
        <f t="shared" si="26"/>
        <v>Jun'20/21</v>
      </c>
      <c r="H154" s="5" t="str">
        <f t="shared" si="27"/>
        <v>Jun'20/21</v>
      </c>
      <c r="I154" s="5">
        <f t="shared" si="28"/>
        <v>46.426080408999994</v>
      </c>
    </row>
    <row r="155" spans="2:9" x14ac:dyDescent="0.55000000000000004">
      <c r="B155" s="5">
        <f t="shared" si="29"/>
        <v>7</v>
      </c>
      <c r="C155" s="5">
        <f t="shared" si="30"/>
        <v>10</v>
      </c>
      <c r="D155" s="24">
        <f t="shared" si="23"/>
        <v>2813525.1768999998</v>
      </c>
      <c r="E155" s="5" t="str">
        <f t="shared" si="24"/>
        <v>20/21</v>
      </c>
      <c r="F155" s="5" t="str">
        <f t="shared" si="25"/>
        <v>Jul</v>
      </c>
      <c r="G155" s="5" t="str">
        <f t="shared" si="26"/>
        <v>Jul'20/21</v>
      </c>
      <c r="H155" s="5" t="str">
        <f t="shared" si="27"/>
        <v>Jul'20/21</v>
      </c>
      <c r="I155" s="5">
        <f t="shared" si="28"/>
        <v>45.997363466699994</v>
      </c>
    </row>
    <row r="156" spans="2:9" x14ac:dyDescent="0.55000000000000004">
      <c r="B156" s="5">
        <f t="shared" si="29"/>
        <v>7</v>
      </c>
      <c r="C156" s="5">
        <f t="shared" si="30"/>
        <v>11</v>
      </c>
      <c r="D156" s="24">
        <f t="shared" si="23"/>
        <v>2859143.2895999998</v>
      </c>
      <c r="E156" s="5" t="str">
        <f t="shared" si="24"/>
        <v>20/21</v>
      </c>
      <c r="F156" s="5" t="str">
        <f t="shared" si="25"/>
        <v>Aug</v>
      </c>
      <c r="G156" s="5" t="str">
        <f t="shared" si="26"/>
        <v>Aug'20/21</v>
      </c>
      <c r="H156" s="5" t="str">
        <f t="shared" si="27"/>
        <v>Aug'20/21</v>
      </c>
      <c r="I156" s="5">
        <f t="shared" si="28"/>
        <v>45.282226926700005</v>
      </c>
    </row>
    <row r="157" spans="2:9" x14ac:dyDescent="0.55000000000000004">
      <c r="B157" s="5">
        <f t="shared" si="29"/>
        <v>7</v>
      </c>
      <c r="C157" s="5">
        <f t="shared" si="30"/>
        <v>12</v>
      </c>
      <c r="D157" s="24">
        <f t="shared" si="23"/>
        <v>3291463.0134999999</v>
      </c>
      <c r="E157" s="5" t="str">
        <f t="shared" si="24"/>
        <v>20/21</v>
      </c>
      <c r="F157" s="5" t="str">
        <f t="shared" si="25"/>
        <v>Sep</v>
      </c>
      <c r="G157" s="5" t="str">
        <f t="shared" si="26"/>
        <v>Sep'20/21</v>
      </c>
      <c r="H157" s="5" t="str">
        <f t="shared" si="27"/>
        <v>Sep'20/21</v>
      </c>
      <c r="I157" s="5">
        <f t="shared" si="28"/>
        <v>44.341325078000004</v>
      </c>
    </row>
    <row r="158" spans="2:9" x14ac:dyDescent="0.55000000000000004">
      <c r="B158" s="5">
        <f t="shared" si="29"/>
        <v>8</v>
      </c>
      <c r="C158" s="5">
        <f t="shared" si="30"/>
        <v>1</v>
      </c>
      <c r="D158" s="24">
        <f t="shared" si="23"/>
        <v>3289593.2513000001</v>
      </c>
      <c r="E158" s="5" t="str">
        <f t="shared" si="24"/>
        <v>21/22</v>
      </c>
      <c r="F158" s="5" t="str">
        <f t="shared" si="25"/>
        <v>Oct</v>
      </c>
      <c r="G158" s="5" t="str">
        <f t="shared" si="26"/>
        <v>Oct'21/22</v>
      </c>
      <c r="H158" s="5" t="str">
        <f t="shared" si="27"/>
        <v>Oct'21/22</v>
      </c>
      <c r="I158" s="5">
        <f t="shared" si="28"/>
        <v>43.126541492900003</v>
      </c>
    </row>
    <row r="159" spans="2:9" x14ac:dyDescent="0.55000000000000004">
      <c r="B159" s="5">
        <f t="shared" si="29"/>
        <v>8</v>
      </c>
      <c r="C159" s="5">
        <f t="shared" si="30"/>
        <v>2</v>
      </c>
      <c r="D159" s="24">
        <f t="shared" si="23"/>
        <v>3257808.9846000001</v>
      </c>
      <c r="E159" s="5" t="str">
        <f t="shared" si="24"/>
        <v>21/22</v>
      </c>
      <c r="F159" s="5" t="str">
        <f t="shared" si="25"/>
        <v>Nov</v>
      </c>
      <c r="G159" s="5" t="str">
        <f t="shared" si="26"/>
        <v>Nov'21/22</v>
      </c>
      <c r="H159" s="5" t="str">
        <f t="shared" si="27"/>
        <v>Nov'21/22</v>
      </c>
      <c r="I159" s="5">
        <f t="shared" si="28"/>
        <v>41.614345210899998</v>
      </c>
    </row>
    <row r="160" spans="2:9" x14ac:dyDescent="0.55000000000000004">
      <c r="B160" s="5">
        <f t="shared" si="29"/>
        <v>8</v>
      </c>
      <c r="C160" s="5">
        <f t="shared" si="30"/>
        <v>3</v>
      </c>
      <c r="D160" s="24">
        <f t="shared" si="23"/>
        <v>3944334.0693000001</v>
      </c>
      <c r="E160" s="5" t="str">
        <f t="shared" si="24"/>
        <v>21/22</v>
      </c>
      <c r="F160" s="5" t="str">
        <f t="shared" si="25"/>
        <v>Dec</v>
      </c>
      <c r="G160" s="5" t="str">
        <f t="shared" si="26"/>
        <v>Dec'21/22</v>
      </c>
      <c r="H160" s="5" t="str">
        <f t="shared" si="27"/>
        <v>Dec'21/22</v>
      </c>
      <c r="I160" s="5">
        <f t="shared" si="28"/>
        <v>41.149612798400007</v>
      </c>
    </row>
    <row r="161" spans="2:9" x14ac:dyDescent="0.55000000000000004">
      <c r="B161" s="5">
        <f t="shared" si="29"/>
        <v>8</v>
      </c>
      <c r="C161" s="5">
        <f t="shared" si="30"/>
        <v>4</v>
      </c>
      <c r="D161" s="24">
        <f t="shared" si="23"/>
        <v>3468385.6348999999</v>
      </c>
      <c r="E161" s="5" t="str">
        <f t="shared" si="24"/>
        <v>21/22</v>
      </c>
      <c r="F161" s="5" t="str">
        <f t="shared" si="25"/>
        <v>Jan</v>
      </c>
      <c r="G161" s="5" t="str">
        <f t="shared" si="26"/>
        <v>Jan'21/22</v>
      </c>
      <c r="H161" s="5" t="str">
        <f t="shared" si="27"/>
        <v>Jan'21/22</v>
      </c>
      <c r="I161" s="5">
        <f t="shared" si="28"/>
        <v>40.960707222499998</v>
      </c>
    </row>
    <row r="162" spans="2:9" x14ac:dyDescent="0.55000000000000004">
      <c r="B162" s="5">
        <f t="shared" si="29"/>
        <v>8</v>
      </c>
      <c r="C162" s="5">
        <f t="shared" si="30"/>
        <v>5</v>
      </c>
      <c r="D162" s="24">
        <f t="shared" si="23"/>
        <v>3536274.5621000002</v>
      </c>
      <c r="E162" s="5" t="str">
        <f t="shared" si="24"/>
        <v>21/22</v>
      </c>
      <c r="F162" s="5" t="str">
        <f t="shared" si="25"/>
        <v>Feb</v>
      </c>
      <c r="G162" s="5" t="str">
        <f t="shared" si="26"/>
        <v>Feb'21/22</v>
      </c>
      <c r="H162" s="5" t="str">
        <f t="shared" si="27"/>
        <v>Feb'21/22</v>
      </c>
      <c r="I162" s="5">
        <f t="shared" si="28"/>
        <v>40.524032173800002</v>
      </c>
    </row>
    <row r="163" spans="2:9" x14ac:dyDescent="0.55000000000000004">
      <c r="B163" s="5">
        <f t="shared" si="29"/>
        <v>8</v>
      </c>
      <c r="C163" s="5">
        <f t="shared" si="30"/>
        <v>6</v>
      </c>
      <c r="D163" s="24">
        <f t="shared" si="23"/>
        <v>3891975.7714</v>
      </c>
      <c r="E163" s="5" t="str">
        <f t="shared" si="24"/>
        <v>21/22</v>
      </c>
      <c r="F163" s="5" t="str">
        <f t="shared" si="25"/>
        <v>Mar</v>
      </c>
      <c r="G163" s="5" t="str">
        <f t="shared" si="26"/>
        <v>Mar'21/22</v>
      </c>
      <c r="H163" s="5" t="str">
        <f t="shared" si="27"/>
        <v>Mar'21/22</v>
      </c>
      <c r="I163" s="5">
        <f t="shared" si="28"/>
        <v>40.582591378199993</v>
      </c>
    </row>
    <row r="164" spans="2:9" x14ac:dyDescent="0.55000000000000004">
      <c r="B164" s="5">
        <f t="shared" si="29"/>
        <v>8</v>
      </c>
      <c r="C164" s="5">
        <f t="shared" si="30"/>
        <v>7</v>
      </c>
      <c r="D164" s="24">
        <f t="shared" si="23"/>
        <v>3016609.1283</v>
      </c>
      <c r="E164" s="5" t="str">
        <f t="shared" si="24"/>
        <v>21/22</v>
      </c>
      <c r="F164" s="5" t="str">
        <f t="shared" si="25"/>
        <v>Apr</v>
      </c>
      <c r="G164" s="5" t="str">
        <f t="shared" si="26"/>
        <v>Apr'21/22</v>
      </c>
      <c r="H164" s="5" t="str">
        <f t="shared" si="27"/>
        <v>Apr'21/22</v>
      </c>
      <c r="I164" s="5">
        <f t="shared" si="28"/>
        <v>40.023256856099991</v>
      </c>
    </row>
    <row r="165" spans="2:9" x14ac:dyDescent="0.55000000000000004">
      <c r="B165" s="5">
        <f t="shared" si="29"/>
        <v>8</v>
      </c>
      <c r="C165" s="5">
        <f t="shared" si="30"/>
        <v>8</v>
      </c>
      <c r="D165" s="24">
        <f t="shared" si="23"/>
        <v>2961676.3371000001</v>
      </c>
      <c r="E165" s="5" t="str">
        <f t="shared" si="24"/>
        <v>21/22</v>
      </c>
      <c r="F165" s="5" t="str">
        <f t="shared" si="25"/>
        <v>May</v>
      </c>
      <c r="G165" s="5" t="str">
        <f t="shared" si="26"/>
        <v>May'21/22</v>
      </c>
      <c r="H165" s="5" t="str">
        <f t="shared" si="27"/>
        <v>May'21/22</v>
      </c>
      <c r="I165" s="5">
        <f t="shared" si="28"/>
        <v>39.541058748799998</v>
      </c>
    </row>
    <row r="166" spans="2:9" x14ac:dyDescent="0.55000000000000004">
      <c r="B166" s="5">
        <f t="shared" si="29"/>
        <v>8</v>
      </c>
      <c r="C166" s="5">
        <f t="shared" si="30"/>
        <v>9</v>
      </c>
      <c r="D166" s="24">
        <f t="shared" si="23"/>
        <v>3125362.9914000002</v>
      </c>
      <c r="E166" s="5" t="str">
        <f t="shared" si="24"/>
        <v>21/22</v>
      </c>
      <c r="F166" s="5" t="str">
        <f t="shared" si="25"/>
        <v>Jun</v>
      </c>
      <c r="G166" s="5" t="str">
        <f t="shared" si="26"/>
        <v>Jun'21/22</v>
      </c>
      <c r="H166" s="5" t="str">
        <f t="shared" si="27"/>
        <v>Jun'21/22</v>
      </c>
      <c r="I166" s="5">
        <f t="shared" si="28"/>
        <v>39.456152210400006</v>
      </c>
    </row>
    <row r="167" spans="2:9" x14ac:dyDescent="0.55000000000000004">
      <c r="B167" s="5">
        <f t="shared" si="29"/>
        <v>8</v>
      </c>
      <c r="C167" s="5">
        <f t="shared" si="30"/>
        <v>10</v>
      </c>
      <c r="D167" s="24">
        <f t="shared" si="23"/>
        <v>2752356.7374999998</v>
      </c>
      <c r="E167" s="5" t="str">
        <f t="shared" si="24"/>
        <v>21/22</v>
      </c>
      <c r="F167" s="5" t="str">
        <f t="shared" si="25"/>
        <v>Jul</v>
      </c>
      <c r="G167" s="5" t="str">
        <f t="shared" si="26"/>
        <v>Jul'21/22</v>
      </c>
      <c r="H167" s="5" t="str">
        <f t="shared" si="27"/>
        <v>Jul'21/22</v>
      </c>
      <c r="I167" s="5">
        <f t="shared" si="28"/>
        <v>39.394983771</v>
      </c>
    </row>
    <row r="168" spans="2:9" x14ac:dyDescent="0.55000000000000004">
      <c r="B168" s="5">
        <f t="shared" si="29"/>
        <v>8</v>
      </c>
      <c r="C168" s="5">
        <f t="shared" si="30"/>
        <v>11</v>
      </c>
      <c r="D168" s="24">
        <f t="shared" si="23"/>
        <v>2951452.1353000002</v>
      </c>
      <c r="E168" s="5" t="str">
        <f t="shared" si="24"/>
        <v>21/22</v>
      </c>
      <c r="F168" s="5" t="str">
        <f t="shared" si="25"/>
        <v>Aug</v>
      </c>
      <c r="G168" s="5" t="str">
        <f t="shared" si="26"/>
        <v>Aug'21/22</v>
      </c>
      <c r="H168" s="5" t="str">
        <f t="shared" si="27"/>
        <v>Aug'21/22</v>
      </c>
      <c r="I168" s="5">
        <f t="shared" si="28"/>
        <v>39.487292616700003</v>
      </c>
    </row>
    <row r="169" spans="2:9" x14ac:dyDescent="0.55000000000000004">
      <c r="B169" s="5">
        <f t="shared" si="29"/>
        <v>8</v>
      </c>
      <c r="C169" s="5">
        <f t="shared" si="30"/>
        <v>12</v>
      </c>
      <c r="D169" s="24">
        <f t="shared" si="23"/>
        <v>3444289.5781</v>
      </c>
      <c r="E169" s="5" t="str">
        <f t="shared" si="24"/>
        <v>21/22</v>
      </c>
      <c r="F169" s="5" t="str">
        <f t="shared" si="25"/>
        <v>Sep</v>
      </c>
      <c r="G169" s="5" t="str">
        <f t="shared" si="26"/>
        <v>Sep'21/22</v>
      </c>
      <c r="H169" s="5" t="str">
        <f t="shared" si="27"/>
        <v>Sep'21/22</v>
      </c>
      <c r="I169" s="5">
        <f t="shared" si="28"/>
        <v>39.640119181300008</v>
      </c>
    </row>
    <row r="170" spans="2:9" x14ac:dyDescent="0.55000000000000004">
      <c r="B170" s="5">
        <f t="shared" si="29"/>
        <v>9</v>
      </c>
      <c r="C170" s="5">
        <f t="shared" si="30"/>
        <v>1</v>
      </c>
      <c r="D170" s="24">
        <f t="shared" ref="D170:D201" si="31">INDEX($C$7:$N$19,MATCH(B170,$A$7:$A$19),MATCH(C170,$C$4:$N$4))</f>
        <v>3589378.1941</v>
      </c>
      <c r="E170" s="5" t="str">
        <f t="shared" ref="E170:E201" si="32">_xlfn.XLOOKUP(B170,$A$7:$A$19,$B$7:$B$19)</f>
        <v>22/23</v>
      </c>
      <c r="F170" s="5" t="str">
        <f t="shared" si="25"/>
        <v>Oct</v>
      </c>
      <c r="G170" s="5" t="str">
        <f t="shared" si="26"/>
        <v>Oct'22/23</v>
      </c>
      <c r="H170" s="5" t="str">
        <f t="shared" si="27"/>
        <v>Oct'22/23</v>
      </c>
      <c r="I170" s="5">
        <f t="shared" si="28"/>
        <v>39.939904124099996</v>
      </c>
    </row>
    <row r="171" spans="2:9" x14ac:dyDescent="0.55000000000000004">
      <c r="B171" s="5">
        <f t="shared" si="29"/>
        <v>9</v>
      </c>
      <c r="C171" s="5">
        <f t="shared" si="30"/>
        <v>2</v>
      </c>
      <c r="D171" s="24">
        <f t="shared" si="31"/>
        <v>3583957.5606</v>
      </c>
      <c r="E171" s="5" t="str">
        <f t="shared" si="32"/>
        <v>22/23</v>
      </c>
      <c r="F171" s="5" t="str">
        <f t="shared" si="25"/>
        <v>Nov</v>
      </c>
      <c r="G171" s="5" t="str">
        <f t="shared" si="26"/>
        <v>Nov'22/23</v>
      </c>
      <c r="H171" s="5" t="str">
        <f t="shared" si="27"/>
        <v>Nov'22/23</v>
      </c>
      <c r="I171" s="5">
        <f t="shared" si="28"/>
        <v>40.266052700099998</v>
      </c>
    </row>
    <row r="172" spans="2:9" x14ac:dyDescent="0.55000000000000004">
      <c r="B172" s="5">
        <f t="shared" si="29"/>
        <v>9</v>
      </c>
      <c r="C172" s="5">
        <f t="shared" si="30"/>
        <v>3</v>
      </c>
      <c r="D172" s="24">
        <f t="shared" si="31"/>
        <v>3137089.7341999998</v>
      </c>
      <c r="E172" s="5" t="str">
        <f t="shared" si="32"/>
        <v>22/23</v>
      </c>
      <c r="F172" s="5" t="str">
        <f t="shared" si="25"/>
        <v>Dec</v>
      </c>
      <c r="G172" s="5" t="str">
        <f t="shared" si="26"/>
        <v>Dec'22/23</v>
      </c>
      <c r="H172" s="5" t="str">
        <f t="shared" si="27"/>
        <v>Dec'22/23</v>
      </c>
      <c r="I172" s="5">
        <f t="shared" si="28"/>
        <v>39.458808365000003</v>
      </c>
    </row>
    <row r="173" spans="2:9" x14ac:dyDescent="0.55000000000000004">
      <c r="B173" s="5">
        <f t="shared" si="29"/>
        <v>9</v>
      </c>
      <c r="C173" s="5">
        <f t="shared" si="30"/>
        <v>4</v>
      </c>
      <c r="D173" s="24">
        <f t="shared" si="31"/>
        <v>2591523.6557</v>
      </c>
      <c r="E173" s="5" t="str">
        <f t="shared" si="32"/>
        <v>22/23</v>
      </c>
      <c r="F173" s="5" t="str">
        <f t="shared" si="25"/>
        <v>Jan</v>
      </c>
      <c r="G173" s="5" t="str">
        <f t="shared" si="26"/>
        <v>Jan'22/23</v>
      </c>
      <c r="H173" s="5" t="str">
        <f t="shared" si="27"/>
        <v>Jan'22/23</v>
      </c>
      <c r="I173" s="5">
        <f t="shared" si="28"/>
        <v>38.581946385799995</v>
      </c>
    </row>
    <row r="174" spans="2:9" x14ac:dyDescent="0.55000000000000004">
      <c r="B174" s="5">
        <f t="shared" si="29"/>
        <v>9</v>
      </c>
      <c r="C174" s="5">
        <f t="shared" si="30"/>
        <v>5</v>
      </c>
      <c r="D174" s="24">
        <f t="shared" si="31"/>
        <v>2461834.4695000001</v>
      </c>
      <c r="E174" s="5" t="str">
        <f t="shared" si="32"/>
        <v>22/23</v>
      </c>
      <c r="F174" s="5" t="str">
        <f t="shared" si="25"/>
        <v>Feb</v>
      </c>
      <c r="G174" s="5" t="str">
        <f t="shared" si="26"/>
        <v>Feb'22/23</v>
      </c>
      <c r="H174" s="5" t="str">
        <f t="shared" si="27"/>
        <v>Feb'22/23</v>
      </c>
      <c r="I174" s="5">
        <f t="shared" si="28"/>
        <v>37.507506293200002</v>
      </c>
    </row>
    <row r="175" spans="2:9" x14ac:dyDescent="0.55000000000000004">
      <c r="B175" s="5">
        <f t="shared" si="29"/>
        <v>9</v>
      </c>
      <c r="C175" s="5">
        <f t="shared" si="30"/>
        <v>6</v>
      </c>
      <c r="D175" s="24">
        <f t="shared" si="31"/>
        <v>3166636.1178000001</v>
      </c>
      <c r="E175" s="5" t="str">
        <f t="shared" si="32"/>
        <v>22/23</v>
      </c>
      <c r="F175" s="5" t="str">
        <f t="shared" si="25"/>
        <v>Mar</v>
      </c>
      <c r="G175" s="5" t="str">
        <f t="shared" si="26"/>
        <v>Mar'22/23</v>
      </c>
      <c r="H175" s="5" t="str">
        <f t="shared" si="27"/>
        <v>Mar'22/23</v>
      </c>
      <c r="I175" s="5">
        <f t="shared" si="28"/>
        <v>36.782166639599993</v>
      </c>
    </row>
    <row r="176" spans="2:9" x14ac:dyDescent="0.55000000000000004">
      <c r="B176" s="5">
        <f t="shared" si="29"/>
        <v>9</v>
      </c>
      <c r="C176" s="5">
        <f t="shared" si="30"/>
        <v>7</v>
      </c>
      <c r="D176" s="24">
        <f t="shared" si="31"/>
        <v>2495688.7404</v>
      </c>
      <c r="E176" s="5" t="str">
        <f t="shared" si="32"/>
        <v>22/23</v>
      </c>
      <c r="F176" s="5" t="str">
        <f t="shared" si="25"/>
        <v>Apr</v>
      </c>
      <c r="G176" s="5" t="str">
        <f t="shared" si="26"/>
        <v>Apr'22/23</v>
      </c>
      <c r="H176" s="5" t="str">
        <f t="shared" si="27"/>
        <v>Apr'22/23</v>
      </c>
      <c r="I176" s="5">
        <f t="shared" si="28"/>
        <v>36.261246251700008</v>
      </c>
    </row>
    <row r="177" spans="2:9" x14ac:dyDescent="0.55000000000000004">
      <c r="B177" s="5">
        <f t="shared" si="29"/>
        <v>9</v>
      </c>
      <c r="C177" s="5">
        <f t="shared" si="30"/>
        <v>8</v>
      </c>
      <c r="D177" s="24">
        <f t="shared" si="31"/>
        <v>2667981.5397999999</v>
      </c>
      <c r="E177" s="5" t="str">
        <f t="shared" si="32"/>
        <v>22/23</v>
      </c>
      <c r="F177" s="5" t="str">
        <f t="shared" si="25"/>
        <v>May</v>
      </c>
      <c r="G177" s="5" t="str">
        <f t="shared" si="26"/>
        <v>May'22/23</v>
      </c>
      <c r="H177" s="5" t="str">
        <f t="shared" si="27"/>
        <v>May'22/23</v>
      </c>
      <c r="I177" s="5">
        <f t="shared" si="28"/>
        <v>35.967551454400009</v>
      </c>
    </row>
    <row r="178" spans="2:9" x14ac:dyDescent="0.55000000000000004">
      <c r="B178" s="5">
        <f t="shared" si="29"/>
        <v>9</v>
      </c>
      <c r="C178" s="5">
        <f t="shared" si="30"/>
        <v>9</v>
      </c>
      <c r="D178" s="24">
        <f t="shared" si="31"/>
        <v>2658586.2069000001</v>
      </c>
      <c r="E178" s="5" t="str">
        <f t="shared" si="32"/>
        <v>22/23</v>
      </c>
      <c r="F178" s="5" t="str">
        <f t="shared" si="25"/>
        <v>Jun</v>
      </c>
      <c r="G178" s="5" t="str">
        <f t="shared" si="26"/>
        <v>Jun'22/23</v>
      </c>
      <c r="H178" s="5" t="str">
        <f t="shared" si="27"/>
        <v>Jun'22/23</v>
      </c>
      <c r="I178" s="5">
        <f t="shared" si="28"/>
        <v>35.500774669899997</v>
      </c>
    </row>
    <row r="179" spans="2:9" x14ac:dyDescent="0.55000000000000004">
      <c r="B179" s="5">
        <f t="shared" si="29"/>
        <v>9</v>
      </c>
      <c r="C179" s="5">
        <f t="shared" si="30"/>
        <v>10</v>
      </c>
      <c r="D179" s="24">
        <f t="shared" si="31"/>
        <v>3152174.0872</v>
      </c>
      <c r="E179" s="5" t="str">
        <f t="shared" si="32"/>
        <v>22/23</v>
      </c>
      <c r="F179" s="5" t="str">
        <f t="shared" si="25"/>
        <v>Jul</v>
      </c>
      <c r="G179" s="5" t="str">
        <f t="shared" si="26"/>
        <v>Jul'22/23</v>
      </c>
      <c r="H179" s="5" t="str">
        <f t="shared" si="27"/>
        <v>Jul'22/23</v>
      </c>
      <c r="I179" s="5">
        <f t="shared" si="28"/>
        <v>35.900592019600005</v>
      </c>
    </row>
    <row r="180" spans="2:9" x14ac:dyDescent="0.55000000000000004">
      <c r="B180" s="5">
        <f t="shared" si="29"/>
        <v>9</v>
      </c>
      <c r="C180" s="5">
        <f t="shared" si="30"/>
        <v>11</v>
      </c>
      <c r="D180" s="24">
        <f t="shared" si="31"/>
        <v>3815631.5874999999</v>
      </c>
      <c r="E180" s="5" t="str">
        <f t="shared" si="32"/>
        <v>22/23</v>
      </c>
      <c r="F180" s="5" t="str">
        <f t="shared" si="25"/>
        <v>Aug</v>
      </c>
      <c r="G180" s="5" t="str">
        <f t="shared" si="26"/>
        <v>Aug'22/23</v>
      </c>
      <c r="H180" s="5" t="str">
        <f t="shared" si="27"/>
        <v>Aug'22/23</v>
      </c>
      <c r="I180" s="5">
        <f t="shared" si="28"/>
        <v>36.764771471799996</v>
      </c>
    </row>
    <row r="181" spans="2:9" x14ac:dyDescent="0.55000000000000004">
      <c r="B181" s="5">
        <f t="shared" si="29"/>
        <v>9</v>
      </c>
      <c r="C181" s="5">
        <f t="shared" si="30"/>
        <v>12</v>
      </c>
      <c r="D181" s="24">
        <f t="shared" si="31"/>
        <v>3765915.8426000001</v>
      </c>
      <c r="E181" s="5" t="str">
        <f t="shared" si="32"/>
        <v>22/23</v>
      </c>
      <c r="F181" s="5" t="str">
        <f t="shared" si="25"/>
        <v>Sep</v>
      </c>
      <c r="G181" s="5" t="str">
        <f t="shared" si="26"/>
        <v>Sep'22/23</v>
      </c>
      <c r="H181" s="5" t="str">
        <f t="shared" si="27"/>
        <v>Sep'22/23</v>
      </c>
      <c r="I181" s="5">
        <f t="shared" si="28"/>
        <v>37.0863977363</v>
      </c>
    </row>
    <row r="182" spans="2:9" x14ac:dyDescent="0.55000000000000004">
      <c r="B182" s="5">
        <f t="shared" si="29"/>
        <v>10</v>
      </c>
      <c r="C182" s="5">
        <f t="shared" si="30"/>
        <v>1</v>
      </c>
      <c r="D182" s="24">
        <f t="shared" si="31"/>
        <v>4412709.4688999997</v>
      </c>
      <c r="E182" s="5" t="str">
        <f t="shared" si="32"/>
        <v>23/24</v>
      </c>
      <c r="F182" s="5" t="str">
        <f t="shared" si="25"/>
        <v>Oct</v>
      </c>
      <c r="G182" s="5" t="str">
        <f t="shared" si="26"/>
        <v>Oct'23/24</v>
      </c>
      <c r="H182" s="5" t="str">
        <f t="shared" si="27"/>
        <v>Oct'23/24</v>
      </c>
      <c r="I182" s="5">
        <f t="shared" si="28"/>
        <v>37.909729011100005</v>
      </c>
    </row>
    <row r="183" spans="2:9" x14ac:dyDescent="0.55000000000000004">
      <c r="B183" s="5">
        <f t="shared" si="29"/>
        <v>10</v>
      </c>
      <c r="C183" s="5">
        <f t="shared" si="30"/>
        <v>2</v>
      </c>
      <c r="D183" s="24">
        <f t="shared" si="31"/>
        <v>4329650.4085999997</v>
      </c>
      <c r="E183" s="5" t="str">
        <f t="shared" si="32"/>
        <v>23/24</v>
      </c>
      <c r="F183" s="5" t="str">
        <f t="shared" si="25"/>
        <v>Nov</v>
      </c>
      <c r="G183" s="5" t="str">
        <f t="shared" si="26"/>
        <v>Nov'23/24</v>
      </c>
      <c r="H183" s="5" t="str">
        <f t="shared" si="27"/>
        <v>Nov'23/24</v>
      </c>
      <c r="I183" s="5">
        <f t="shared" si="28"/>
        <v>38.655421859100002</v>
      </c>
    </row>
    <row r="184" spans="2:9" x14ac:dyDescent="0.55000000000000004">
      <c r="B184" s="5">
        <f t="shared" si="29"/>
        <v>10</v>
      </c>
      <c r="C184" s="5">
        <f t="shared" si="30"/>
        <v>3</v>
      </c>
      <c r="D184" s="24">
        <f t="shared" si="31"/>
        <v>4186199.7505999999</v>
      </c>
      <c r="E184" s="5" t="str">
        <f t="shared" si="32"/>
        <v>23/24</v>
      </c>
      <c r="F184" s="5" t="str">
        <f t="shared" si="25"/>
        <v>Dec</v>
      </c>
      <c r="G184" s="5" t="str">
        <f t="shared" si="26"/>
        <v>Dec'23/24</v>
      </c>
      <c r="H184" s="5" t="str">
        <f t="shared" si="27"/>
        <v>Dec'23/24</v>
      </c>
      <c r="I184" s="5">
        <f t="shared" si="28"/>
        <v>39.704531875500003</v>
      </c>
    </row>
    <row r="185" spans="2:9" x14ac:dyDescent="0.55000000000000004">
      <c r="B185" s="5">
        <f t="shared" si="29"/>
        <v>10</v>
      </c>
      <c r="C185" s="5">
        <f t="shared" si="30"/>
        <v>4</v>
      </c>
      <c r="D185" s="24">
        <f t="shared" si="31"/>
        <v>3998730.5814999999</v>
      </c>
      <c r="E185" s="5" t="str">
        <f t="shared" si="32"/>
        <v>23/24</v>
      </c>
      <c r="F185" s="5" t="str">
        <f t="shared" si="25"/>
        <v>Jan</v>
      </c>
      <c r="G185" s="5" t="str">
        <f t="shared" si="26"/>
        <v>Jan'23/24</v>
      </c>
      <c r="H185" s="5" t="str">
        <f t="shared" si="27"/>
        <v>Jan'23/24</v>
      </c>
      <c r="I185" s="5">
        <f t="shared" si="28"/>
        <v>41.1117388013</v>
      </c>
    </row>
    <row r="186" spans="2:9" x14ac:dyDescent="0.55000000000000004">
      <c r="B186" s="5">
        <f t="shared" si="29"/>
        <v>10</v>
      </c>
      <c r="C186" s="5">
        <f t="shared" si="30"/>
        <v>5</v>
      </c>
      <c r="D186" s="24">
        <f t="shared" si="31"/>
        <v>3742175.4912</v>
      </c>
      <c r="E186" s="5" t="str">
        <f t="shared" si="32"/>
        <v>23/24</v>
      </c>
      <c r="F186" s="5" t="str">
        <f t="shared" si="25"/>
        <v>Feb</v>
      </c>
      <c r="G186" s="5" t="str">
        <f t="shared" si="26"/>
        <v>Feb'23/24</v>
      </c>
      <c r="H186" s="5" t="str">
        <f t="shared" si="27"/>
        <v>Feb'23/24</v>
      </c>
      <c r="I186" s="5">
        <f t="shared" si="28"/>
        <v>42.392079822999996</v>
      </c>
    </row>
    <row r="187" spans="2:9" x14ac:dyDescent="0.55000000000000004">
      <c r="B187" s="5">
        <f t="shared" si="29"/>
        <v>10</v>
      </c>
      <c r="C187" s="5">
        <f t="shared" si="30"/>
        <v>6</v>
      </c>
      <c r="D187" s="24">
        <f t="shared" si="31"/>
        <v>4308615.3492999999</v>
      </c>
      <c r="E187" s="5" t="str">
        <f t="shared" si="32"/>
        <v>23/24</v>
      </c>
      <c r="F187" s="5" t="str">
        <f t="shared" si="25"/>
        <v>Mar</v>
      </c>
      <c r="G187" s="5" t="str">
        <f t="shared" si="26"/>
        <v>Mar'23/24</v>
      </c>
      <c r="H187" s="5" t="str">
        <f t="shared" si="27"/>
        <v>Mar'23/24</v>
      </c>
      <c r="I187" s="5">
        <f t="shared" si="28"/>
        <v>43.534059054499991</v>
      </c>
    </row>
    <row r="188" spans="2:9" x14ac:dyDescent="0.55000000000000004">
      <c r="B188" s="5">
        <f t="shared" si="29"/>
        <v>10</v>
      </c>
      <c r="C188" s="5">
        <f t="shared" si="30"/>
        <v>7</v>
      </c>
      <c r="D188" s="24">
        <f t="shared" si="31"/>
        <v>4276347.5065000001</v>
      </c>
      <c r="E188" s="5" t="str">
        <f t="shared" si="32"/>
        <v>23/24</v>
      </c>
      <c r="F188" s="5" t="str">
        <f t="shared" si="25"/>
        <v>Apr</v>
      </c>
      <c r="G188" s="5" t="str">
        <f t="shared" si="26"/>
        <v>Apr'23/24</v>
      </c>
      <c r="H188" s="5" t="str">
        <f t="shared" si="27"/>
        <v>Apr'23/24</v>
      </c>
      <c r="I188" s="5">
        <f t="shared" si="28"/>
        <v>45.314717820599995</v>
      </c>
    </row>
    <row r="189" spans="2:9" x14ac:dyDescent="0.55000000000000004">
      <c r="B189" s="5">
        <f t="shared" si="29"/>
        <v>10</v>
      </c>
      <c r="C189" s="5">
        <f t="shared" si="30"/>
        <v>8</v>
      </c>
      <c r="D189" s="24">
        <f t="shared" si="31"/>
        <v>4446510.5935000004</v>
      </c>
      <c r="E189" s="5" t="str">
        <f t="shared" si="32"/>
        <v>23/24</v>
      </c>
      <c r="F189" s="5" t="str">
        <f t="shared" si="25"/>
        <v>May</v>
      </c>
      <c r="G189" s="5" t="str">
        <f t="shared" si="26"/>
        <v>May'23/24</v>
      </c>
      <c r="H189" s="5" t="str">
        <f t="shared" si="27"/>
        <v>May'23/24</v>
      </c>
      <c r="I189" s="5">
        <f t="shared" si="28"/>
        <v>47.093246874299993</v>
      </c>
    </row>
    <row r="190" spans="2:9" x14ac:dyDescent="0.55000000000000004">
      <c r="B190" s="5">
        <f t="shared" si="29"/>
        <v>10</v>
      </c>
      <c r="C190" s="5">
        <f t="shared" si="30"/>
        <v>9</v>
      </c>
      <c r="D190" s="24">
        <f t="shared" si="31"/>
        <v>3770707.0170999998</v>
      </c>
      <c r="E190" s="5" t="str">
        <f t="shared" si="32"/>
        <v>23/24</v>
      </c>
      <c r="F190" s="5" t="str">
        <f t="shared" si="25"/>
        <v>Jun</v>
      </c>
      <c r="G190" s="5" t="str">
        <f t="shared" si="26"/>
        <v>Jun'23/24</v>
      </c>
      <c r="H190" s="5" t="str">
        <f t="shared" si="27"/>
        <v>Jun'23/24</v>
      </c>
      <c r="I190" s="5">
        <f t="shared" si="28"/>
        <v>48.205367684499997</v>
      </c>
    </row>
    <row r="191" spans="2:9" x14ac:dyDescent="0.55000000000000004">
      <c r="B191" s="5">
        <f t="shared" si="29"/>
        <v>10</v>
      </c>
      <c r="C191" s="5">
        <f t="shared" si="30"/>
        <v>10</v>
      </c>
      <c r="D191" s="24">
        <f t="shared" si="31"/>
        <v>3881567.0380000002</v>
      </c>
      <c r="E191" s="5" t="str">
        <f t="shared" si="32"/>
        <v>23/24</v>
      </c>
      <c r="F191" s="5" t="str">
        <f t="shared" si="25"/>
        <v>Jul</v>
      </c>
      <c r="G191" s="5" t="str">
        <f t="shared" si="26"/>
        <v>Jul'23/24</v>
      </c>
      <c r="H191" s="5" t="str">
        <f t="shared" si="27"/>
        <v>Jul'23/24</v>
      </c>
      <c r="I191" s="5">
        <f t="shared" si="28"/>
        <v>48.934760635300002</v>
      </c>
    </row>
    <row r="192" spans="2:9" x14ac:dyDescent="0.55000000000000004">
      <c r="B192" s="5">
        <f t="shared" si="29"/>
        <v>10</v>
      </c>
      <c r="C192" s="5">
        <f t="shared" si="30"/>
        <v>11</v>
      </c>
      <c r="D192" s="24">
        <f t="shared" si="31"/>
        <v>4092677.6348000001</v>
      </c>
      <c r="E192" s="5" t="str">
        <f t="shared" si="32"/>
        <v>23/24</v>
      </c>
      <c r="F192" s="5" t="str">
        <f t="shared" si="25"/>
        <v>Aug</v>
      </c>
      <c r="G192" s="5" t="str">
        <f t="shared" si="26"/>
        <v>Aug'23/24</v>
      </c>
      <c r="H192" s="5" t="str">
        <f t="shared" si="27"/>
        <v>Aug'23/24</v>
      </c>
      <c r="I192" s="5">
        <f t="shared" si="28"/>
        <v>49.211806682600006</v>
      </c>
    </row>
    <row r="193" spans="2:9" x14ac:dyDescent="0.55000000000000004">
      <c r="B193" s="5">
        <f t="shared" si="29"/>
        <v>10</v>
      </c>
      <c r="C193" s="5">
        <f t="shared" si="30"/>
        <v>12</v>
      </c>
      <c r="D193" s="24">
        <f t="shared" si="31"/>
        <v>4921683.9052999998</v>
      </c>
      <c r="E193" s="5" t="str">
        <f t="shared" si="32"/>
        <v>23/24</v>
      </c>
      <c r="F193" s="5" t="str">
        <f t="shared" si="25"/>
        <v>Sep</v>
      </c>
      <c r="G193" s="5" t="str">
        <f t="shared" si="26"/>
        <v>Sep'23/24</v>
      </c>
      <c r="H193" s="5" t="str">
        <f t="shared" si="27"/>
        <v>Sep'23/24</v>
      </c>
      <c r="I193" s="5">
        <f t="shared" si="28"/>
        <v>50.367574745300011</v>
      </c>
    </row>
    <row r="194" spans="2:9" x14ac:dyDescent="0.55000000000000004">
      <c r="B194" s="5">
        <f t="shared" si="29"/>
        <v>11</v>
      </c>
      <c r="C194" s="5">
        <f t="shared" si="30"/>
        <v>1</v>
      </c>
      <c r="D194" s="24">
        <f t="shared" si="31"/>
        <v>5112274.1502</v>
      </c>
      <c r="E194" s="5" t="str">
        <f t="shared" si="32"/>
        <v>24/25</v>
      </c>
      <c r="F194" s="5" t="str">
        <f t="shared" si="25"/>
        <v>Oct</v>
      </c>
      <c r="G194" s="5" t="str">
        <f t="shared" si="26"/>
        <v>Oct'24/25</v>
      </c>
      <c r="H194" s="5" t="str">
        <f t="shared" si="27"/>
        <v>Oct'24/25</v>
      </c>
      <c r="I194" s="5">
        <f t="shared" si="28"/>
        <v>51.067139426600001</v>
      </c>
    </row>
    <row r="195" spans="2:9" x14ac:dyDescent="0.55000000000000004">
      <c r="B195" s="5">
        <f t="shared" si="29"/>
        <v>11</v>
      </c>
      <c r="C195" s="5">
        <f t="shared" si="30"/>
        <v>2</v>
      </c>
      <c r="D195" s="24">
        <f t="shared" si="31"/>
        <v>4323717.0991000002</v>
      </c>
      <c r="E195" s="5" t="str">
        <f t="shared" si="32"/>
        <v>24/25</v>
      </c>
      <c r="F195" s="5" t="str">
        <f t="shared" si="25"/>
        <v>Nov</v>
      </c>
      <c r="G195" s="5" t="str">
        <f t="shared" si="26"/>
        <v>Nov'24/25</v>
      </c>
      <c r="H195" s="5" t="str">
        <f t="shared" si="27"/>
        <v>Nov'24/25</v>
      </c>
      <c r="I195" s="5">
        <f t="shared" si="28"/>
        <v>51.061206117099999</v>
      </c>
    </row>
    <row r="196" spans="2:9" x14ac:dyDescent="0.55000000000000004">
      <c r="B196" s="5">
        <f t="shared" si="29"/>
        <v>11</v>
      </c>
      <c r="C196" s="5">
        <f t="shared" si="30"/>
        <v>3</v>
      </c>
      <c r="D196" s="24">
        <f t="shared" si="31"/>
        <v>3872441.9127000002</v>
      </c>
      <c r="E196" s="5" t="str">
        <f t="shared" si="32"/>
        <v>24/25</v>
      </c>
      <c r="F196" s="5" t="str">
        <f t="shared" si="25"/>
        <v>Dec</v>
      </c>
      <c r="G196" s="5" t="str">
        <f t="shared" si="26"/>
        <v>Dec'24/25</v>
      </c>
      <c r="H196" s="5" t="str">
        <f t="shared" si="27"/>
        <v>Dec'24/25</v>
      </c>
      <c r="I196" s="5">
        <f t="shared" si="28"/>
        <v>50.747448279199993</v>
      </c>
    </row>
    <row r="197" spans="2:9" x14ac:dyDescent="0.55000000000000004">
      <c r="B197" s="5">
        <f t="shared" si="29"/>
        <v>11</v>
      </c>
      <c r="C197" s="5">
        <f t="shared" si="30"/>
        <v>4</v>
      </c>
      <c r="D197" s="24">
        <f t="shared" si="31"/>
        <v>3770072.5644</v>
      </c>
      <c r="E197" s="5" t="str">
        <f t="shared" si="32"/>
        <v>24/25</v>
      </c>
      <c r="F197" s="5" t="str">
        <f t="shared" si="25"/>
        <v>Jan</v>
      </c>
      <c r="G197" s="5" t="str">
        <f t="shared" si="26"/>
        <v>Jan'24/25</v>
      </c>
      <c r="H197" s="5" t="str">
        <f t="shared" si="27"/>
        <v>Jan'24/25</v>
      </c>
      <c r="I197" s="5">
        <f t="shared" si="28"/>
        <v>50.518790262099998</v>
      </c>
    </row>
    <row r="198" spans="2:9" x14ac:dyDescent="0.55000000000000004">
      <c r="B198" s="5">
        <f t="shared" si="29"/>
        <v>11</v>
      </c>
      <c r="C198" s="5">
        <f t="shared" si="30"/>
        <v>5</v>
      </c>
      <c r="D198" s="24">
        <f t="shared" si="31"/>
        <v>3317751.1784000001</v>
      </c>
      <c r="E198" s="5" t="str">
        <f t="shared" si="32"/>
        <v>24/25</v>
      </c>
      <c r="F198" s="5" t="str">
        <f t="shared" si="25"/>
        <v>Feb</v>
      </c>
      <c r="G198" s="5" t="str">
        <f t="shared" si="26"/>
        <v>Feb'24/25</v>
      </c>
      <c r="H198" s="5" t="str">
        <f t="shared" si="27"/>
        <v>Feb'24/25</v>
      </c>
      <c r="I198" s="5">
        <f t="shared" si="28"/>
        <v>50.094365949299998</v>
      </c>
    </row>
    <row r="199" spans="2:9" x14ac:dyDescent="0.55000000000000004">
      <c r="B199" s="5">
        <f t="shared" si="29"/>
        <v>11</v>
      </c>
      <c r="C199" s="5">
        <f t="shared" si="30"/>
        <v>6</v>
      </c>
      <c r="D199" s="24">
        <f t="shared" si="31"/>
        <v>3067521.2503</v>
      </c>
      <c r="E199" s="5" t="str">
        <f t="shared" si="32"/>
        <v>24/25</v>
      </c>
      <c r="F199" s="5" t="str">
        <f t="shared" si="25"/>
        <v>Mar</v>
      </c>
      <c r="G199" s="5" t="str">
        <f t="shared" si="26"/>
        <v>Mar'24/25</v>
      </c>
      <c r="H199" s="5" t="str">
        <f t="shared" si="27"/>
        <v>Mar'24/25</v>
      </c>
      <c r="I199" s="5">
        <f t="shared" si="28"/>
        <v>48.853271850299997</v>
      </c>
    </row>
    <row r="200" spans="2:9" x14ac:dyDescent="0.55000000000000004">
      <c r="B200" s="5">
        <f t="shared" si="29"/>
        <v>11</v>
      </c>
      <c r="C200" s="5">
        <f t="shared" si="30"/>
        <v>7</v>
      </c>
      <c r="D200" s="24">
        <f t="shared" si="31"/>
        <v>2851110.3402</v>
      </c>
      <c r="E200" s="5" t="str">
        <f t="shared" si="32"/>
        <v>24/25</v>
      </c>
      <c r="F200" s="5" t="str">
        <f t="shared" si="25"/>
        <v>Apr</v>
      </c>
      <c r="G200" s="5" t="str">
        <f t="shared" si="26"/>
        <v>Apr'24/25</v>
      </c>
      <c r="H200" s="5" t="str">
        <f t="shared" si="27"/>
        <v>Apr'24/25</v>
      </c>
      <c r="I200" s="5">
        <f t="shared" si="28"/>
        <v>47.428034684000004</v>
      </c>
    </row>
    <row r="201" spans="2:9" x14ac:dyDescent="0.55000000000000004">
      <c r="B201" s="5">
        <f t="shared" si="29"/>
        <v>11</v>
      </c>
      <c r="C201" s="5">
        <f t="shared" si="30"/>
        <v>8</v>
      </c>
      <c r="D201" s="24">
        <f t="shared" si="31"/>
        <v>3054295.3678000001</v>
      </c>
      <c r="E201" s="5" t="str">
        <f t="shared" si="32"/>
        <v>24/25</v>
      </c>
      <c r="F201" s="5" t="str">
        <f t="shared" si="25"/>
        <v>May</v>
      </c>
      <c r="G201" s="5" t="str">
        <f t="shared" si="26"/>
        <v>May'24/25</v>
      </c>
      <c r="H201" s="5" t="str">
        <f t="shared" si="27"/>
        <v>May'24/25</v>
      </c>
      <c r="I201" s="5">
        <f t="shared" si="28"/>
        <v>46.035819458299997</v>
      </c>
    </row>
    <row r="202" spans="2:9" x14ac:dyDescent="0.55000000000000004">
      <c r="B202" s="5">
        <f t="shared" si="29"/>
        <v>11</v>
      </c>
      <c r="C202" s="5">
        <f t="shared" si="30"/>
        <v>9</v>
      </c>
      <c r="D202" s="24">
        <f t="shared" ref="D202:D229" si="33">INDEX($C$7:$N$19,MATCH(B202,$A$7:$A$19),MATCH(C202,$C$4:$N$4))</f>
        <v>2608187.5926000001</v>
      </c>
      <c r="E202" s="5" t="str">
        <f t="shared" ref="E202:E229" si="34">_xlfn.XLOOKUP(B202,$A$7:$A$19,$B$7:$B$19)</f>
        <v>24/25</v>
      </c>
      <c r="F202" s="5" t="str">
        <f t="shared" si="25"/>
        <v>Jun</v>
      </c>
      <c r="G202" s="5" t="str">
        <f t="shared" si="26"/>
        <v>Jun'24/25</v>
      </c>
      <c r="H202" s="5" t="str">
        <f t="shared" si="27"/>
        <v>Jun'24/25</v>
      </c>
      <c r="I202" s="5">
        <f t="shared" si="28"/>
        <v>44.8733000338</v>
      </c>
    </row>
    <row r="203" spans="2:9" x14ac:dyDescent="0.55000000000000004">
      <c r="B203" s="5">
        <f t="shared" si="29"/>
        <v>11</v>
      </c>
      <c r="C203" s="5">
        <f t="shared" si="30"/>
        <v>10</v>
      </c>
      <c r="D203" s="24">
        <f t="shared" si="33"/>
        <v>2898313.1976000001</v>
      </c>
      <c r="E203" s="5" t="str">
        <f t="shared" si="34"/>
        <v>24/25</v>
      </c>
      <c r="F203" s="5" t="str">
        <f t="shared" ref="F203:F229" si="35">_xlfn.XLOOKUP(C203,$C$4:$N$4,$C$6:$N$6)</f>
        <v>Jul</v>
      </c>
      <c r="G203" s="5" t="str">
        <f t="shared" ref="G203:G229" si="36">_xlfn.CONCAT(F203,"'",E203)</f>
        <v>Jul'24/25</v>
      </c>
      <c r="H203" s="5" t="str">
        <f t="shared" si="27"/>
        <v>Jul'24/25</v>
      </c>
      <c r="I203" s="5">
        <f t="shared" si="28"/>
        <v>43.890046193400003</v>
      </c>
    </row>
    <row r="204" spans="2:9" x14ac:dyDescent="0.55000000000000004">
      <c r="B204" s="5">
        <f t="shared" si="29"/>
        <v>11</v>
      </c>
      <c r="C204" s="5">
        <f t="shared" si="30"/>
        <v>11</v>
      </c>
      <c r="D204" s="24">
        <f t="shared" si="33"/>
        <v>3244664.7385999998</v>
      </c>
      <c r="E204" s="5" t="str">
        <f t="shared" si="34"/>
        <v>24/25</v>
      </c>
      <c r="F204" s="5" t="str">
        <f t="shared" si="35"/>
        <v>Aug</v>
      </c>
      <c r="G204" s="5" t="str">
        <f t="shared" si="36"/>
        <v>Aug'24/25</v>
      </c>
      <c r="H204" s="5" t="str">
        <f t="shared" si="27"/>
        <v>Aug'24/25</v>
      </c>
      <c r="I204" s="5">
        <f t="shared" si="28"/>
        <v>43.0420332972</v>
      </c>
    </row>
    <row r="205" spans="2:9" x14ac:dyDescent="0.55000000000000004">
      <c r="B205" s="5">
        <f t="shared" si="29"/>
        <v>11</v>
      </c>
      <c r="C205" s="5">
        <f t="shared" si="30"/>
        <v>12</v>
      </c>
      <c r="D205" s="24">
        <f t="shared" si="33"/>
        <v>4040788.3796000001</v>
      </c>
      <c r="E205" s="5" t="str">
        <f t="shared" si="34"/>
        <v>24/25</v>
      </c>
      <c r="F205" s="5" t="str">
        <f t="shared" si="35"/>
        <v>Sep</v>
      </c>
      <c r="G205" s="5" t="str">
        <f t="shared" si="36"/>
        <v>Sep'24/25</v>
      </c>
      <c r="H205" s="5" t="str">
        <f t="shared" si="27"/>
        <v>Sep'24/25</v>
      </c>
      <c r="I205" s="5">
        <f t="shared" si="28"/>
        <v>42.161137771500009</v>
      </c>
    </row>
    <row r="206" spans="2:9" x14ac:dyDescent="0.55000000000000004">
      <c r="B206" s="5">
        <f t="shared" si="29"/>
        <v>12</v>
      </c>
      <c r="C206" s="5">
        <f t="shared" si="30"/>
        <v>1</v>
      </c>
      <c r="D206" s="24">
        <f t="shared" si="33"/>
        <v>4261080.5694000004</v>
      </c>
      <c r="E206" s="5" t="str">
        <f t="shared" si="34"/>
        <v>25/26</v>
      </c>
      <c r="F206" s="5" t="str">
        <f t="shared" si="35"/>
        <v>Oct</v>
      </c>
      <c r="G206" s="5" t="str">
        <f t="shared" si="36"/>
        <v>Oct'25/26</v>
      </c>
      <c r="H206" s="5" t="str">
        <f t="shared" si="27"/>
        <v>Oct'25/26</v>
      </c>
      <c r="I206" s="5">
        <f t="shared" si="28"/>
        <v>41.309944190700001</v>
      </c>
    </row>
    <row r="207" spans="2:9" x14ac:dyDescent="0.55000000000000004">
      <c r="B207" s="5">
        <f t="shared" si="29"/>
        <v>12</v>
      </c>
      <c r="C207" s="5">
        <f t="shared" si="30"/>
        <v>2</v>
      </c>
      <c r="D207" s="24">
        <f t="shared" si="33"/>
        <v>3650503.9964000001</v>
      </c>
      <c r="E207" s="5" t="str">
        <f t="shared" si="34"/>
        <v>25/26</v>
      </c>
      <c r="F207" s="5" t="str">
        <f t="shared" si="35"/>
        <v>Nov</v>
      </c>
      <c r="G207" s="5" t="str">
        <f t="shared" si="36"/>
        <v>Nov'25/26</v>
      </c>
      <c r="H207" s="5" t="str">
        <f t="shared" si="27"/>
        <v>Nov'25/26</v>
      </c>
      <c r="I207" s="5">
        <f t="shared" si="28"/>
        <v>40.636731087999998</v>
      </c>
    </row>
    <row r="208" spans="2:9" x14ac:dyDescent="0.55000000000000004">
      <c r="B208" s="5">
        <f t="shared" si="29"/>
        <v>12</v>
      </c>
      <c r="C208" s="5">
        <f t="shared" si="30"/>
        <v>3</v>
      </c>
      <c r="D208" s="24">
        <f t="shared" si="33"/>
        <v>3169202.7525999998</v>
      </c>
      <c r="E208" s="5" t="str">
        <f t="shared" si="34"/>
        <v>25/26</v>
      </c>
      <c r="F208" s="5" t="str">
        <f t="shared" si="35"/>
        <v>Dec</v>
      </c>
      <c r="G208" s="5" t="str">
        <f t="shared" si="36"/>
        <v>Dec'25/26</v>
      </c>
      <c r="H208" s="5" t="str">
        <f t="shared" si="27"/>
        <v>Dec'25/26</v>
      </c>
      <c r="I208" s="5">
        <f t="shared" si="28"/>
        <v>39.9334919279</v>
      </c>
    </row>
    <row r="209" spans="2:9" x14ac:dyDescent="0.55000000000000004">
      <c r="B209" s="5">
        <f t="shared" si="29"/>
        <v>12</v>
      </c>
      <c r="C209" s="5">
        <f t="shared" si="30"/>
        <v>4</v>
      </c>
      <c r="D209" s="24">
        <f t="shared" si="33"/>
        <v>2808075.7245</v>
      </c>
      <c r="E209" s="5" t="str">
        <f t="shared" si="34"/>
        <v>25/26</v>
      </c>
      <c r="F209" s="5" t="str">
        <f t="shared" si="35"/>
        <v>Jan</v>
      </c>
      <c r="G209" s="5" t="str">
        <f t="shared" si="36"/>
        <v>Jan'25/26</v>
      </c>
      <c r="H209" s="5" t="str">
        <f t="shared" si="27"/>
        <v>Jan'25/26</v>
      </c>
      <c r="I209" s="5">
        <f t="shared" si="28"/>
        <v>38.971495087999998</v>
      </c>
    </row>
    <row r="210" spans="2:9" x14ac:dyDescent="0.55000000000000004">
      <c r="B210" s="5">
        <f t="shared" si="29"/>
        <v>12</v>
      </c>
      <c r="C210" s="5">
        <f t="shared" si="30"/>
        <v>5</v>
      </c>
      <c r="D210" s="24">
        <f t="shared" si="33"/>
        <v>2618119.8382000001</v>
      </c>
      <c r="E210" s="5" t="str">
        <f t="shared" si="34"/>
        <v>25/26</v>
      </c>
      <c r="F210" s="5" t="str">
        <f t="shared" si="35"/>
        <v>Feb</v>
      </c>
      <c r="G210" s="5" t="str">
        <f t="shared" si="36"/>
        <v>Feb'25/26</v>
      </c>
      <c r="H210" s="5" t="str">
        <f t="shared" si="27"/>
        <v>Feb'25/26</v>
      </c>
      <c r="I210" s="5">
        <f t="shared" si="28"/>
        <v>38.271863747799998</v>
      </c>
    </row>
    <row r="211" spans="2:9" x14ac:dyDescent="0.55000000000000004">
      <c r="B211" s="5">
        <f t="shared" si="29"/>
        <v>12</v>
      </c>
      <c r="C211" s="5">
        <f t="shared" si="30"/>
        <v>6</v>
      </c>
      <c r="D211" s="24">
        <f t="shared" si="33"/>
        <v>3058938.5846000002</v>
      </c>
      <c r="E211" s="5" t="str">
        <f t="shared" si="34"/>
        <v>25/26</v>
      </c>
      <c r="F211" s="5" t="str">
        <f t="shared" si="35"/>
        <v>Mar</v>
      </c>
      <c r="G211" s="5" t="str">
        <f t="shared" si="36"/>
        <v>Mar'25/26</v>
      </c>
      <c r="H211" s="5" t="str">
        <f t="shared" si="27"/>
        <v>Mar'25/26</v>
      </c>
      <c r="I211" s="5">
        <f t="shared" si="28"/>
        <v>38.263281082100001</v>
      </c>
    </row>
    <row r="212" spans="2:9" x14ac:dyDescent="0.55000000000000004">
      <c r="B212" s="5">
        <f t="shared" si="29"/>
        <v>12</v>
      </c>
      <c r="C212" s="5">
        <f t="shared" si="30"/>
        <v>7</v>
      </c>
      <c r="D212" s="24" t="e">
        <f t="shared" si="33"/>
        <v>#N/A</v>
      </c>
      <c r="E212" s="5" t="str">
        <f t="shared" si="34"/>
        <v>25/26</v>
      </c>
      <c r="F212" s="5" t="str">
        <f t="shared" si="35"/>
        <v>Apr</v>
      </c>
      <c r="G212" s="5" t="str">
        <f t="shared" si="36"/>
        <v>Apr'25/26</v>
      </c>
      <c r="H212" s="5" t="str">
        <f t="shared" si="27"/>
        <v>Apr'25/26</v>
      </c>
      <c r="I212" s="5" t="e">
        <f t="shared" si="28"/>
        <v>#N/A</v>
      </c>
    </row>
    <row r="213" spans="2:9" x14ac:dyDescent="0.55000000000000004">
      <c r="B213" s="5">
        <f t="shared" si="29"/>
        <v>12</v>
      </c>
      <c r="C213" s="5">
        <f t="shared" si="30"/>
        <v>8</v>
      </c>
      <c r="D213" s="24" t="e">
        <f t="shared" si="33"/>
        <v>#N/A</v>
      </c>
      <c r="E213" s="5" t="str">
        <f t="shared" si="34"/>
        <v>25/26</v>
      </c>
      <c r="F213" s="5" t="str">
        <f t="shared" si="35"/>
        <v>May</v>
      </c>
      <c r="G213" s="5" t="str">
        <f t="shared" si="36"/>
        <v>May'25/26</v>
      </c>
      <c r="H213" s="5" t="str">
        <f t="shared" si="27"/>
        <v>May'25/26</v>
      </c>
      <c r="I213" s="5" t="e">
        <f t="shared" si="28"/>
        <v>#N/A</v>
      </c>
    </row>
    <row r="214" spans="2:9" x14ac:dyDescent="0.55000000000000004">
      <c r="B214" s="5">
        <f t="shared" si="29"/>
        <v>12</v>
      </c>
      <c r="C214" s="5">
        <f t="shared" si="30"/>
        <v>9</v>
      </c>
      <c r="D214" s="24" t="e">
        <f t="shared" si="33"/>
        <v>#N/A</v>
      </c>
      <c r="E214" s="5" t="str">
        <f t="shared" si="34"/>
        <v>25/26</v>
      </c>
      <c r="F214" s="5" t="str">
        <f t="shared" si="35"/>
        <v>Jun</v>
      </c>
      <c r="G214" s="5" t="str">
        <f t="shared" si="36"/>
        <v>Jun'25/26</v>
      </c>
      <c r="H214" s="5" t="str">
        <f t="shared" ref="H214:H229" si="37">G214</f>
        <v>Jun'25/26</v>
      </c>
      <c r="I214" s="5" t="e">
        <f t="shared" ref="I214:I229" si="38">SUM(D203:D214)/1000000</f>
        <v>#N/A</v>
      </c>
    </row>
    <row r="215" spans="2:9" x14ac:dyDescent="0.55000000000000004">
      <c r="B215" s="5">
        <f t="shared" ref="B215:B229" si="39">B203+1</f>
        <v>12</v>
      </c>
      <c r="C215" s="5">
        <f t="shared" ref="C215:C229" si="40">C203</f>
        <v>10</v>
      </c>
      <c r="D215" s="24" t="e">
        <f t="shared" si="33"/>
        <v>#N/A</v>
      </c>
      <c r="E215" s="5" t="str">
        <f t="shared" si="34"/>
        <v>25/26</v>
      </c>
      <c r="F215" s="5" t="str">
        <f t="shared" si="35"/>
        <v>Jul</v>
      </c>
      <c r="G215" s="5" t="str">
        <f t="shared" si="36"/>
        <v>Jul'25/26</v>
      </c>
      <c r="H215" s="5" t="str">
        <f t="shared" si="37"/>
        <v>Jul'25/26</v>
      </c>
      <c r="I215" s="5" t="e">
        <f t="shared" si="38"/>
        <v>#N/A</v>
      </c>
    </row>
    <row r="216" spans="2:9" x14ac:dyDescent="0.55000000000000004">
      <c r="B216" s="5">
        <f t="shared" si="39"/>
        <v>12</v>
      </c>
      <c r="C216" s="5">
        <f t="shared" si="40"/>
        <v>11</v>
      </c>
      <c r="D216" s="24" t="e">
        <f t="shared" si="33"/>
        <v>#N/A</v>
      </c>
      <c r="E216" s="5" t="str">
        <f t="shared" si="34"/>
        <v>25/26</v>
      </c>
      <c r="F216" s="5" t="str">
        <f t="shared" si="35"/>
        <v>Aug</v>
      </c>
      <c r="G216" s="5" t="str">
        <f t="shared" si="36"/>
        <v>Aug'25/26</v>
      </c>
      <c r="H216" s="5" t="str">
        <f t="shared" si="37"/>
        <v>Aug'25/26</v>
      </c>
      <c r="I216" s="5" t="e">
        <f t="shared" si="38"/>
        <v>#N/A</v>
      </c>
    </row>
    <row r="217" spans="2:9" x14ac:dyDescent="0.55000000000000004">
      <c r="B217" s="5">
        <f t="shared" si="39"/>
        <v>12</v>
      </c>
      <c r="C217" s="5">
        <f t="shared" si="40"/>
        <v>12</v>
      </c>
      <c r="D217" s="24" t="e">
        <f t="shared" si="33"/>
        <v>#N/A</v>
      </c>
      <c r="E217" s="5" t="str">
        <f t="shared" si="34"/>
        <v>25/26</v>
      </c>
      <c r="F217" s="5" t="str">
        <f t="shared" si="35"/>
        <v>Sep</v>
      </c>
      <c r="G217" s="5" t="str">
        <f t="shared" si="36"/>
        <v>Sep'25/26</v>
      </c>
      <c r="H217" s="5" t="str">
        <f t="shared" si="37"/>
        <v>Sep'25/26</v>
      </c>
      <c r="I217" s="5" t="e">
        <f t="shared" si="38"/>
        <v>#N/A</v>
      </c>
    </row>
    <row r="218" spans="2:9" x14ac:dyDescent="0.55000000000000004">
      <c r="B218" s="5">
        <f t="shared" si="39"/>
        <v>13</v>
      </c>
      <c r="C218" s="5">
        <f t="shared" si="40"/>
        <v>1</v>
      </c>
      <c r="D218" s="24" t="e">
        <f t="shared" si="33"/>
        <v>#N/A</v>
      </c>
      <c r="E218" s="5" t="str">
        <f t="shared" si="34"/>
        <v>26/27</v>
      </c>
      <c r="F218" s="5" t="str">
        <f t="shared" si="35"/>
        <v>Oct</v>
      </c>
      <c r="G218" s="5" t="str">
        <f t="shared" si="36"/>
        <v>Oct'26/27</v>
      </c>
      <c r="H218" s="5" t="str">
        <f t="shared" si="37"/>
        <v>Oct'26/27</v>
      </c>
      <c r="I218" s="5" t="e">
        <f t="shared" si="38"/>
        <v>#N/A</v>
      </c>
    </row>
    <row r="219" spans="2:9" x14ac:dyDescent="0.55000000000000004">
      <c r="B219" s="5">
        <f t="shared" si="39"/>
        <v>13</v>
      </c>
      <c r="C219" s="5">
        <f t="shared" si="40"/>
        <v>2</v>
      </c>
      <c r="D219" s="24" t="e">
        <f t="shared" si="33"/>
        <v>#N/A</v>
      </c>
      <c r="E219" s="5" t="str">
        <f t="shared" si="34"/>
        <v>26/27</v>
      </c>
      <c r="F219" s="5" t="str">
        <f t="shared" si="35"/>
        <v>Nov</v>
      </c>
      <c r="G219" s="5" t="str">
        <f t="shared" si="36"/>
        <v>Nov'26/27</v>
      </c>
      <c r="H219" s="5" t="str">
        <f t="shared" si="37"/>
        <v>Nov'26/27</v>
      </c>
      <c r="I219" s="5" t="e">
        <f t="shared" si="38"/>
        <v>#N/A</v>
      </c>
    </row>
    <row r="220" spans="2:9" x14ac:dyDescent="0.55000000000000004">
      <c r="B220" s="5">
        <f t="shared" si="39"/>
        <v>13</v>
      </c>
      <c r="C220" s="5">
        <f t="shared" si="40"/>
        <v>3</v>
      </c>
      <c r="D220" s="24" t="e">
        <f t="shared" si="33"/>
        <v>#N/A</v>
      </c>
      <c r="E220" s="5" t="str">
        <f t="shared" si="34"/>
        <v>26/27</v>
      </c>
      <c r="F220" s="5" t="str">
        <f t="shared" si="35"/>
        <v>Dec</v>
      </c>
      <c r="G220" s="5" t="str">
        <f t="shared" si="36"/>
        <v>Dec'26/27</v>
      </c>
      <c r="H220" s="5" t="str">
        <f t="shared" si="37"/>
        <v>Dec'26/27</v>
      </c>
      <c r="I220" s="5" t="e">
        <f t="shared" si="38"/>
        <v>#N/A</v>
      </c>
    </row>
    <row r="221" spans="2:9" x14ac:dyDescent="0.55000000000000004">
      <c r="B221" s="5">
        <f t="shared" si="39"/>
        <v>13</v>
      </c>
      <c r="C221" s="5">
        <f t="shared" si="40"/>
        <v>4</v>
      </c>
      <c r="D221" s="24" t="e">
        <f t="shared" si="33"/>
        <v>#N/A</v>
      </c>
      <c r="E221" s="5" t="str">
        <f t="shared" si="34"/>
        <v>26/27</v>
      </c>
      <c r="F221" s="5" t="str">
        <f t="shared" si="35"/>
        <v>Jan</v>
      </c>
      <c r="G221" s="5" t="str">
        <f t="shared" si="36"/>
        <v>Jan'26/27</v>
      </c>
      <c r="H221" s="5" t="str">
        <f t="shared" si="37"/>
        <v>Jan'26/27</v>
      </c>
      <c r="I221" s="5" t="e">
        <f t="shared" si="38"/>
        <v>#N/A</v>
      </c>
    </row>
    <row r="222" spans="2:9" x14ac:dyDescent="0.55000000000000004">
      <c r="B222" s="5">
        <f t="shared" si="39"/>
        <v>13</v>
      </c>
      <c r="C222" s="5">
        <f t="shared" si="40"/>
        <v>5</v>
      </c>
      <c r="D222" s="24" t="e">
        <f t="shared" si="33"/>
        <v>#N/A</v>
      </c>
      <c r="E222" s="5" t="str">
        <f t="shared" si="34"/>
        <v>26/27</v>
      </c>
      <c r="F222" s="5" t="str">
        <f t="shared" si="35"/>
        <v>Feb</v>
      </c>
      <c r="G222" s="5" t="str">
        <f t="shared" si="36"/>
        <v>Feb'26/27</v>
      </c>
      <c r="H222" s="5" t="str">
        <f t="shared" si="37"/>
        <v>Feb'26/27</v>
      </c>
      <c r="I222" s="5" t="e">
        <f t="shared" si="38"/>
        <v>#N/A</v>
      </c>
    </row>
    <row r="223" spans="2:9" x14ac:dyDescent="0.55000000000000004">
      <c r="B223" s="5">
        <f t="shared" si="39"/>
        <v>13</v>
      </c>
      <c r="C223" s="5">
        <f t="shared" si="40"/>
        <v>6</v>
      </c>
      <c r="D223" s="24" t="e">
        <f t="shared" si="33"/>
        <v>#N/A</v>
      </c>
      <c r="E223" s="5" t="str">
        <f t="shared" si="34"/>
        <v>26/27</v>
      </c>
      <c r="F223" s="5" t="str">
        <f t="shared" si="35"/>
        <v>Mar</v>
      </c>
      <c r="G223" s="5" t="str">
        <f t="shared" si="36"/>
        <v>Mar'26/27</v>
      </c>
      <c r="H223" s="5" t="str">
        <f t="shared" si="37"/>
        <v>Mar'26/27</v>
      </c>
      <c r="I223" s="5" t="e">
        <f t="shared" si="38"/>
        <v>#N/A</v>
      </c>
    </row>
    <row r="224" spans="2:9" x14ac:dyDescent="0.55000000000000004">
      <c r="B224" s="5">
        <f t="shared" si="39"/>
        <v>13</v>
      </c>
      <c r="C224" s="5">
        <f t="shared" si="40"/>
        <v>7</v>
      </c>
      <c r="D224" s="24" t="e">
        <f t="shared" si="33"/>
        <v>#N/A</v>
      </c>
      <c r="E224" s="5" t="str">
        <f t="shared" si="34"/>
        <v>26/27</v>
      </c>
      <c r="F224" s="5" t="str">
        <f t="shared" si="35"/>
        <v>Apr</v>
      </c>
      <c r="G224" s="5" t="str">
        <f t="shared" si="36"/>
        <v>Apr'26/27</v>
      </c>
      <c r="H224" s="5" t="str">
        <f t="shared" si="37"/>
        <v>Apr'26/27</v>
      </c>
      <c r="I224" s="5" t="e">
        <f t="shared" si="38"/>
        <v>#N/A</v>
      </c>
    </row>
    <row r="225" spans="2:9" x14ac:dyDescent="0.55000000000000004">
      <c r="B225" s="5">
        <f t="shared" si="39"/>
        <v>13</v>
      </c>
      <c r="C225" s="5">
        <f t="shared" si="40"/>
        <v>8</v>
      </c>
      <c r="D225" s="24" t="e">
        <f t="shared" si="33"/>
        <v>#N/A</v>
      </c>
      <c r="E225" s="5" t="str">
        <f t="shared" si="34"/>
        <v>26/27</v>
      </c>
      <c r="F225" s="5" t="str">
        <f t="shared" si="35"/>
        <v>May</v>
      </c>
      <c r="G225" s="5" t="str">
        <f t="shared" si="36"/>
        <v>May'26/27</v>
      </c>
      <c r="H225" s="5" t="str">
        <f t="shared" si="37"/>
        <v>May'26/27</v>
      </c>
      <c r="I225" s="5" t="e">
        <f t="shared" si="38"/>
        <v>#N/A</v>
      </c>
    </row>
    <row r="226" spans="2:9" x14ac:dyDescent="0.55000000000000004">
      <c r="B226" s="5">
        <f t="shared" si="39"/>
        <v>13</v>
      </c>
      <c r="C226" s="5">
        <f t="shared" si="40"/>
        <v>9</v>
      </c>
      <c r="D226" s="24" t="e">
        <f t="shared" si="33"/>
        <v>#N/A</v>
      </c>
      <c r="E226" s="5" t="str">
        <f t="shared" si="34"/>
        <v>26/27</v>
      </c>
      <c r="F226" s="5" t="str">
        <f t="shared" si="35"/>
        <v>Jun</v>
      </c>
      <c r="G226" s="5" t="str">
        <f t="shared" si="36"/>
        <v>Jun'26/27</v>
      </c>
      <c r="H226" s="5" t="str">
        <f t="shared" si="37"/>
        <v>Jun'26/27</v>
      </c>
      <c r="I226" s="5" t="e">
        <f t="shared" si="38"/>
        <v>#N/A</v>
      </c>
    </row>
    <row r="227" spans="2:9" x14ac:dyDescent="0.55000000000000004">
      <c r="B227" s="5">
        <f t="shared" si="39"/>
        <v>13</v>
      </c>
      <c r="C227" s="5">
        <f t="shared" si="40"/>
        <v>10</v>
      </c>
      <c r="D227" s="24" t="e">
        <f t="shared" si="33"/>
        <v>#N/A</v>
      </c>
      <c r="E227" s="5" t="str">
        <f t="shared" si="34"/>
        <v>26/27</v>
      </c>
      <c r="F227" s="5" t="str">
        <f t="shared" si="35"/>
        <v>Jul</v>
      </c>
      <c r="G227" s="5" t="str">
        <f t="shared" si="36"/>
        <v>Jul'26/27</v>
      </c>
      <c r="H227" s="5" t="str">
        <f t="shared" si="37"/>
        <v>Jul'26/27</v>
      </c>
      <c r="I227" s="5" t="e">
        <f t="shared" si="38"/>
        <v>#N/A</v>
      </c>
    </row>
    <row r="228" spans="2:9" x14ac:dyDescent="0.55000000000000004">
      <c r="B228" s="5">
        <f t="shared" si="39"/>
        <v>13</v>
      </c>
      <c r="C228" s="5">
        <f t="shared" si="40"/>
        <v>11</v>
      </c>
      <c r="D228" s="24" t="e">
        <f t="shared" si="33"/>
        <v>#N/A</v>
      </c>
      <c r="E228" s="5" t="str">
        <f t="shared" si="34"/>
        <v>26/27</v>
      </c>
      <c r="F228" s="5" t="str">
        <f t="shared" si="35"/>
        <v>Aug</v>
      </c>
      <c r="G228" s="5" t="str">
        <f t="shared" si="36"/>
        <v>Aug'26/27</v>
      </c>
      <c r="H228" s="5" t="str">
        <f t="shared" si="37"/>
        <v>Aug'26/27</v>
      </c>
      <c r="I228" s="5" t="e">
        <f t="shared" si="38"/>
        <v>#N/A</v>
      </c>
    </row>
    <row r="229" spans="2:9" x14ac:dyDescent="0.55000000000000004">
      <c r="B229" s="5">
        <f t="shared" si="39"/>
        <v>13</v>
      </c>
      <c r="C229" s="5">
        <f t="shared" si="40"/>
        <v>12</v>
      </c>
      <c r="D229" s="24" t="e">
        <f t="shared" si="33"/>
        <v>#N/A</v>
      </c>
      <c r="E229" s="5" t="str">
        <f t="shared" si="34"/>
        <v>26/27</v>
      </c>
      <c r="F229" s="5" t="str">
        <f t="shared" si="35"/>
        <v>Sep</v>
      </c>
      <c r="G229" s="5" t="str">
        <f t="shared" si="36"/>
        <v>Sep'26/27</v>
      </c>
      <c r="H229" s="5" t="str">
        <f t="shared" si="37"/>
        <v>Sep'26/27</v>
      </c>
      <c r="I229" s="5" t="e">
        <f t="shared" si="38"/>
        <v>#N/A</v>
      </c>
    </row>
  </sheetData>
  <mergeCells count="4">
    <mergeCell ref="A1:Y2"/>
    <mergeCell ref="C5:N5"/>
    <mergeCell ref="S6:U6"/>
    <mergeCell ref="N74:Y74"/>
  </mergeCells>
  <conditionalFormatting sqref="C7:N19">
    <cfRule type="cellIs" dxfId="0" priority="1" operator="greaterThanOrEqual">
      <formula>0</formula>
    </cfRule>
    <cfRule type="colorScale" priority="2">
      <colorScale>
        <cfvo type="min"/>
        <cfvo type="max"/>
        <color rgb="FFFCFCFF"/>
        <color rgb="FF63BE7B"/>
      </colorScale>
    </cfRule>
  </conditionalFormatting>
  <conditionalFormatting sqref="P7:P19">
    <cfRule type="colorScale" priority="6">
      <colorScale>
        <cfvo type="min"/>
        <cfvo type="percentile" val="50"/>
        <cfvo type="max"/>
        <color rgb="FFF8696B"/>
        <color rgb="FFFCFCFF"/>
        <color rgb="FF5A8AC6"/>
      </colorScale>
    </cfRule>
  </conditionalFormatting>
  <conditionalFormatting sqref="Q8:Q16">
    <cfRule type="dataBar" priority="3">
      <dataBar>
        <cfvo type="min"/>
        <cfvo type="max"/>
        <color rgb="FF63C384"/>
      </dataBar>
      <extLst>
        <ext xmlns:x14="http://schemas.microsoft.com/office/spreadsheetml/2009/9/main" uri="{B025F937-C7B1-47D3-B67F-A62EFF666E3E}">
          <x14:id>{E4A08818-3D2D-4174-A777-FBAB93022881}</x14:id>
        </ext>
      </extLst>
    </cfRule>
  </conditionalFormatting>
  <conditionalFormatting sqref="Q17:Q19">
    <cfRule type="dataBar" priority="7">
      <dataBar>
        <cfvo type="min"/>
        <cfvo type="max"/>
        <color rgb="FF63C384"/>
      </dataBar>
      <extLst>
        <ext xmlns:x14="http://schemas.microsoft.com/office/spreadsheetml/2009/9/main" uri="{B025F937-C7B1-47D3-B67F-A62EFF666E3E}">
          <x14:id>{03052CA0-0C92-47AD-9221-721501DD932C}</x14:id>
        </ext>
      </extLst>
    </cfRule>
  </conditionalFormatting>
  <conditionalFormatting sqref="T7:T19">
    <cfRule type="colorScale" priority="5">
      <colorScale>
        <cfvo type="min"/>
        <cfvo type="percentile" val="50"/>
        <cfvo type="max"/>
        <color rgb="FFF8696B"/>
        <color rgb="FFFCFCFF"/>
        <color rgb="FF5A8AC6"/>
      </colorScale>
    </cfRule>
  </conditionalFormatting>
  <conditionalFormatting sqref="T20">
    <cfRule type="colorScale" priority="9">
      <colorScale>
        <cfvo type="min"/>
        <cfvo type="percentile" val="50"/>
        <cfvo type="max"/>
        <color rgb="FFF8696B"/>
        <color rgb="FFFCFCFF"/>
        <color rgb="FF5A8AC6"/>
      </colorScale>
    </cfRule>
  </conditionalFormatting>
  <conditionalFormatting sqref="U8:U18">
    <cfRule type="dataBar" priority="4">
      <dataBar>
        <cfvo type="min"/>
        <cfvo type="max"/>
        <color rgb="FF63C384"/>
      </dataBar>
      <extLst>
        <ext xmlns:x14="http://schemas.microsoft.com/office/spreadsheetml/2009/9/main" uri="{B025F937-C7B1-47D3-B67F-A62EFF666E3E}">
          <x14:id>{039238B2-709E-47D5-B7A5-2FF68A1E41D8}</x14:id>
        </ext>
      </extLst>
    </cfRule>
  </conditionalFormatting>
  <conditionalFormatting sqref="U19">
    <cfRule type="dataBar" priority="8">
      <dataBar>
        <cfvo type="min"/>
        <cfvo type="max"/>
        <color rgb="FF63C384"/>
      </dataBar>
      <extLst>
        <ext xmlns:x14="http://schemas.microsoft.com/office/spreadsheetml/2009/9/main" uri="{B025F937-C7B1-47D3-B67F-A62EFF666E3E}">
          <x14:id>{0E1A4A71-014B-4FCD-9A71-0B896CB5700D}</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E4A08818-3D2D-4174-A777-FBAB93022881}">
            <x14:dataBar minLength="0" maxLength="100" gradient="0">
              <x14:cfvo type="autoMin"/>
              <x14:cfvo type="autoMax"/>
              <x14:negativeFillColor rgb="FFFF0000"/>
              <x14:axisColor rgb="FF000000"/>
            </x14:dataBar>
          </x14:cfRule>
          <xm:sqref>Q8:Q16</xm:sqref>
        </x14:conditionalFormatting>
        <x14:conditionalFormatting xmlns:xm="http://schemas.microsoft.com/office/excel/2006/main">
          <x14:cfRule type="dataBar" id="{03052CA0-0C92-47AD-9221-721501DD932C}">
            <x14:dataBar minLength="0" maxLength="100" gradient="0">
              <x14:cfvo type="autoMin"/>
              <x14:cfvo type="autoMax"/>
              <x14:negativeFillColor rgb="FFFF0000"/>
              <x14:axisColor rgb="FF000000"/>
            </x14:dataBar>
          </x14:cfRule>
          <xm:sqref>Q17:Q19</xm:sqref>
        </x14:conditionalFormatting>
        <x14:conditionalFormatting xmlns:xm="http://schemas.microsoft.com/office/excel/2006/main">
          <x14:cfRule type="dataBar" id="{039238B2-709E-47D5-B7A5-2FF68A1E41D8}">
            <x14:dataBar minLength="0" maxLength="100" gradient="0">
              <x14:cfvo type="autoMin"/>
              <x14:cfvo type="autoMax"/>
              <x14:negativeFillColor rgb="FFFF0000"/>
              <x14:axisColor rgb="FF000000"/>
            </x14:dataBar>
          </x14:cfRule>
          <xm:sqref>U8:U18</xm:sqref>
        </x14:conditionalFormatting>
        <x14:conditionalFormatting xmlns:xm="http://schemas.microsoft.com/office/excel/2006/main">
          <x14:cfRule type="dataBar" id="{0E1A4A71-014B-4FCD-9A71-0B896CB5700D}">
            <x14:dataBar minLength="0" maxLength="100" gradient="0">
              <x14:cfvo type="autoMin"/>
              <x14:cfvo type="autoMax"/>
              <x14:negativeFillColor rgb="FFFF0000"/>
              <x14:axisColor rgb="FF000000"/>
            </x14:dataBar>
          </x14:cfRule>
          <xm:sqref>U19</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7512aee-9d78-4d0f-a8e9-b9fe07c693bf">
      <Terms xmlns="http://schemas.microsoft.com/office/infopath/2007/PartnerControls"/>
    </lcf76f155ced4ddcb4097134ff3c332f>
    <TaxCatchAll xmlns="c4b1f387-67e6-41bb-9209-e5d19657c4ac" xsi:nil="true"/>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67390B2996DF3E45915F15AF5E7A2A87" ma:contentTypeVersion="14" ma:contentTypeDescription="Create a new document." ma:contentTypeScope="" ma:versionID="9f72da8133fccdc35987523adab35aee">
  <xsd:schema xmlns:xsd="http://www.w3.org/2001/XMLSchema" xmlns:xs="http://www.w3.org/2001/XMLSchema" xmlns:p="http://schemas.microsoft.com/office/2006/metadata/properties" xmlns:ns2="47512aee-9d78-4d0f-a8e9-b9fe07c693bf" xmlns:ns3="c4b1f387-67e6-41bb-9209-e5d19657c4ac" targetNamespace="http://schemas.microsoft.com/office/2006/metadata/properties" ma:root="true" ma:fieldsID="9e7a872be543a166d7589466ef23a88a" ns2:_="" ns3:_="">
    <xsd:import namespace="47512aee-9d78-4d0f-a8e9-b9fe07c693bf"/>
    <xsd:import namespace="c4b1f387-67e6-41bb-9209-e5d19657c4a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512aee-9d78-4d0f-a8e9-b9fe07c693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1644a6b3-1231-42f6-9b2f-2356c71105e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4b1f387-67e6-41bb-9209-e5d19657c4ac"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cb7f4b5d-7dc3-4d1c-a65b-d5af8b23fa37}" ma:internalName="TaxCatchAll" ma:showField="CatchAllData" ma:web="c4b1f387-67e6-41bb-9209-e5d19657c4a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39099E3-416B-45D7-B27C-12A6C0AAB732}">
  <ds:schemaRefs>
    <ds:schemaRef ds:uri="http://schemas.microsoft.com/sharepoint/v3/contenttype/forms"/>
  </ds:schemaRefs>
</ds:datastoreItem>
</file>

<file path=customXml/itemProps2.xml><?xml version="1.0" encoding="utf-8"?>
<ds:datastoreItem xmlns:ds="http://schemas.openxmlformats.org/officeDocument/2006/customXml" ds:itemID="{ECB0059C-B53E-4AE7-9CA0-9CD00EBE85B7}">
  <ds:schemaRefs>
    <ds:schemaRef ds:uri="http://schemas.microsoft.com/office/2006/metadata/properties"/>
    <ds:schemaRef ds:uri="http://schemas.microsoft.com/office/infopath/2007/PartnerControls"/>
    <ds:schemaRef ds:uri="47512aee-9d78-4d0f-a8e9-b9fe07c693bf"/>
    <ds:schemaRef ds:uri="c4b1f387-67e6-41bb-9209-e5d19657c4ac"/>
  </ds:schemaRefs>
</ds:datastoreItem>
</file>

<file path=customXml/itemProps3.xml><?xml version="1.0" encoding="utf-8"?>
<ds:datastoreItem xmlns:ds="http://schemas.openxmlformats.org/officeDocument/2006/customXml" ds:itemID="{742ED668-2DC5-47A4-BDE4-4DE5FA7A5735}">
  <ds:schemaRefs>
    <ds:schemaRef ds:uri="http://schemas.microsoft.com/DataMashup"/>
  </ds:schemaRefs>
</ds:datastoreItem>
</file>

<file path=customXml/itemProps4.xml><?xml version="1.0" encoding="utf-8"?>
<ds:datastoreItem xmlns:ds="http://schemas.openxmlformats.org/officeDocument/2006/customXml" ds:itemID="{6CC8C3A6-9B02-41CC-AB28-5049D724C0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7512aee-9d78-4d0f-a8e9-b9fe07c693bf"/>
    <ds:schemaRef ds:uri="c4b1f387-67e6-41bb-9209-e5d19657c4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9324bd15-b7b3-4e59-b23e-9f53050507bb}" enabled="0" method="" siteId="{9324bd15-b7b3-4e59-b23e-9f53050507b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Monthly Exports</vt:lpstr>
      <vt:lpstr>Sheet1</vt:lpstr>
      <vt:lpstr>Exports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Virat Arya</dc:creator>
  <cp:lastModifiedBy>Virat Arya</cp:lastModifiedBy>
  <dcterms:created xsi:type="dcterms:W3CDTF">2015-06-05T18:17:20Z</dcterms:created>
  <dcterms:modified xsi:type="dcterms:W3CDTF">2026-10-27T13:06:48Z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0x01010067390B2996DF3E45915F15AF5E7A2A87</vt:lpwstr>
  </property>
  <property fmtid="{D5CDD505-2E9C-101B-9397-08002B2CF9AE}" pid="3" name="MediaServiceImageTags">
    <vt:lpwstr/>
  </property>
</Properties>
</file>